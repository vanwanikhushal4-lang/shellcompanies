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Indicator Master" sheetId="2" state="visible" r:id="rId4"/>
    <sheet name="Field Dictionary" sheetId="3" state="visible" r:id="rId5"/>
    <sheet name="Document Catalogue" sheetId="4" state="visible" r:id="rId6"/>
    <sheet name="Document → Rule Trigger Map" sheetId="5" state="visible" r:id="rId7"/>
    <sheet name="Company-Wise Rule Triggers" sheetId="6" state="visible" r:id="rId8"/>
    <sheet name="Parameters Playbook" sheetId="7" state="visible" r:id="rId9"/>
    <sheet name="Scoring Model" sheetId="8" state="visible" r:id="rId10"/>
    <sheet name="Category Summary" sheetId="9" state="visible" r:id="rId11"/>
  </sheets>
  <definedNames>
    <definedName function="false" hidden="true" localSheetId="5" name="_xlnm._FilterDatabase" vbProcedure="false">'Company-Wise Rule Triggers'!$A$4:$L$111</definedName>
    <definedName function="false" hidden="true" localSheetId="4" name="_xlnm._FilterDatabase" vbProcedure="false">'Document → Rule Trigger Map'!$A$4:$L$411</definedName>
    <definedName function="false" hidden="true" localSheetId="3" name="_xlnm._FilterDatabase" vbProcedure="false">'Document Catalogue'!$A$3:$I$93</definedName>
    <definedName function="false" hidden="true" localSheetId="2" name="_xlnm._FilterDatabase" vbProcedure="false">'Field Dictionary'!$A$3:$E$2202</definedName>
    <definedName function="false" hidden="true" localSheetId="1" name="_xlnm._FilterDatabase" vbProcedure="false">'Indicator Master'!$A$3:$U$410</definedName>
    <definedName function="false" hidden="true" localSheetId="7" name="_xlnm._FilterDatabase" vbProcedure="false">'Scoring Model'!$A$4:$G$411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<sst xmlns="http://schemas.openxmlformats.org/spreadsheetml/2006/main" count="23861" uniqueCount="9155">
  <si>
    <t xml:space="preserve">Shell &amp; Shadow Company Detection — Master Indicator Library</t>
  </si>
  <si>
    <t xml:space="preserve">India | 407 rules across 10 categories | Rule-engine ready</t>
  </si>
  <si>
    <t xml:space="preserve">What this workbook is</t>
  </si>
  <si>
    <t xml:space="preserve">A complete, document-driven rule set for flagging shell companies, fake-invoice entities and fraudulent corporate structures. Every rule states the exact data fields it needs, the documents those fields come from, the context that must be checked before the rule is trusted, and how much the flag should count.</t>
  </si>
  <si>
    <t xml:space="preserve">The design is document-driven. A rule fires only when the documents it depends on are available. If you only hold MCA filings, the MCA-fed rules run and the rest stay dormant. As you add GST, banking or customs data, more of the library switches on automatically.</t>
  </si>
  <si>
    <t xml:space="preserve">The sheets</t>
  </si>
  <si>
    <t xml:space="preserve">•  Indicator Master — the full rule library. One row per rule, 21 attributes each. Start here.</t>
  </si>
  <si>
    <t xml:space="preserve">•  Field Dictionary — every data field the library consumes, with how many rules need it. Use this to plan extraction: the fields at the top unlock the most rules for the least effort.</t>
  </si>
  <si>
    <t xml:space="preserve">•  Document Catalogue — every source document, and how many rules each one switches on. Use this to decide which document to obtain next.</t>
  </si>
  <si>
    <t xml:space="preserve">•  Parameters Playbook — the context tables. Expected ranges by business model, so a rule is not fired on a company where the pattern is normal. This is what stops false positives.</t>
  </si>
  <si>
    <t xml:space="preserve">•  Scoring Model — the working sheet. Mark Y against each triggered rule and the case score, band and recommended action calculate themselves.</t>
  </si>
  <si>
    <t xml:space="preserve">•  Category Summary — rule counts, weights and live trigger counts by category.</t>
  </si>
  <si>
    <t xml:space="preserve">How to read the key columns</t>
  </si>
  <si>
    <t xml:space="preserve">Indicator</t>
  </si>
  <si>
    <t xml:space="preserve">The rule name. What is being tested.</t>
  </si>
  <si>
    <t xml:space="preserve">Trigger Logic</t>
  </si>
  <si>
    <t xml:space="preserve">A boolean expression written with the exact field names in Features Required. This is what an engineer implements.</t>
  </si>
  <si>
    <t xml:space="preserve">Features Required</t>
  </si>
  <si>
    <t xml:space="preserve">The data fields the rule consumes, in snake_case.</t>
  </si>
  <si>
    <t xml:space="preserve">Parameters / Context Modifiers</t>
  </si>
  <si>
    <t xml:space="preserve">The most important column. It names the conditions under which the rule must be suppressed, relaxed or tightened — usually driven by business model. Example: a trading company legitimately runs near-zero payroll, so a payroll rule must not fire on it at the same threshold used for a manufacturer.</t>
  </si>
  <si>
    <t xml:space="preserve">Primary / Alternate Documents</t>
  </si>
  <si>
    <t xml:space="preserve">Where the fields come from. Alternate is the fallback when the primary document is not held.</t>
  </si>
  <si>
    <t xml:space="preserve">Computability</t>
  </si>
  <si>
    <t xml:space="preserve">Deterministic = a hard rule on one entity. Statistical = needs a peer group or a distribution. Graph = needs a population of entities. Manual/Analyst = needs human reading.</t>
  </si>
  <si>
    <t xml:space="preserve">Severity and Weight</t>
  </si>
  <si>
    <t xml:space="preserve">How much this flag should count. Critical = 9-10, High = 6-8, Medium = 3-5, Low = 1-2.</t>
  </si>
  <si>
    <t xml:space="preserve">FP Risk and Benign Explanation</t>
  </si>
  <si>
    <t xml:space="preserve">How often the rule fires on an honest company, and the most common innocent reason. Read this before escalating a case.</t>
  </si>
  <si>
    <t xml:space="preserve">How to use it — the four layers</t>
  </si>
  <si>
    <t xml:space="preserve">1. Hard stops. A sanctions match, a struck-off status, a cancelled registration, a confirmed fake document. These justify action on their own.</t>
  </si>
  <si>
    <t xml:space="preserve">2. Weighted score. Add the weights of every triggered rule. Tune the weights on your own historical data before you trust the bands.</t>
  </si>
  <si>
    <t xml:space="preserve">3. Cluster rule. Require flags from at least three different categories before escalating. A single category firing is usually a data-quality problem, not a fraud.</t>
  </si>
  <si>
    <t xml:space="preserve">4. Human review. The score produces a work queue, never a verdict.</t>
  </si>
  <si>
    <t xml:space="preserve">Two cautions</t>
  </si>
  <si>
    <t xml:space="preserve">Base rate. Shell companies are rare. Even a good model produces many false positives, so test thresholds against your own clean population before going live.</t>
  </si>
  <si>
    <t xml:space="preserve">Adaptation. Once a rule is known, the people it targets design around it. Rotate thresholds and refresh the library periodically.</t>
  </si>
  <si>
    <t xml:space="preserve">Thresholds in this workbook are informed defaults for Indian entities, not legal standards. Calibrate every one of them on your own data. Nothing here is legal advice, and no single indicator proves wrongdoing.</t>
  </si>
  <si>
    <t xml:space="preserve">INDICATOR MASTER — 407 rules</t>
  </si>
  <si>
    <t xml:space="preserve">Filter on Category, Severity, Computability or Primary Documents. Read Parameters before acting on any flag.</t>
  </si>
  <si>
    <t xml:space="preserve">Rule ID</t>
  </si>
  <si>
    <t xml:space="preserve">Category</t>
  </si>
  <si>
    <t xml:space="preserve">Sub-Category</t>
  </si>
  <si>
    <t xml:space="preserve">What It Means</t>
  </si>
  <si>
    <t xml:space="preserve">Trigger Logic (pseudo-code)</t>
  </si>
  <si>
    <t xml:space="preserve">Threshold / Tuning</t>
  </si>
  <si>
    <t xml:space="preserve">Lookback</t>
  </si>
  <si>
    <t xml:space="preserve">Features Required (fields)</t>
  </si>
  <si>
    <t xml:space="preserve">Primary Documents</t>
  </si>
  <si>
    <t xml:space="preserve">Alternate Documents</t>
  </si>
  <si>
    <t xml:space="preserve">Data Type</t>
  </si>
  <si>
    <t xml:space="preserve">Entity Types</t>
  </si>
  <si>
    <t xml:space="preserve">Severity</t>
  </si>
  <si>
    <t xml:space="preserve">Weight</t>
  </si>
  <si>
    <t xml:space="preserve">FP Risk</t>
  </si>
  <si>
    <t xml:space="preserve">Benign Explanation</t>
  </si>
  <si>
    <t xml:space="preserve">Corroborating Rules</t>
  </si>
  <si>
    <t xml:space="preserve">Typology / Reference</t>
  </si>
  <si>
    <t xml:space="preserve">FIN-001</t>
  </si>
  <si>
    <t xml:space="preserve">Financial &amp; Accounting Forensics</t>
  </si>
  <si>
    <t xml:space="preserve">Revenue vs balance sheet</t>
  </si>
  <si>
    <t xml:space="preserve">Near-nil revenue against a large balance sheet</t>
  </si>
  <si>
    <t xml:space="preserve">Turnover is tiny compared with the assets the company says it holds. A real business with crores of assets should sell proportionately; a shell parks value without trading.</t>
  </si>
  <si>
    <t xml:space="preserve">revenue_from_operations &lt; 0.02 * total_assets AND total_assets &gt; 50000000 AND entity_age_years &gt;= 2</t>
  </si>
  <si>
    <t xml:space="preserve">Revenue &lt; 2% of total assets; total assets floor INR 5 crore; entity age &gt;= 2 FY</t>
  </si>
  <si>
    <t xml:space="preserve">2 FY</t>
  </si>
  <si>
    <t xml:space="preserve">revenue_from_operations, total_assets, entity_age_years, nic_code, capital_work_in_progress, other_income</t>
  </si>
  <si>
    <t xml:space="preserve">Holding companies, core investment companies, real-estate and infrastructure SPVs in build phase legitimately hold assets with no sales — suppress or divert to a holding-co track when nic_code is 642/643/649 (holding and investment), 6810 (real estate), or capital_work_in_progress &gt; 40% of total_assets. Tighten to 5% for wholesale trade and services where assets should be working capital. Relax fully for FY1-FY2 entities and for pre-revenue startups that show genuine R&amp;D spend and priced equity rounds. For NBFCs read interest income as revenue before testing.</t>
  </si>
  <si>
    <t xml:space="preserve">AOC-4 / AOC-4 XBRL Financial Statements, MCA Company Master Data</t>
  </si>
  <si>
    <t xml:space="preserve">Income Tax Return (ITR-5 / ITR-6), Tax Audit Report (Form 3CD)</t>
  </si>
  <si>
    <t xml:space="preserve">Ratio</t>
  </si>
  <si>
    <t xml:space="preserve">Deterministic</t>
  </si>
  <si>
    <t xml:space="preserve">Pvt Ltd, Public Ltd, OPC, LLP</t>
  </si>
  <si>
    <t xml:space="preserve">Critical</t>
  </si>
  <si>
    <t xml:space="preserve">Medium</t>
  </si>
  <si>
    <t xml:space="preserve">A genuine holding company or a project SPV whose plant is still under construction holds assets but books almost no sales.</t>
  </si>
  <si>
    <t xml:space="preserve">FIN-007 (negligible payroll), FIN-013 (no fixed assets), GST-004 (nil outward supply in GSTR-3B)</t>
  </si>
  <si>
    <t xml:space="preserve">SEBI vanishing companies; FIU-IND shell company red flags</t>
  </si>
  <si>
    <t xml:space="preserve">FIN-002</t>
  </si>
  <si>
    <t xml:space="preserve">Revenue quality</t>
  </si>
  <si>
    <t xml:space="preserve">Revenue almost exactly equals total expenses (zero-margin pass-through)</t>
  </si>
  <si>
    <t xml:space="preserve">Sales and costs track each other so closely that profit is near zero every year. This is the signature of an accommodation entity that only passes invoices and money through.</t>
  </si>
  <si>
    <t xml:space="preserve">abs(profit_before_tax) / revenue_from_operations &lt; 0.005 AND revenue_from_operations &gt; 50000000 AND consecutive_years_zero_margin &gt;= 2</t>
  </si>
  <si>
    <t xml:space="preserve">|PBT| &lt; 0.5% of turnover for 2 consecutive FY; turnover floor INR 5 crore</t>
  </si>
  <si>
    <t xml:space="preserve">3 FY</t>
  </si>
  <si>
    <t xml:space="preserve">revenue_from_operations, total_expenses, profit_before_tax, consecutive_years_zero_margin, purchases_of_stock_in_trade, nic_code</t>
  </si>
  <si>
    <t xml:space="preserve">Genuine low-margin models exist: bullion, fuel retail, agri-commodity, mobile handset distribution and pure logistics agency work run 0.3-1.5% net margin, so raise the band to 0.2% or suppress when nic_code sits in those trades and gross_margin is also thin but stable. Cost-plus captive service units and shared-service arms bill at a fixed markup and should never show exactly zero — a flat 0.0% is more suspicious there than in distribution. Tighten for manufacturing, construction and professional services where margin dispersion is naturally wide. Ignore loss-making years driven by a one-off impairment.</t>
  </si>
  <si>
    <t xml:space="preserve">AOC-4 / AOC-4 XBRL Financial Statements, Tax Audit Report (Form 3CD)</t>
  </si>
  <si>
    <t xml:space="preserve">Income Tax Return (ITR-5 / ITR-6)</t>
  </si>
  <si>
    <t xml:space="preserve">Pvt Ltd, Public Ltd, OPC, LLP, Partnership</t>
  </si>
  <si>
    <t xml:space="preserve">High</t>
  </si>
  <si>
    <t xml:space="preserve">A high-volume commodity distributor really does earn a razor-thin and stable margin.</t>
  </si>
  <si>
    <t xml:space="preserve">FIN-041 (sales equal purchases with same counterparty), FIN-012 (COGS with no stock movement), GST-011 (ITC utilisation near 100%)</t>
  </si>
  <si>
    <t xml:space="preserve">FATF TBML typology; CBIC circulation of fake-invoice conduits</t>
  </si>
  <si>
    <t xml:space="preserve">FIN-003</t>
  </si>
  <si>
    <t xml:space="preserve">Turnover multiplies while assets, payroll and power stay flat</t>
  </si>
  <si>
    <t xml:space="preserve">Sales jump many times over but nothing that produces sales grows with it. Real growth needs more people, machines or electricity; paper growth needs none.</t>
  </si>
  <si>
    <t xml:space="preserve">(revenue_from_operations / prior_year_revenue) &gt; 3 AND (employee_benefit_expense / prior_year_employee_benefit_expense) &lt; 1.25 AND (gross_fixed_assets / prior_year_gross_fixed_assets) &lt; 1.25 AND power_and_fuel_expense_growth &lt; 0.25</t>
  </si>
  <si>
    <t xml:space="preserve">Revenue growth &gt; 200% YoY with payroll, gross block and power growth each &lt; 25%</t>
  </si>
  <si>
    <t xml:space="preserve">revenue_from_operations, prior_year_revenue, employee_benefit_expense, prior_year_employee_benefit_expense, gross_fixed_assets, prior_year_gross_fixed_assets, power_and_fuel_expense_growth, nic_code</t>
  </si>
  <si>
    <t xml:space="preserve">Asset-light models scale without capex — software resale, digital marketplaces, insurance and travel agency, and any entity that shifts from agency (net) to principal (gross) revenue recognition under Ind AS 115 can triple turnover legitimately, so require a note-level check of the revenue recognition policy before scoring. Trading houses scale on working capital, not gross block: for wholesale trade drop the fixed-asset test and rely on payroll plus godown rent. Tighten hard for manufacturing, EPC and processing units where output is capacity-bound. Suppress in FY2 when the base year was a stub period of under six months.</t>
  </si>
  <si>
    <t xml:space="preserve">AOC-4 / AOC-4 XBRL Financial Statements, EPFO ECR Filing, Electricity / Utility Bill</t>
  </si>
  <si>
    <t xml:space="preserve">GSTR-9 / 9C Annual Return, Tax Audit Report (Form 3CD)</t>
  </si>
  <si>
    <t xml:space="preserve">The company switched from commission accounting to gross billing, or won a large trading order needing no new capacity.</t>
  </si>
  <si>
    <t xml:space="preserve">FIN-030 (implausible asset turnover), FIN-031 (revenue per employee outlier), GST-007 (turnover spike without e-way bills)</t>
  </si>
  <si>
    <t xml:space="preserve">FIU-IND red flag; Beneish Sales Growth Index</t>
  </si>
  <si>
    <t xml:space="preserve">FIN-004</t>
  </si>
  <si>
    <t xml:space="preserve">Revenue concentration</t>
  </si>
  <si>
    <t xml:space="preserve">One customer accounts for over 75% of turnover</t>
  </si>
  <si>
    <t xml:space="preserve">Nearly all sales go to a single buyer. Concentration alone is common in SMEs, but in a shell it usually means the counterparty is the controller of the arrangement.</t>
  </si>
  <si>
    <t xml:space="preserve">top_customer_revenue_share &gt; 0.75 AND revenue_from_operations &gt; 20000000 AND top_customer_is_related_or_common_address == true</t>
  </si>
  <si>
    <t xml:space="preserve">Top customer &gt; 75% of turnover (&gt;90% without the relationship condition); turnover floor INR 2 crore</t>
  </si>
  <si>
    <t xml:space="preserve">Current FY</t>
  </si>
  <si>
    <t xml:space="preserve">top_customer_revenue_share, revenue_from_operations, top_customer_is_related_or_common_address, top3_customer_revenue_share, counterparty_gstin_count</t>
  </si>
  <si>
    <t xml:space="preserve">Concentration is normal and innocent for auto-component and electronics tier-1 vendors, contract manufacturers, captive BPO and export job-workers, and for any first-order startup — for these raise the bar to 90% and require a second flag. Treat concentration on a government or listed-company buyer as benign. It becomes meaningful when the buyer shares a director, address, bank IFSC or DSC with the entity, or when the buyer itself is newly incorporated. Suppress for SPVs formed to serve one concession or one contract, which are single-customer by design.</t>
  </si>
  <si>
    <t xml:space="preserve">GSTR-1, AOC-2 Related Party Annexure</t>
  </si>
  <si>
    <t xml:space="preserve">Tax Audit Report (Form 3CD), Form 26AS</t>
  </si>
  <si>
    <t xml:space="preserve">Statistical</t>
  </si>
  <si>
    <t xml:space="preserve">All</t>
  </si>
  <si>
    <t xml:space="preserve">Low</t>
  </si>
  <si>
    <t xml:space="preserve">A tier-1 supplier or captive service unit genuinely sells to one parent or one OEM.</t>
  </si>
  <si>
    <t xml:space="preserve">FIN-040 (related-party share of turnover), FIN-041 (circular sales and purchases), NET-006 (shared address with counterparty)</t>
  </si>
  <si>
    <t xml:space="preserve">FIU-IND red flag; Ind AS 108 concentration disclosure</t>
  </si>
  <si>
    <t xml:space="preserve">FIN-005</t>
  </si>
  <si>
    <t xml:space="preserve">Revenue vs tax filings</t>
  </si>
  <si>
    <t xml:space="preserve">Book turnover far exceeds GSTR-1 and e-invoice declared supply</t>
  </si>
  <si>
    <t xml:space="preserve">The accounts show much more sales than the company declared to GST or reported through e-invoicing. Either the sales are fabricated for lenders, or the tax filings hide them.</t>
  </si>
  <si>
    <t xml:space="preserve">(revenue_from_operations - gstr1_taxable_outward_supply - exempt_and_export_supply) / revenue_from_operations &gt; 0.15 AND revenue_from_operations &gt; 20000000 AND einvoice_irn_value / revenue_from_operations &lt; 0.7 AND einvoice_applicable == true</t>
  </si>
  <si>
    <t xml:space="preserve">Unreconciled gap &gt; 15% of book turnover; e-invoice coverage &lt; 70% where mandatory (aggregate turnover above INR 5 crore); turnover floor INR 2 crore</t>
  </si>
  <si>
    <t xml:space="preserve">revenue_from_operations, gstr1_taxable_outward_supply, exempt_and_export_supply, einvoice_irn_value, einvoice_applicable, other_income, gstr9c_reconciliation_difference</t>
  </si>
  <si>
    <t xml:space="preserve">Structural gaps are legitimate and must be netted first: schedule III non-GST income (interest, dividend, forex gain), securities and land sales outside GST, alcohol and petroleum, SEZ and LUT exports, Ind AS 115 unbilled revenue and percentage-of-completion accruals in EPC, and the March-billed-April-filed timing shift. Multi-state entities must be summed across all GSTINs on the PAN before comparison, otherwise this fires on every branch structure. Reverse the sign test as well: GST turnover far above book turnover indicates suppressed income. Suppress for pure service exporters whose GSTR-1 shows zero-rated supply only if LUT is on record.</t>
  </si>
  <si>
    <t xml:space="preserve">GSTR-9 / 9C Annual Return, GSTR-1, E-Invoice IRN Data</t>
  </si>
  <si>
    <t xml:space="preserve">AOC-4 / AOC-4 XBRL Financial Statements, Tax Audit Report (Form 3CD), Form 26AS</t>
  </si>
  <si>
    <t xml:space="preserve">Numeric (INR)</t>
  </si>
  <si>
    <t xml:space="preserve">Non-GST income such as interest and forex gain, or unbilled percentage-of-completion revenue, explains most of the difference.</t>
  </si>
  <si>
    <t xml:space="preserve">FIN-002 (zero margin), FIN-019 (impossible debtor days), GST-012 (GSTR-1 filed without GSTR-3B payment)</t>
  </si>
  <si>
    <t xml:space="preserve">GSTR-9C reconciliation; CBIC fake invoice typology</t>
  </si>
  <si>
    <t xml:space="preserve">FIN-006</t>
  </si>
  <si>
    <t xml:space="preserve">Revenue timing</t>
  </si>
  <si>
    <t xml:space="preserve">Revenue loaded into the last 15 days of the financial year</t>
  </si>
  <si>
    <t xml:space="preserve">A large slice of the year's sales is dated in the final fortnight of March. Backdated or manufactured sales cluster at year-end to hit a turnover, loan or subsidy target.</t>
  </si>
  <si>
    <t xml:space="preserve">last_15_days_march_revenue / revenue_from_operations &gt; 0.30 AND last_15_days_march_revenue / revenue_from_operations &gt; 3 * average_fortnight_revenue_share AND revenue_from_operations &gt; 20000000</t>
  </si>
  <si>
    <t xml:space="preserve">&gt; 30% of annual turnover invoiced 17-31 March and &gt; 3x the average fortnight share; turnover floor INR 2 crore</t>
  </si>
  <si>
    <t xml:space="preserve">Current FY with 3 FY seasonal baseline</t>
  </si>
  <si>
    <t xml:space="preserve">last_15_days_march_revenue, revenue_from_operations, average_fortnight_revenue_share, march_credit_note_value_next_quarter, einvoice_irn_timestamp_distribution, nic_code</t>
  </si>
  <si>
    <t xml:space="preserve">Genuine March peaks exist across Indian business: government and PSU supply contracts settle before the appropriation lapses, insurance and tax-saving financial products peak in Q4, construction certification and infrastructure milestone billing bunch at year-end, and fertiliser or agri-input dispatch follows the rabi cycle. Build the baseline from the entity's own three-year March pattern and from sector peers rather than a flat calendar, and only escalate when March sales are reversed by credit notes in April-June or when the e-invoice IRN timestamps show many invoices generated on the same day for consecutive dates. Suppress for entities whose customers are wholly government departments.</t>
  </si>
  <si>
    <t xml:space="preserve">E-Invoice IRN Data, GSTR-1</t>
  </si>
  <si>
    <t xml:space="preserve">Government supply orders and construction milestone certifications genuinely bunch into March.</t>
  </si>
  <si>
    <t xml:space="preserve">FIN-018 (receivables outrunning revenue), FIN-035 (Benford deviation on invoice values), GST-015 (credit notes in the following quarter)</t>
  </si>
  <si>
    <t xml:space="preserve">ICAI FAFP guidance on cut-off testing; SEBI channel-stuffing cases</t>
  </si>
  <si>
    <t xml:space="preserve">FIN-007</t>
  </si>
  <si>
    <t xml:space="preserve">Absent cost structure</t>
  </si>
  <si>
    <t xml:space="preserve">Employee benefit expense below 0.5% of turnover</t>
  </si>
  <si>
    <t xml:space="preserve">The company reports crores of sales but almost no wage cost. Businesses need people; an entity that runs a large turnover with no payroll is usually only moving paper.</t>
  </si>
  <si>
    <t xml:space="preserve">employee_benefit_expense / revenue_from_operations &lt; 0.005 AND revenue_from_operations &gt; 50000000 AND epfo_employee_count &lt; 5</t>
  </si>
  <si>
    <t xml:space="preserve">Payroll &lt; 0.5% of turnover; turnover floor INR 5 crore; EPFO headcount &lt; 5</t>
  </si>
  <si>
    <t xml:space="preserve">Current FY, confirm over 2 FY</t>
  </si>
  <si>
    <t xml:space="preserve">employee_benefit_expense, revenue_from_operations, epfo_employee_count, directors_remuneration, contract_labour_expense, nic_code, related_party_manpower_charges</t>
  </si>
  <si>
    <t xml:space="preserve">Payroll intensity is business-model driven: wholesale trading, commodity broking, pure holding companies and single-owner consultancies legitimately run 0.1-1% payroll, while manufacturing runs 6-15%, IT services 55-70%, construction 8-12% and staffing firms above 85%. Set the threshold from the NIC-code peer distribution, not a flat number. Before flagging, add back contract labour, manpower supplied by a group company and directors' remuneration, because shared-services groups pay staff from one entity and cross-charge. Suppress where the entity is a dormant or holding structure under MSC-1, and for FY1. Tighten where turnover exceeds INR 25 crore with EPFO registration absent altogether.</t>
  </si>
  <si>
    <t xml:space="preserve">AOC-4 / AOC-4 XBRL Financial Statements, EPFO ECR Filing</t>
  </si>
  <si>
    <t xml:space="preserve">TDS Returns (24Q / 26Q), Tax Audit Report (Form 3CD), ESIC Contribution Record</t>
  </si>
  <si>
    <t xml:space="preserve">A trading or holding company runs on two promoters and outsources everything, or staff sit on a group company payroll and are cross-charged.</t>
  </si>
  <si>
    <t xml:space="preserve">FIN-008 (no premises cost), FIN-031 (revenue per employee outlier), EMP-003 (no EPFO or ESIC registration)</t>
  </si>
  <si>
    <t xml:space="preserve">FIU-IND shell company red flags; MCA shell company identification criteria</t>
  </si>
  <si>
    <t xml:space="preserve">FIN-008</t>
  </si>
  <si>
    <t xml:space="preserve">Nil rent and nil power expense with no owned premises</t>
  </si>
  <si>
    <t xml:space="preserve">The books show no rent and no electricity, yet the company owns no building. A working business occupies space and consumes power somewhere.</t>
  </si>
  <si>
    <t xml:space="preserve">rent_expense &lt; 0.001 * revenue_from_operations AND power_and_fuel_expense &lt; 0.001 * revenue_from_operations AND land_and_building_gross_block == 0 AND revenue_from_operations &gt; 10000000</t>
  </si>
  <si>
    <t xml:space="preserve">Rent and power each &lt; 0.1% of turnover; nil land and building in gross block; turnover floor INR 1 crore</t>
  </si>
  <si>
    <t xml:space="preserve">rent_expense, power_and_fuel_expense, land_and_building_gross_block, revenue_from_operations, related_party_rent_recovery, registered_office_type, right_of_use_asset</t>
  </si>
  <si>
    <t xml:space="preserve">Three legitimate patterns must be excluded first: premises provided free by a promoter or group company (look for a rent-free note in AOC-2 and for reimbursement lines), Ind AS 116 lessees who show right-of-use asset and depreciation instead of a rent line, and virtual or co-working registrations where a single bundled facility charge sits in miscellaneous expenses. Power is genuinely negligible for consultancies, brokers, and agents but never for manufacturing, cold chain, hospitality or data-centre operations — for those NIC codes nil power is close to conclusive. Suppress for entities registered at a promoter's residential address in FY1, and for LLPs of professionals.</t>
  </si>
  <si>
    <t xml:space="preserve">AOC-4 / AOC-4 XBRL Financial Statements, Electricity / Utility Bill</t>
  </si>
  <si>
    <t xml:space="preserve">Rent Agreement / Lease Deed, INC-22 Registered Office, Property Tax Record</t>
  </si>
  <si>
    <t xml:space="preserve">The promoter provides the office free of cost or the lease is capitalised as a right-of-use asset instead of rent.</t>
  </si>
  <si>
    <t xml:space="preserve">FIN-007 (no payroll), FIN-013 (no fixed assets), REG-002 (registered office shared by many companies)</t>
  </si>
  <si>
    <t xml:space="preserve">MCA shell company identification criteria; Ind AS 116</t>
  </si>
  <si>
    <t xml:space="preserve">FIN-009</t>
  </si>
  <si>
    <t xml:space="preserve">Nil freight, selling and travel expense on a goods trading turnover</t>
  </si>
  <si>
    <t xml:space="preserve">The company claims to buy and sell goods but spends nothing on transport, marketing or travel. Physical trade cannot happen without moving goods and meeting buyers.</t>
  </si>
  <si>
    <t xml:space="preserve">(freight_and_transport_expense + selling_and_distribution_expense + travelling_expense) / revenue_from_operations &lt; 0.002 AND purchases_of_stock_in_trade &gt; 20000000 AND eway_bill_count &lt; 10</t>
  </si>
  <si>
    <t xml:space="preserve">Combined freight, selling and travel &lt; 0.2% of turnover; purchases floor INR 2 crore; fewer than 10 e-way bills in the year</t>
  </si>
  <si>
    <t xml:space="preserve">freight_and_transport_expense, selling_and_distribution_expense, travelling_expense, purchases_of_stock_in_trade, revenue_from_operations, eway_bill_count, nic_code</t>
  </si>
  <si>
    <t xml:space="preserve">Ex-works and FOB terms genuinely push freight onto the buyer, high-seas and bond-to-bond sales move goods without the seller paying transport, and commodity trades settled on delivery orders in a warehouse need no vehicle movement — check Incoterms in the sample invoices before scoring. Services, software and financial entities have no freight by nature, so restrict this rule to entities with purchases of stock-in-trade or raw material above the floor. Selling and travel near zero is expected for captive suppliers and job-workers with one customer but is implausible for anyone claiming a growing open-market customer base. Tighten where e-way bill count is zero against a nine-figure turnover.</t>
  </si>
  <si>
    <t xml:space="preserve">AOC-4 / AOC-4 XBRL Financial Statements, E-Way Bill Data</t>
  </si>
  <si>
    <t xml:space="preserve">Tax Audit Report (Form 3CD), GSTR-1</t>
  </si>
  <si>
    <t xml:space="preserve">Pvt Ltd, Public Ltd, OPC, LLP, Partnership, Proprietorship</t>
  </si>
  <si>
    <t xml:space="preserve">All sales are ex-works or high-seas, so the buyer arranges and pays for transport.</t>
  </si>
  <si>
    <t xml:space="preserve">FIN-012 (COGS with no stock movement), FIN-014 (nil closing inventory), GST-009 (e-way bill value far below invoice value)</t>
  </si>
  <si>
    <t xml:space="preserve">FATF TBML typology; CBIC circular trading typology</t>
  </si>
  <si>
    <t xml:space="preserve">FIN-010</t>
  </si>
  <si>
    <t xml:space="preserve">Nil insurance expense despite material inventory and fixed assets</t>
  </si>
  <si>
    <t xml:space="preserve">The company reports valuable stock or plant but pays no insurance premium. Assets that really exist are almost always insured, especially when they are financed.</t>
  </si>
  <si>
    <t xml:space="preserve">insurance_expense &lt; 50000 AND (closing_inventory + net_fixed_assets) &gt; 50000000 AND secured_borrowings &gt; 0</t>
  </si>
  <si>
    <t xml:space="preserve">Insurance under INR 50,000 a year; insurable assets above INR 5 crore; any secured borrowing outstanding</t>
  </si>
  <si>
    <t xml:space="preserve">insurance_expense, closing_inventory, net_fixed_assets, secured_borrowings, group_insurance_recovery, nic_code</t>
  </si>
  <si>
    <t xml:space="preserve">Weak on its own because insurance is often booked inside miscellaneous expenses, prepaid and amortised, or taken as a single group policy paid by the holding company and cross-charged — check prepaid expenses and related-party recoveries before scoring. Genuinely low for pure service, IT and consulting entities with no stock, and for entities whose assets are land only. The signal sharpens when there is a bank charge over stock (CHG-1) because lenders contractually insist on insurance with the bank as loss payee, so nil premium implies the hypothecated stock does not exist. Suppress for leased or third-party-owned plant where the lessor insures.</t>
  </si>
  <si>
    <t xml:space="preserve">AOC-4 / AOC-4 XBRL Financial Statements, Insurance Policy Record</t>
  </si>
  <si>
    <t xml:space="preserve">CHG-1 / CHG-4 / CHG-9 Index of Charges, Tax Audit Report (Form 3CD)</t>
  </si>
  <si>
    <t xml:space="preserve">Insurance is paid centrally by the group or sits inside miscellaneous expenses rather than a separate line.</t>
  </si>
  <si>
    <t xml:space="preserve">FIN-014 (nil closing inventory), FIN-051 (CARO adverse on stock verification), BANK-008 (drawing power based on unverified stock statements)</t>
  </si>
  <si>
    <t xml:space="preserve">CARO 2020 clause 3(ii); bank stock audit practice</t>
  </si>
  <si>
    <t xml:space="preserve">FIN-011</t>
  </si>
  <si>
    <t xml:space="preserve">Negligible bank charges against very large bank turnover</t>
  </si>
  <si>
    <t xml:space="preserve">Crores move through the accounts but the company pays almost nothing in bank charges or interest. Real banking volume attracts fees; unusually low fees suggest the volume is not what it seems.</t>
  </si>
  <si>
    <t xml:space="preserve">bank_charges_expense &lt; 0.0002 * bank_credit_turnover AND bank_credit_turnover &gt; 100000000 AND finance_cost &lt; 0.02 * total_borrowings</t>
  </si>
  <si>
    <t xml:space="preserve">Bank charges &lt; 0.02% of credit turnover; credit turnover floor INR 10 crore; finance cost &lt; 2% of borrowings</t>
  </si>
  <si>
    <t xml:space="preserve">bank_charges_expense, bank_credit_turnover, finance_cost, total_borrowings, number_of_bank_accounts, cash_credit_limit_utilisation</t>
  </si>
  <si>
    <t xml:space="preserve">Current accounts with high-value NEFT and RTGS carry near-zero per-transaction cost, so this only bites when combined with the absence of any commission, LC, BG, processing or inspection charge in an entity that claims trade finance. Corporates on negotiated zero-charge packages, entities banking with a co-operative bank, and those whose charges are netted in the statement rather than booked separately will fire falsely — verify from the bank statement narration, not the P&amp;L alone. The mirror case matters more: finance cost far below 2% of reported borrowings implies the borrowings are interest-free related-party money dressed up as debt. Suppress for entities with no borrowings and low transaction counts.</t>
  </si>
  <si>
    <t xml:space="preserve">Bank Statement, AOC-4 / AOC-4 XBRL Financial Statements</t>
  </si>
  <si>
    <t xml:space="preserve">Tax Audit Report (Form 3CD), Loan Sanction / Facility Letter</t>
  </si>
  <si>
    <t xml:space="preserve">The bank waives charges on a negotiated corporate package and nets what it does levy inside the statement.</t>
  </si>
  <si>
    <t xml:space="preserve">FIN-033 (finance cost inconsistent with borrowings), FIN-046 (director loans dwarf equity), BANK-004 (pass-through account with same-day in and out)</t>
  </si>
  <si>
    <t xml:space="preserve">FIU-IND pass-through account typology</t>
  </si>
  <si>
    <t xml:space="preserve">FIN-012</t>
  </si>
  <si>
    <t xml:space="preserve">Inventory and COGS integrity</t>
  </si>
  <si>
    <t xml:space="preserve">Cost of goods sold booked with no inventory movement</t>
  </si>
  <si>
    <t xml:space="preserve">The company charges large purchases to cost of sales while opening and closing stock stay at zero or unchanged. Goods that were never held cannot have been sold.</t>
  </si>
  <si>
    <t xml:space="preserve">cost_of_goods_sold &gt; 50000000 AND opening_inventory &lt;= 0.001 * cost_of_goods_sold AND closing_inventory &lt;= 0.001 * cost_of_goods_sold AND eway_bill_count &lt; 20 AND warehouse_or_godown_declared == false</t>
  </si>
  <si>
    <t xml:space="preserve">COGS above INR 5 crore with opening and closing stock each under 0.1% of COGS; fewer than 20 inward or outward e-way bills; no declared additional place of business</t>
  </si>
  <si>
    <t xml:space="preserve">Current FY, test 3 FY for repetition</t>
  </si>
  <si>
    <t xml:space="preserve">cost_of_goods_sold, opening_inventory, closing_inventory, purchases_of_stock_in_trade, eway_bill_count, warehouse_or_godown_declared, freight_and_transport_expense</t>
  </si>
  <si>
    <t xml:space="preserve">Drop-shipping, back-to-back and high-seas trade legitimately produce zero stock at both ends, so the decisive corroborant is transport evidence: a genuine back-to-back trader still appears as consignor or consignee on e-way bills and pays or recovers freight. Services, software licence resale and digital goods have no physical movement and must be excluded by NIC code and HSN or SAC mix. Just-in-time manufacturers hold days, not zero, of stock. Treat the rule as near conclusive when COGS is nine figures, e-way bills are absent, freight is nil and the entity has only one registered place of business. Suppress for commission agents who correctly report net revenue and hold no stock.</t>
  </si>
  <si>
    <t xml:space="preserve">AOC-4 / AOC-4 XBRL Financial Statements, E-Way Bill Data, GST Registration Certificate (REG-06)</t>
  </si>
  <si>
    <t xml:space="preserve">Tax Audit Report (Form 3CD), GSTR-9 / 9C Annual Return</t>
  </si>
  <si>
    <t xml:space="preserve">The entity is a genuine back-to-back or high-seas trader whose goods never enter its own warehouse.</t>
  </si>
  <si>
    <t xml:space="preserve">FIN-009 (nil freight), FIN-002 (zero margin), GST-006 (ITC claimed with no matching e-way bill)</t>
  </si>
  <si>
    <t xml:space="preserve">CBIC fake invoice / bill trading typology; CARO 2020 clause 3(ii)</t>
  </si>
  <si>
    <t xml:space="preserve">FIN-013</t>
  </si>
  <si>
    <t xml:space="preserve">Asset structure</t>
  </si>
  <si>
    <t xml:space="preserve">Zero or negligible fixed assets against large turnover</t>
  </si>
  <si>
    <t xml:space="preserve">The company reports very large sales but owns almost no plant, equipment or vehicles. Operations of that size normally leave a visible asset footprint.</t>
  </si>
  <si>
    <t xml:space="preserve">gross_fixed_assets / revenue_from_operations &lt; 0.01 AND revenue_from_operations &gt; 100000000 AND right_of_use_asset &lt; 0.01 * revenue_from_operations AND nic_code_sector != 'services'</t>
  </si>
  <si>
    <t xml:space="preserve">Gross block &lt; 1% of turnover; turnover floor INR 10 crore; right-of-use assets also below 1%</t>
  </si>
  <si>
    <t xml:space="preserve">gross_fixed_assets, revenue_from_operations, right_of_use_asset, nic_code_sector, depreciation_expense, job_work_charges, nic_code</t>
  </si>
  <si>
    <t xml:space="preserve">Asset-light is a legitimate strategy, not a crime: consultancies, IT services, insurance and travel agencies, and pure traders who use third-party warehouses genuinely run gross block under 1% of turnover. Restrict the rule to entities whose NIC code implies production, processing, mining, hospitality or transport, where capital intensity below 1% is structurally impossible. Also net in leased capacity — Ind AS 116 right-of-use assets, job-work charges paid to third parties and machinery taken on operating lease are all substitutes for owned plant, and their presence should suppress the flag. Tighten where depreciation is nil across three years while turnover grows, and for entities claiming manufacturing exemptions or production-linked incentives.</t>
  </si>
  <si>
    <t xml:space="preserve">AOC-4 / AOC-4 XBRL Financial Statements</t>
  </si>
  <si>
    <t xml:space="preserve">Tax Audit Report (Form 3CD), Income Tax Return (ITR-5 / ITR-6), Site Visit Report</t>
  </si>
  <si>
    <t xml:space="preserve">The company is a genuine asset-light trader or service provider that leases everything it uses.</t>
  </si>
  <si>
    <t xml:space="preserve">FIN-030 (asset turnover impossible), FIN-008 (no premises cost), OPS-005 (no site or plant found on visit)</t>
  </si>
  <si>
    <t xml:space="preserve">MCA shell company identification criteria; FIU-IND red flag</t>
  </si>
  <si>
    <t xml:space="preserve">FIN-014</t>
  </si>
  <si>
    <t xml:space="preserve">Trading entity reports nil closing inventory at every year-end</t>
  </si>
  <si>
    <t xml:space="preserve">A company that buys and sells goods shows exactly zero stock on every balance sheet date. Real traders almost always carry something; a flat zero suggests the goods are only on paper.</t>
  </si>
  <si>
    <t xml:space="preserve">closing_inventory == 0 AND purchases_of_stock_in_trade &gt; 30000000 AND years_with_nil_closing_inventory &gt;= 3 AND nic_code_sector == 'trade'</t>
  </si>
  <si>
    <t xml:space="preserve">Nil closing stock in 3 consecutive FY; annual purchases above INR 3 crore</t>
  </si>
  <si>
    <t xml:space="preserve">closing_inventory, purchases_of_stock_in_trade, years_with_nil_closing_inventory, nic_code_sector, inventory_turnover_days, stock_statement_to_bank_value</t>
  </si>
  <si>
    <t xml:space="preserve">Perishables, made-to-order and pure agency models can genuinely clear stock by 31 March, and many small traders time purchases to end the year flat for tax simplicity, so a single nil year is meaningless — the signal is the unbroken three-year pattern combined with large purchase volume. The strongest corroboration is a contradiction with the monthly stock statements filed with the bank for drawing power: stock declared to the lender in March against nil stock in the audited accounts is close to conclusive. Suppress for commission agents, e-commerce marketplace facilitators and entities on consignment sale where stock belongs to the principal. Tighten where CARO clause 3(ii) records that no physical verification was carried out.</t>
  </si>
  <si>
    <t xml:space="preserve">AOC-4 / AOC-4 XBRL Financial Statements, CARO Annexure</t>
  </si>
  <si>
    <t xml:space="preserve">Tax Audit Report (Form 3CD), Bank Statement, Loan Sanction / Facility Letter</t>
  </si>
  <si>
    <t xml:space="preserve">The trader works to order and deliberately clears all stock before the year-end.</t>
  </si>
  <si>
    <t xml:space="preserve">FIN-012 (COGS with no stock movement), FIN-051 (CARO 3(ii) adverse), BANK-008 (stock statements contradict audited stock)</t>
  </si>
  <si>
    <t xml:space="preserve">FIN-015</t>
  </si>
  <si>
    <t xml:space="preserve">Asset composition</t>
  </si>
  <si>
    <t xml:space="preserve">Balance sheet dominated by loans, advances and investments in group entities</t>
  </si>
  <si>
    <t xml:space="preserve">Most of what the company owns is money lent to or invested in its own group, not plant, stock or customer dues. This is the classic shape of a conduit that only moves money between related boxes.</t>
  </si>
  <si>
    <t xml:space="preserve">(loans_and_advances_to_related_parties + investments_in_group_entities) / total_assets &gt; 0.60 AND total_assets &gt; 20000000 AND (property_plant_and_equipment + inventories + trade_receivables) / total_assets &lt; 0.15</t>
  </si>
  <si>
    <t xml:space="preserve">Related-party loans plus group investments &gt; 60% of total assets; operating assets &lt; 15% of total assets; total assets floor INR 2 crore</t>
  </si>
  <si>
    <t xml:space="preserve">loans_and_advances_to_related_parties, investments_in_group_entities, total_assets, property_plant_and_equipment, inventories, trade_receivables, nic_code, cin_registered_activity</t>
  </si>
  <si>
    <t xml:space="preserve">Suppress entirely for declared holding and core investment companies (NIC 6420/6430/6499, CIC-ND-SI registered with RBI) and for NBFC-ICCs where on-lending is the licensed business — for those, test instead whether the borrowers are arm's-length third parties. Suppress for the top holdco of a genuine group that files AOC-4 CFS with consolidated operating subsidiaries. Tighten to 35% for entities whose MOA main object is manufacturing, trading, construction or services, because there the working capital should sit in stock and receivables. Tighten further and lift severity when the counterparties are themselves thinly-filed private companies with common directors, and when the advances carry no repayment schedule under CARO 2020 clause 3(iii)(c). Relax for the first two FYs of a holding structure being built, and for treasury-heavy exporters who legitimately park surplus in group ICDs but still show real operating assets.</t>
  </si>
  <si>
    <t xml:space="preserve">AOC-4 / AOC-4 XBRL Financial Statements, AOC-2 Related Party Annexure</t>
  </si>
  <si>
    <t xml:space="preserve">AOC-4 CFS Consolidated, Income Tax Return (ITR-5 / ITR-6), Tax Audit Report (Form 3CD)</t>
  </si>
  <si>
    <t xml:space="preserve">A genuine holding company or a group treasury arm legitimately holds most of its value as investments in and loans to subsidiaries.</t>
  </si>
  <si>
    <t xml:space="preserve">FIN-001 (near-nil revenue vs large balance sheet), FIN-046 (related-party share of turnover), OWN-012 (common directors across counterparties)</t>
  </si>
  <si>
    <t xml:space="preserve">Companies Act 2013 s.186; CARO 2020 clause 3(iii); MCA shell company identification criteria</t>
  </si>
  <si>
    <t xml:space="preserve">FIN-016</t>
  </si>
  <si>
    <t xml:space="preserve">Intangible assets</t>
  </si>
  <si>
    <t xml:space="preserve">Material goodwill or intangibles with no valuer report and no impairment test</t>
  </si>
  <si>
    <t xml:space="preserve">A large slice of the balance sheet is goodwill, brand, software or 'technical know-how' that nobody has independently valued. Fabricated intangibles are the cheapest way to inflate assets and net worth without moving cash.</t>
  </si>
  <si>
    <t xml:space="preserve">(goodwill + other_intangible_assets) / total_assets &gt; 0.25 AND valuation_report_present == FALSE AND impairment_charge_current_fy == 0 AND intangible_addition_counterparty_related == TRUE</t>
  </si>
  <si>
    <t xml:space="preserve">Goodwill plus intangibles &gt; 25% of total assets; no registered valuer report u/s 247; nil impairment for 3 consecutive FY</t>
  </si>
  <si>
    <t xml:space="preserve">goodwill, other_intangible_assets, total_assets, valuation_report_present, impairment_charge_current_fy, intangible_addition_counterparty_related, amortisation_expense</t>
  </si>
  <si>
    <t xml:space="preserve">Software product firms, pharma with acquired dossiers, media houses with content libraries and post-merger entities carrying purchase-price-allocation goodwill will all trip this legitimately — for them require the NCLT scheme order or share purchase agreement before scoring, and suppress if a Ind AS 36 impairment memo is on file. Under Ind AS 103 goodwill is not amortised, so nil amortisation alone is not suspicious for Ind AS filers; it is suspicious for AS 26 filers, where goodwill must be amortised (10-year default). Tighten hard when the intangible was acquired from a related party, when the payment was in shares rather than cash, or when the carrying value alone converts a negative net worth into a positive one. Relax for startups capitalising development cost with a genuine payroll base behind it.</t>
  </si>
  <si>
    <t xml:space="preserve">AOC-4 / AOC-4 XBRL Financial Statements, Auditor Report</t>
  </si>
  <si>
    <t xml:space="preserve">CARO Annexure, MGT-14 Resolutions, Trademark / IP Registry, NCLT / NCLAT Orders</t>
  </si>
  <si>
    <t xml:space="preserve">Manual/Analyst</t>
  </si>
  <si>
    <t xml:space="preserve">Pvt Ltd, Public Ltd, LLP</t>
  </si>
  <si>
    <t xml:space="preserve">Goodwill arising from a genuine acquisition or an approved merger scheme sits on the books and, under Ind AS, is tested rather than amortised.</t>
  </si>
  <si>
    <t xml:space="preserve">FIN-018 (revalued assets propping up net worth), FIN-051 (share premium with no valuation report), OWN-021 (acquisition from connected party)</t>
  </si>
  <si>
    <t xml:space="preserve">Companies Act 2013 s.247 registered valuer; Ind AS 36 / Ind AS 38; AS 26</t>
  </si>
  <si>
    <t xml:space="preserve">FIN-017</t>
  </si>
  <si>
    <t xml:space="preserve">Capital work-in-progress</t>
  </si>
  <si>
    <t xml:space="preserve">Capital work-in-progress unchanged for three or more years with no capitalisation</t>
  </si>
  <si>
    <t xml:space="preserve">Money shown as spent on a project under construction has not moved and nothing has been commissioned for years. Frozen CWIP is a common parking slot for funds that were actually siphoned out.</t>
  </si>
  <si>
    <t xml:space="preserve">capital_work_in_progress &gt; 0.20 * total_assets AND abs(capital_work_in_progress - capital_work_in_progress_prior_fy) / capital_work_in_progress &lt; 0.05 AND capitalised_to_ppe_during_fy == 0 AND cwip_ageing_over_3_years_amount &gt; 0.50 * capital_work_in_progress</t>
  </si>
  <si>
    <t xml:space="preserve">CWIP &gt; 20% of total assets; year-on-year movement &lt; 5%; nil transfer to PPE; &gt; 50% of CWIP in the '&gt;3 years' Schedule III ageing bucket</t>
  </si>
  <si>
    <t xml:space="preserve">capital_work_in_progress, capital_work_in_progress_prior_fy, total_assets, capitalised_to_ppe_during_fy, cwip_ageing_over_3_years_amount, project_suspended_flag, nic_code</t>
  </si>
  <si>
    <t xml:space="preserve">Schedule III (as amended 24 March 2021) mandates a CWIP ageing schedule and a separate table for projects whose completion is overdue or temporarily suspended — read those two tables first, because a disclosed and explained delay is a different animal from silent freezing. Genuine causes to suppress on evidence: land acquisition or environmental-clearance litigation, a stalled real-estate project under RERA with a filed revised completion date, infrastructure concessions awaiting authority handover, and COVID-era stoppages. Tighten when the CWIP has no corresponding contractor bills, no GST input credit trail on capital goods, no e-way bills for construction material, and no borrowing cost capitalised despite large secured loans. Suppress for the first two FYs of any greenfield SPV. Lift severity when CWIP is funded by unsecured loans from related parties.</t>
  </si>
  <si>
    <t xml:space="preserve">GSTR-2A / 2B, E-Way Bill Data, Site Visit Report, Photograph with Geotag</t>
  </si>
  <si>
    <t xml:space="preserve">A genuine project is stalled by land, clearance or funding disputes and the cost legitimately sits in CWIP until commissioning.</t>
  </si>
  <si>
    <t xml:space="preserve">FIN-019 (no depreciation charged), FIN-024 (near-zero cash at every period end), TAX-009 (no capital-goods ITC claimed)</t>
  </si>
  <si>
    <t xml:space="preserve">Schedule III Division I/II CWIP ageing; CARO 2020 clause 3(i)</t>
  </si>
  <si>
    <t xml:space="preserve">FIN-018</t>
  </si>
  <si>
    <t xml:space="preserve">Net worth quality</t>
  </si>
  <si>
    <t xml:space="preserve">Revaluation reserve carries net worth that would otherwise be negative or trivial</t>
  </si>
  <si>
    <t xml:space="preserve">The company wrote up the value of its own land or assets and booked the gain to reserves, and that write-up is what keeps net worth positive. No cash came in; the strength is on paper only.</t>
  </si>
  <si>
    <t xml:space="preserve">revaluation_reserve &gt; 0 AND (net_worth - revaluation_reserve) &lt;= 0 AND revaluation_reserve / net_worth &gt; 0.40 AND registered_valuer_report_present == FALSE</t>
  </si>
  <si>
    <t xml:space="preserve">Revaluation reserve &gt; 40% of net worth; net worth excluding revaluation &lt;= 0; no registered valuer report</t>
  </si>
  <si>
    <t xml:space="preserve">revaluation_reserve, net_worth, registered_valuer_report_present, land_and_building_gross_block, revaluation_increase_percent, borrowings_secured_on_revalued_asset</t>
  </si>
  <si>
    <t xml:space="preserve">Revaluation is legal and common for old manufacturing and hotel companies holding land bought decades ago — the question is who valued it and what it is being used for. Suppress when a registered valuer report u/s 247 is on file, the uplift is on land whose circle rate independently supports it, and no fresh borrowing or share issue followed the revaluation. Tighten sharply when (a) CARO 2020 clause 3(i)(d) is triggered because the change exceeds 10% of the aggregate net carrying value, (b) the revalued asset was immediately charged to a lender, (c) the revaluation happened in the same year as a preferential allotment or a large guarantee, or (d) title deeds are not in the company's name under clause 3(i)(c). Ind AS filers using the revaluation model for a whole class of PPE with annual revision are lower risk than a one-off uplift by an AS filer.</t>
  </si>
  <si>
    <t xml:space="preserve">Auditor Report, CHG-1 / CHG-4 / CHG-9 Index of Charges, Property Tax Record, CERSAI Charge Registry</t>
  </si>
  <si>
    <t xml:space="preserve">Pvt Ltd, Public Ltd, LLP, Partnership</t>
  </si>
  <si>
    <t xml:space="preserve">An old company revalued land held at 1970s cost using a proper valuer, which genuinely restates net worth without any fraud.</t>
  </si>
  <si>
    <t xml:space="preserve">FIN-016 (unvalued intangibles), FIN-055 (negative net worth with large operations), BNK-018 (loan sanctioned against inflated collateral)</t>
  </si>
  <si>
    <t xml:space="preserve">CARO 2020 clause 3(i)(d); Companies Act 2013 s.247; Ind AS 16 revaluation model</t>
  </si>
  <si>
    <t xml:space="preserve">FIN-019</t>
  </si>
  <si>
    <t xml:space="preserve">Depreciation integrity</t>
  </si>
  <si>
    <t xml:space="preserve">Depreciable fixed assets on the books with nil or negligible depreciation charged</t>
  </si>
  <si>
    <t xml:space="preserve">The company reports plant, vehicles or equipment but charges almost no depreciation, which is not optional under law. Either the assets do not exist or profit is being propped up.</t>
  </si>
  <si>
    <t xml:space="preserve">depreciation_and_amortisation_expense / depreciable_gross_block &lt; 0.02 AND depreciable_gross_block &gt; 5000000 AND asset_held_full_year_flag == TRUE AND depreciation_claimed_in_itr &gt; 2 * depreciation_and_amortisation_expense</t>
  </si>
  <si>
    <t xml:space="preserve">Book depreciation &lt; 2% of depreciable gross block; gross block floor INR 50 lakh; ITR-to-books depreciation gap &gt; 2x</t>
  </si>
  <si>
    <t xml:space="preserve">depreciation_and_amortisation_expense, depreciable_gross_block, asset_held_full_year_flag, depreciation_claimed_in_itr, land_gross_block, capital_work_in_progress, accumulated_depreciation</t>
  </si>
  <si>
    <t xml:space="preserve">Strip out land (not depreciable) and CWIP (not yet depreciated) before computing the ratio — this is the single biggest source of false positives. Fully depreciated assets still in the gross block legitimately attract only residual charge, so also test accumulated_depreciation / depreciable_gross_block &gt; 0.90 and suppress if true. Assets acquired late in the year attract pro-rata charge under Schedule II, so require asset_held_full_year_flag. A large gap between Income-tax Act WDV depreciation and Schedule II book depreciation is normal in direction but not in magnitude — a 2x-plus gap where books are the lower figure suggests the asset is claimed to the tax department but not carried honestly in the accounts, or vice versa. Tighten for asset-heavy NIC codes (manufacturing, logistics, hospitality); relax for investment and holding companies whose only 'assets' are office fittings.</t>
  </si>
  <si>
    <t xml:space="preserve">Income Tax Return (ITR-5 / ITR-6), CARO Annexure</t>
  </si>
  <si>
    <t xml:space="preserve">The gross block is almost fully depreciated already, or consists mainly of land and work-in-progress that carry no charge.</t>
  </si>
  <si>
    <t xml:space="preserve">FIN-013 (zero fixed assets vs large turnover), FIN-017 (frozen CWIP), CMP-014 (Form 3CD clause 18 inconsistency)</t>
  </si>
  <si>
    <t xml:space="preserve">Companies Act 2013 Schedule II; Income-tax Act s.32; CARO 2020 clause 3(i)(a)</t>
  </si>
  <si>
    <t xml:space="preserve">FIN-020</t>
  </si>
  <si>
    <t xml:space="preserve">Asset churn</t>
  </si>
  <si>
    <t xml:space="preserve">Large fixed asset additions and disposals inside the same financial year</t>
  </si>
  <si>
    <t xml:space="preserve">Assets appear and disappear within one year, leaving little or nothing in the closing block. This round-tripping of assets is used to justify large payments to related parties or to generate paper losses.</t>
  </si>
  <si>
    <t xml:space="preserve">fixed_asset_additions_during_fy &gt; 0.30 * opening_gross_block AND fixed_asset_disposals_during_fy &gt; 0.70 * fixed_asset_additions_during_fy AND holding_period_days_median &lt; 270 AND profit_or_loss_on_asset_sale_abs &lt; 0.02 * fixed_asset_disposals_during_fy</t>
  </si>
  <si>
    <t xml:space="preserve">Additions &gt; 30% of opening gross block; disposals &gt; 70% of additions; median holding &lt; 270 days; sale gain or loss &lt; 2% of disposal value</t>
  </si>
  <si>
    <t xml:space="preserve">fixed_asset_additions_during_fy, fixed_asset_disposals_during_fy, opening_gross_block, holding_period_days_median, profit_or_loss_on_asset_sale_abs, disposal_counterparty_related_flag</t>
  </si>
  <si>
    <t xml:space="preserve">Legitimate high-churn models must be carved out first: equipment rental and leasing companies, commercial vehicle operators refreshing fleets, IT firms on a three-year laptop cycle, and construction contractors who buy and redeploy site equipment. For those, test churn against sector median rather than an absolute cut. The strongest fraud signal is an at-cost round trip — buying and selling at almost identical value so no gain or loss appears — especially when both counterparties are related parties, when no GST was paid on the outward supply of the capital asset, or when the asset never generated any depreciation or revenue in between. Relax in a genuine restructuring year (slump sale, demerger) where the NCLT scheme or BTA is on record. Tighten when the same asset description recurs across group entities.</t>
  </si>
  <si>
    <t xml:space="preserve">GSTR-1, E-Way Bill Data, AOC-2 Related Party Annexure</t>
  </si>
  <si>
    <t xml:space="preserve">An equipment-rental or fleet business genuinely buys and sells assets continuously as part of its trade.</t>
  </si>
  <si>
    <t xml:space="preserve">FIN-046 (related-party share of turnover), FIN-047 (mirrored sale and purchase with same counterparty), TAX-016 (capital goods without e-way bill)</t>
  </si>
  <si>
    <t xml:space="preserve">FATF TBML typology — asset round-tripping; Income-tax Act s.43(1) Explanation 3</t>
  </si>
  <si>
    <t xml:space="preserve">FIN-021</t>
  </si>
  <si>
    <t xml:space="preserve">Working capital quality</t>
  </si>
  <si>
    <t xml:space="preserve">Trade receivables growing far faster than revenue over consecutive years</t>
  </si>
  <si>
    <t xml:space="preserve">Sales rise a little but customer dues rise a lot, so the money is never actually collected. This is the standard footprint of invoices raised to a friendly party purely to show turnover.</t>
  </si>
  <si>
    <t xml:space="preserve">(trade_receivables / trade_receivables_prior_fy) / (revenue_from_operations / revenue_from_operations_prior_fy) &gt; 1.50 AND trade_receivables / revenue_from_operations &gt; 0.50 AND revenue_from_operations &gt; 20000000 AND receivable_growth_consecutive_years &gt;= 2</t>
  </si>
  <si>
    <t xml:space="preserve">Receivables growth / revenue growth (DSRI) &gt; 1.5 for 2 consecutive FY; receivables &gt; 50% of turnover; turnover floor INR 2 crore</t>
  </si>
  <si>
    <t xml:space="preserve">trade_receivables, trade_receivables_prior_fy, revenue_from_operations, revenue_from_operations_prior_fy, receivable_growth_consecutive_years, receivables_from_related_parties, nic_code</t>
  </si>
  <si>
    <t xml:space="preserve">Sectors with structurally long and lumpy collection — EPC and infrastructure contractors billing government departments, pharma selling to state health procurement, defence and railway vendors, and media houses on agency credit — routinely show receivables above 50% of turnover, so calibrate against sector medians rather than a flat cut and suppress below the sector 75th percentile. A genuine growth year in which Q4 revenue is disproportionate will inflate closing receivables innocently: check quarterly GSTR-1 shape before scoring. The rule becomes materially stronger when the incremental receivable is concentrated on one or two debtors, when those debtors are related parties, or when the same amount reappears unchanged in the Schedule III ageing schedule the following year. Suppress for entities in their first two FYs and for factored or bill-discounted books where receivables are legitimately derecognised or retained.</t>
  </si>
  <si>
    <t xml:space="preserve">AOC-4 / AOC-4 XBRL Financial Statements, GSTR-1</t>
  </si>
  <si>
    <t xml:space="preserve">Income Tax Return (ITR-5 / ITR-6), Tax Audit Report (Form 3CD), GSTR-9 / 9C Annual Return</t>
  </si>
  <si>
    <t xml:space="preserve">A genuine growth spurt with sales loaded into the last quarter leaves large but collectible receivables at year end.</t>
  </si>
  <si>
    <t xml:space="preserve">FIN-027 (aged receivables with no provision), FIN-033 (Beneish DSRI outlier), FIN-004 (single customer above 75%)</t>
  </si>
  <si>
    <t xml:space="preserve">Beneish M-Score DSRI; Schedule III trade receivables ageing</t>
  </si>
  <si>
    <t xml:space="preserve">FIN-022</t>
  </si>
  <si>
    <t xml:space="preserve">Debtor days or creditor days impossible for the declared line of business</t>
  </si>
  <si>
    <t xml:space="preserve">The time taken to collect from customers or pay suppliers is wildly out of line with what the sector allows. A cash-and-carry retailer with 200 debtor days, or a trader with 400 creditor days, is not really trading.</t>
  </si>
  <si>
    <t xml:space="preserve">(debtor_days &gt; sector_debtor_days_p95 AND debtor_days &gt; 180) OR (creditor_days &gt; sector_creditor_days_p95 AND creditor_days &gt; 270) OR (debtor_days &lt; 3 AND creditor_days &gt; 180 AND revenue_from_operations &gt; 50000000)</t>
  </si>
  <si>
    <t xml:space="preserve">Debtor days &gt; sector 95th percentile and &gt; 180; or creditor days &gt; sector 95th percentile and &gt; 270; sector floor of 30 peers</t>
  </si>
  <si>
    <t xml:space="preserve">Current FY with 2 FY comparison</t>
  </si>
  <si>
    <t xml:space="preserve">debtor_days, creditor_days, sector_debtor_days_p95, sector_creditor_days_p95, revenue_from_operations, nic_code, cost_of_goods_sold, msme_payables_overdue</t>
  </si>
  <si>
    <t xml:space="preserve">Sector calibration is the whole rule — build the peer set on 4-digit NIC and a turnover band, and require at least 30 peers before the percentile is trusted. Known legitimate extremes: pharmaceutical distribution and government supply run 120-200 debtor days; jewellery and commodity trading run near-zero debtor days with long supplier credit; SEZ and export units carry 90-180 days against realisation timelines allowed under FEMA (RBI export realisation period, currently 9 months). Very long creditor days are strong evidence when the supplier is an MSME, because s.43B(h) of the Income-tax Act and the MSME-1 half-yearly return make 45-day-plus dues both disallowable and disclosable — an entity with 270 creditor days and a nil MSME-1 filing is either lying to ROC or the creditor is fictitious. The zero-debtor-plus-huge-creditor pattern is the accommodation-billing shape: cash sales in, invoices never paid out.</t>
  </si>
  <si>
    <t xml:space="preserve">AOC-4 / AOC-4 XBRL Financial Statements, MSME-1 Return</t>
  </si>
  <si>
    <t xml:space="preserve">Tax Audit Report (Form 3CD), GSTR-9 / 9C Annual Return, Derived — cross-entity graph</t>
  </si>
  <si>
    <t xml:space="preserve">Government and institutional customers genuinely pay after 6-9 months, stretching debtor days well beyond the norm.</t>
  </si>
  <si>
    <t xml:space="preserve">FIN-023 (impossible cash conversion cycle), CMP-022 (nil MSME-1 despite large trade payables), FIN-021 (receivables outrunning revenue)</t>
  </si>
  <si>
    <t xml:space="preserve">Income-tax Act s.43B(h); MSME Development Act s.15; peer-group benchmarking</t>
  </si>
  <si>
    <t xml:space="preserve">FIN-023</t>
  </si>
  <si>
    <t xml:space="preserve">Cash conversion cycle mathematically impossible for the business model</t>
  </si>
  <si>
    <t xml:space="preserve">Adding up how long stock is held, how long customers take to pay and how long the company takes to pay suppliers gives a figure that cannot happen in the real world. It means the underlying balances are not real.</t>
  </si>
  <si>
    <t xml:space="preserve">cash_conversion_cycle_days &lt; -180 AND advance_from_customers &lt; 0.10 * revenue_from_operations AND nic_code_not_in(retail_qsr_ecommerce_airlines) AND revenue_from_operations &gt; 30000000</t>
  </si>
  <si>
    <t xml:space="preserve">CCC &lt; minus 180 days without a matching customer-advance balance; turnover floor INR 3 crore; alternative arm CCC &gt; 540 days</t>
  </si>
  <si>
    <t xml:space="preserve">cash_conversion_cycle_days, inventory_days, debtor_days, creditor_days, advance_from_customers, revenue_from_operations, nic_code</t>
  </si>
  <si>
    <t xml:space="preserve">A negative cash conversion cycle is a legitimate and celebrated feature of some models, not a defect: organised retail and QSR, e-commerce marketplaces, airlines and OTAs collecting before delivery, subscription software billed annually in advance, and insurance intermediaries all run deeply negative cycles. The discriminator is whether the negative cycle is paid for by a real advance-from-customers or deferred-revenue balance on the liability side — if there is no such balance, the negative CCC is arithmetic noise from fictitious payables. Equally, a cycle beyond 540 days is impossible outside real estate under the percentage-of-completion or five-year plantation and liquor-ageing cycles, so those NIC codes need their own cut. Always suppress for the first FY (annualisation artefacts) and where turnover changed by more than 3x, since average balances become meaningless. Tighten when both extremes appear in the same group.</t>
  </si>
  <si>
    <t xml:space="preserve">Tax Audit Report (Form 3CD), GSTR-9 / 9C Annual Return, Bank Statement</t>
  </si>
  <si>
    <t xml:space="preserve">Retail, QSR and prepaid subscription businesses genuinely collect before they pay and run a negative cycle by design.</t>
  </si>
  <si>
    <t xml:space="preserve">FIN-022 (impossible debtor or creditor days), FIN-028 (implausible inventory turnover), BNK-009 (balance decays to near zero after each credit)</t>
  </si>
  <si>
    <t xml:space="preserve">Forensic working-capital analytics; FIU-IND trade-based red flags</t>
  </si>
  <si>
    <t xml:space="preserve">FIN-024</t>
  </si>
  <si>
    <t xml:space="preserve">Liquidity behaviour</t>
  </si>
  <si>
    <t xml:space="preserve">Cash and bank balances near zero at every period end despite large turnover</t>
  </si>
  <si>
    <t xml:space="preserve">However much money passes through, almost nothing is left on the last day of any period. A pass-through entity sweeps out every rupee; a real business keeps a float for salaries, taxes and rent.</t>
  </si>
  <si>
    <t xml:space="preserve">cash_and_bank_balance / revenue_from_operations &lt; 0.002 AND revenue_from_operations &gt; 50000000 AND periods_with_near_zero_closing_balance &gt;= 3 AND working_capital_borrowings == 0</t>
  </si>
  <si>
    <t xml:space="preserve">Closing cash and bank &lt; 0.2% of annual turnover; turnover floor INR 5 crore; pattern in &gt;= 3 consecutive period ends; no CC or OD limit</t>
  </si>
  <si>
    <t xml:space="preserve">3 FY (or 12 month-ends where bank data available)</t>
  </si>
  <si>
    <t xml:space="preserve">cash_and_bank_balance, revenue_from_operations, periods_with_near_zero_closing_balance, working_capital_borrowings, bank_credit_turnover, employee_benefit_expense</t>
  </si>
  <si>
    <t xml:space="preserve">The obvious innocent case is an overdraft or cash-credit account that is meant to run at or near zero drawing power — suppress when working_capital_borrowings &gt; 0 and a CHG-1 charge over current assets exists, because there the sweep is the treasury design. Similarly, subsidiaries inside a group cash-pooling or notional-pooling arrangement legitimately end each day flat; look for an inter-corporate current account with the parent. The signal is strongest when there is no borrowing, no pooling, a large bank credit turnover, and yet no float at all — and when the sweep-out is dated within 24-72 hours of each large inbound credit. Tighten for entities with employees, since payroll alone forces a month-end balance. Relax for the first FY and for entities that closed operations mid-year.</t>
  </si>
  <si>
    <t xml:space="preserve">AOC-4 / AOC-4 XBRL Financial Statements, Bank Statement</t>
  </si>
  <si>
    <t xml:space="preserve">Income Tax Return (ITR-5 / ITR-6), CHG-1 / CHG-4 / CHG-9 Index of Charges</t>
  </si>
  <si>
    <t xml:space="preserve">The company runs on a cash-credit limit that is designed to sit near its sanctioned ceiling, leaving no free balance at period end.</t>
  </si>
  <si>
    <t xml:space="preserve">BNK-009 (funds swept out within 72 hours of credit), FIN-032 (profit with negative operating cash flow), FIN-002 (zero-margin pass-through revenue)</t>
  </si>
  <si>
    <t xml:space="preserve">FIU-IND pass-through account red flags; RBI KYC Master Direction</t>
  </si>
  <si>
    <t xml:space="preserve">FIN-025</t>
  </si>
  <si>
    <t xml:space="preserve">Large cash-in-hand balance disproportionate to the business and to bank balances</t>
  </si>
  <si>
    <t xml:space="preserve">The company claims to be physically holding a big pile of currency that no bank record supports. Inflated cash-in-hand is the usual plug for money that was withdrawn and never accounted for.</t>
  </si>
  <si>
    <t xml:space="preserve">cash_in_hand &gt; 1000000 AND cash_in_hand / (cash_in_hand + bank_balance) &gt; 0.50 AND cash_in_hand &gt; 0.05 * total_assets AND cash_sales_ratio &lt; 0.20</t>
  </si>
  <si>
    <t xml:space="preserve">Cash-in-hand &gt; INR 10 lakh and &gt; 50% of total cash and bank and &gt; 5% of total assets; cash sales &lt; 20% of turnover</t>
  </si>
  <si>
    <t xml:space="preserve">Current FY, 3 FY trend</t>
  </si>
  <si>
    <t xml:space="preserve">cash_in_hand, bank_balance, total_assets, cash_sales_ratio, cash_withdrawals_total, revenue_from_operations, nic_code</t>
  </si>
  <si>
    <t xml:space="preserve">Genuinely cash-intensive trades keep real currency: petrol pumps, jewellery retail, restaurants and bars, transport operators paying drivers, mandis and agri-commission agents, and rural NBFC and MFI collection centres. For these NIC codes, benchmark cash-in-hand against daily cash sales (suppress if under 5-7 days of cash takings) rather than against total assets. Everywhere else the rule is powerful, because s.269ST caps a single cash receipt at INR 2 lakh and s.40A(3) disallows cash payments above INR 10,000, so a legitimate non-retail company has almost no reason to hold lakhs in a drawer. Tighten sharply when the balance is flat and identical across year-ends (a plug, not a float), when it rose in the same year as large ATM or bearer-cheque withdrawals, or when it appeared around demonetisation-style events. CARO 2020 no longer requires cash verification, so corroborate through the bank statement withdrawal pattern instead.</t>
  </si>
  <si>
    <t xml:space="preserve">Tax Audit Report (Form 3CD), Income Tax Return (ITR-5 / ITR-6), GSTR-1</t>
  </si>
  <si>
    <t xml:space="preserve">A petrol pump, restaurant or jewellery retailer genuinely holds several days of cash takings at any point in time.</t>
  </si>
  <si>
    <t xml:space="preserve">BNK-021 (structured cash withdrawals below reporting limits), TAX-020 (cash receipts breaching s.269ST), FIN-029 (repeated sundry write-offs)</t>
  </si>
  <si>
    <t xml:space="preserve">Income-tax Act s.269ST / s.40A(3); FIU-IND cash red flags</t>
  </si>
  <si>
    <t xml:space="preserve">FIN-026</t>
  </si>
  <si>
    <t xml:space="preserve">Advances and prepayments</t>
  </si>
  <si>
    <t xml:space="preserve">Advances to suppliers that never convert into goods, services or capital assets</t>
  </si>
  <si>
    <t xml:space="preserve">Money paid out as advances to vendors stays as an advance year after year and no material or asset ever arrives. This is a common way to move funds out under a purchase pretext.</t>
  </si>
  <si>
    <t xml:space="preserve">advances_to_suppliers &gt; 0.15 * total_assets AND advance_ageing_over_2_years_amount &gt; 0.60 * advances_to_suppliers AND purchases_from_advance_counterparties &lt; 0.10 * advances_to_suppliers AND provision_against_advances == 0</t>
  </si>
  <si>
    <t xml:space="preserve">Supplier advances &gt; 15% of total assets; &gt; 60% aged beyond 2 years; conversion to purchases &lt; 10%; nil provision</t>
  </si>
  <si>
    <t xml:space="preserve">advances_to_suppliers, total_assets, advance_ageing_over_2_years_amount, purchases_from_advance_counterparties, provision_against_advances, advance_counterparty_related_flag, capital_advances</t>
  </si>
  <si>
    <t xml:space="preserve">Separate capital advances (for land, plant, imported machinery with long lead times) from trade advances before scoring — a two-year-old capital advance for imported equipment with an open letter of credit is ordinary, a two-year-old advance for consumables is not. Legitimate long-ageing advances also arise in real estate (land aggregation through intermediaries), power and infrastructure (deposits with discoms and authorities, which should sit under 'other non-current assets' anyway), and import trade under advance payment terms where FEMA allows up to six months, or longer with a bank guarantee — check the Bill of Entry against the outward remittance to see whether goods ever landed. The killer combination is: related-party counterparty, no GST outward supply from that counterparty, no e-way bill, no import documentation, and no provision despite the auditor's ageing disclosure. Tighten when the advance equals a round number.</t>
  </si>
  <si>
    <t xml:space="preserve">AOC-4 / AOC-4 XBRL Financial Statements, GSTR-2A / 2B</t>
  </si>
  <si>
    <t xml:space="preserve">Bill of Entry, E-Way Bill Data, AOC-2 Related Party Annexure, Bank Statement</t>
  </si>
  <si>
    <t xml:space="preserve">A capital advance for imported plant with a long delivery cycle legitimately remains outstanding for two years or more.</t>
  </si>
  <si>
    <t xml:space="preserve">FIN-030 (interest-free loans given), TAX-011 (no matching GSTR-2A inward supply), BNK-014 (advance remitted and returned by a linked account)</t>
  </si>
  <si>
    <t xml:space="preserve">FEMA advance remittance rules; CARO 2020 clause 3(iii); FATF TBML typology</t>
  </si>
  <si>
    <t xml:space="preserve">FIN-027</t>
  </si>
  <si>
    <t xml:space="preserve">Receivable quality</t>
  </si>
  <si>
    <t xml:space="preserve">Receivables outstanding beyond three years carried at full value with no provision</t>
  </si>
  <si>
    <t xml:space="preserve">Large customer dues have been unpaid for over three years yet nothing has been written down. Real management provides for or chases old debt; fictitious sales are simply left standing.</t>
  </si>
  <si>
    <t xml:space="preserve">receivables_ageing_over_3_years_amount &gt; 0.25 * trade_receivables AND provision_for_doubtful_debts / receivables_ageing_over_3_years_amount &lt; 0.10 AND bad_debts_written_off_current_fy == 0 AND legal_recovery_action_flag == FALSE</t>
  </si>
  <si>
    <t xml:space="preserve">Over-3-year bucket &gt; 25% of gross receivables; provision cover &lt; 10% of that bucket; nil write-off; no recovery action</t>
  </si>
  <si>
    <t xml:space="preserve">3 FY (Schedule III ageing buckets)</t>
  </si>
  <si>
    <t xml:space="preserve">receivables_ageing_over_3_years_amount, trade_receivables, provision_for_doubtful_debts, bad_debts_written_off_current_fy, legal_recovery_action_flag, receivables_from_related_parties, expected_credit_loss_model_flag</t>
  </si>
  <si>
    <t xml:space="preserve">Schedule III has mandated a five-bucket receivables ageing schedule since FY2021-22, and Ind AS 109 requires a lifetime expected credit loss on trade receivables, so an Ind AS filer with a &gt;3-year bucket and no ECL allowance is contradicting its own stated policy — score that harder than an AS filer. Genuine reasons to suppress on evidence: amounts under arbitration or litigation where recovery is being pursued (check the litigation database), dues from central or state government and PSUs which are slow but eventually paid, and retention money on EPC contracts which is contractually not due until defect liability expires and should be reclassified rather than provided. The rule is decisive when the aged debtor is a related party, when the same rupee figure repeats unchanged across three balance sheets, or when the debtor's GST registration has since been cancelled. Suppress for NBFCs, where loan-asset staging under RBI IRACP norms governs instead.</t>
  </si>
  <si>
    <t xml:space="preserve">CARO Annexure, Tax Audit Report (Form 3CD), Litigation Database, GST Cancellation / Suspension Order</t>
  </si>
  <si>
    <t xml:space="preserve">Old dues from a government department or an amount locked in arbitration are genuinely recoverable and so are not provided for.</t>
  </si>
  <si>
    <t xml:space="preserve">FIN-021 (receivables outrunning revenue), FIN-057 (counterparty struck off or GST cancelled), FIN-029 (repeated sundry write-offs)</t>
  </si>
  <si>
    <t xml:space="preserve">Schedule III trade receivables ageing; Ind AS 109 expected credit loss</t>
  </si>
  <si>
    <t xml:space="preserve">FIN-028</t>
  </si>
  <si>
    <t xml:space="preserve">Inventory integrity</t>
  </si>
  <si>
    <t xml:space="preserve">Inventory turnover implausible against sector and against physical movement evidence</t>
  </si>
  <si>
    <t xml:space="preserve">Stock either turns over impossibly fast for the goods claimed, or sits unsold for years while being carried at full cost. Both patterns suggest the inventory is a number, not a warehouse.</t>
  </si>
  <si>
    <t xml:space="preserve">(inventory_turnover_ratio &gt; sector_inventory_turnover_p99 AND storage_and_warehouse_expense &lt; 0.001 * cost_of_goods_sold) OR (inventory_days &gt; 540 AND inventory_write_down == 0 AND nic_code_not_in(real_estate_liquor_plantation))</t>
  </si>
  <si>
    <t xml:space="preserve">Turnover above sector 99th percentile with nil storage cost; or inventory days &gt; 540 with nil write-down; sector floor of 30 peers</t>
  </si>
  <si>
    <t xml:space="preserve">inventory_turnover_ratio, sector_inventory_turnover_p99, inventory_days, storage_and_warehouse_expense, inventory_write_down, cost_of_goods_sold, inventories, nic_code</t>
  </si>
  <si>
    <t xml:space="preserve">Both tails need separate business-model carve-outs. Impossibly fast turnover is genuine for high-value low-volume trade in bullion, ferrous scrap, mobile handsets and pharma distribution operating on back-to-back purchase orders with direct-to-customer despatch (bill-to-ship-to) — for these, require corroboration from nil freight, nil storage, nil insurance and absent e-way bills before scoring, because bill-to-ship-to is legal. Impossibly slow turnover is genuine for real estate inventory under Ind AS 115, plantation and viticulture, spirits ageing, and spares held for long-life plant. Suppress the slow arm for entities with a stated obsolescence policy and a demonstrated history of write-downs. Corroborate physically: CARO 2020 clause 3(ii)(a) requires the auditor to report physical verification and any discrepancy of 10% or more per class, and clause 3(ii)(b) requires quarterly stock statements filed with banks for limits above INR 5 crore to agree with the books — a mismatch there is close to conclusive.</t>
  </si>
  <si>
    <t xml:space="preserve">E-Way Bill Data, GSTR-9 / 9C Annual Return, Loan Sanction / Facility Letter, Derived — cross-entity graph</t>
  </si>
  <si>
    <t xml:space="preserve">A back-to-back bullion or scrap trader legitimately never holds stock, and a real-estate developer legitimately holds it for years.</t>
  </si>
  <si>
    <t xml:space="preserve">FIN-012 (COGS with no inventory movement), FIN-014 (trading entity with nil closing inventory), FIN-009 (nil freight and selling costs)</t>
  </si>
  <si>
    <t xml:space="preserve">CARO 2020 clause 3(ii)(a) and 3(ii)(b); Ind AS 2</t>
  </si>
  <si>
    <t xml:space="preserve">FIN-029</t>
  </si>
  <si>
    <t xml:space="preserve">Write-off behaviour</t>
  </si>
  <si>
    <t xml:space="preserve">Sundry balances and unexplained items written off or written back year after year</t>
  </si>
  <si>
    <t xml:space="preserve">Every year the company quietly removes assets or liabilities as 'sundry balances written off or back' without naming them. Repeated unexplained write-offs are how fictitious balances are cleaned out of the books.</t>
  </si>
  <si>
    <t xml:space="preserve">sundry_balances_written_off / profit_before_tax_abs &gt; 0.10 AND years_with_sundry_writeoff &gt;= 3 AND writeoff_counterparty_disclosed == FALSE AND (sundry_balances_written_off + sundry_balances_written_back) &gt; 0.02 * total_assets</t>
  </si>
  <si>
    <t xml:space="preserve">Write-off &gt; 10% of absolute PBT in each of 3 FY; combined write-off and write-back &gt; 2% of total assets; counterparties not disclosed</t>
  </si>
  <si>
    <t xml:space="preserve">sundry_balances_written_off, sundry_balances_written_back, profit_before_tax_abs, years_with_sundry_writeoff, writeoff_counterparty_disclosed, total_assets, bad_debts_written_off_current_fy</t>
  </si>
  <si>
    <t xml:space="preserve">Small recurring write-offs are ordinary housekeeping in any business with thousands of customer or vendor ledgers — retail, telecom, insurance, utilities — so scale the test to PBT and total assets rather than to an absolute rupee figure, and suppress where the amounts sit below materiality set by the auditor. What makes it forensic is the pairing: a write-back of old creditors in the same year as a write-off of old debtors, netting to near zero, is a balance-sheet laundering entry rather than housekeeping. Tighten when the write-off is claimed as a deduction under s.36(1)(vii) or s.37 in the ITR but the counterparty is a related party (where it should have been disallowed), when the written-off balance previously appeared as a related-party receivable in AOC-2, or when the same amount was originally created in a single journal with no bank movement. Relax for the first year after a genuine ERP migration or an acquisition-driven ledger clean-up documented in the Board Report.</t>
  </si>
  <si>
    <t xml:space="preserve">Auditor Report, Board Report, AOC-2 Related Party Annexure</t>
  </si>
  <si>
    <t xml:space="preserve">A large consumer-facing ledger genuinely accumulates small unreconciled balances that are cleared out annually.</t>
  </si>
  <si>
    <t xml:space="preserve">FIN-027 (aged receivables with no provision), FIN-026 (advances that never convert), FIN-060 (restatement or policy change)</t>
  </si>
  <si>
    <t xml:space="preserve">Income-tax Act s.36(1)(vii); forensic journal-entry testing (SA 240)</t>
  </si>
  <si>
    <t xml:space="preserve">FIN-030</t>
  </si>
  <si>
    <t xml:space="preserve">Lending behaviour</t>
  </si>
  <si>
    <t xml:space="preserve">Substantial loans and advances given interest-free or below the prescribed rate</t>
  </si>
  <si>
    <t xml:space="preserve">The company has lent out large sums and charges no interest or a token rate. Giving money away free is not a commercial act and usually means the loan is a disguised transfer of funds.</t>
  </si>
  <si>
    <t xml:space="preserve">loans_and_advances_given &gt; 0.20 * net_worth AND interest_income_on_loans_given / average_loans_and_advances_given &lt; 0.03 AND (borrowings &gt; 0.25 * net_worth OR interest_expense &gt; 0) AND repayment_schedule_stipulated == FALSE</t>
  </si>
  <si>
    <t xml:space="preserve">Loans given &gt; 20% of net worth; yield &lt; 3% p.a. against a government-security benchmark of roughly 6.5-7.5%; no stipulated repayment schedule</t>
  </si>
  <si>
    <t xml:space="preserve">loans_and_advances_given, net_worth, interest_income_on_loans_given, average_loans_and_advances_given, borrowings, interest_expense, repayment_schedule_stipulated, borrower_related_flag</t>
  </si>
  <si>
    <t xml:space="preserve">Section 186(7) requires inter-corporate loans to carry interest not below the prevailing yield on a government security of comparable tenor, so a sub-3% yield is not merely odd, it is a statutory breach unless the borrower is a wholly-owned subsidiary or a joint venture, where s.186 exemptions apply — check the shareholding before scoring, and suppress for 100% subsidiaries. Section 185 bars loans to directors and entities in which they are interested altogether, so a related borrower turns this from a Medium into a Critical. Genuine interest-free advances exist for employee salary advances, statutory deposits, and supplier advances misclassified as loans — reclassify before testing. The signal is worst when the lender itself is paying interest on borrowed money while lending free (i.e. borrowing to fund a related party), which CARO 2020 clause 3(ix)(d) and Rule 11(e) of the audit rules are designed to surface. Suppress for NBFCs only after checking that the free loan is not to a promoter group entity.</t>
  </si>
  <si>
    <t xml:space="preserve">AOC-2 Related Party Annexure, MGT-14 Resolutions, Tax Audit Report (Form 3CD)</t>
  </si>
  <si>
    <t xml:space="preserve">Interest-free funding of a wholly-owned subsidiary is permitted under the s.186 exemption and is common inside genuine groups.</t>
  </si>
  <si>
    <t xml:space="preserve">FIN-048 (interest-free loans to related parties), FIN-015 (assets dominated by group loans), CMP-018 (no special resolution filed for s.186 breach)</t>
  </si>
  <si>
    <t xml:space="preserve">Companies Act 2013 s.185 and s.186(7); CARO 2020 clause 3(iii)(c) and 3(ix)(d)</t>
  </si>
  <si>
    <t xml:space="preserve">FIN-031</t>
  </si>
  <si>
    <t xml:space="preserve">Accrual quality</t>
  </si>
  <si>
    <t xml:space="preserve">Total accruals to total assets far above sector norm (Sloan / Beneish TATA)</t>
  </si>
  <si>
    <t xml:space="preserve">The gap between reported profit and the cash the business actually generated is very large relative to its size. High accruals mean the profit exists only as book entries.</t>
  </si>
  <si>
    <t xml:space="preserve">total_accruals_to_total_assets &gt; 0.10 AND total_accruals_to_total_assets &gt; sector_tata_p90 AND profit_before_tax &gt; 0 AND total_assets &gt; 20000000</t>
  </si>
  <si>
    <t xml:space="preserve">TATA = (PBT before extraordinary items minus cash flow from operations) / total assets &gt; 0.10 and above sector 90th percentile; asset floor INR 2 crore</t>
  </si>
  <si>
    <t xml:space="preserve">2 FY (needs prior-year comparatives)</t>
  </si>
  <si>
    <t xml:space="preserve">total_accruals_to_total_assets, sector_tata_p90, profit_before_tax, cash_flow_from_operations, total_assets, nic_code, entity_age_years</t>
  </si>
  <si>
    <t xml:space="preserve">A cash flow statement is mandatory only for companies other than One Person, small and dormant companies under s.2(40), so for small private limiteds and LLPs the TATA must be reconstructed from the balance-sheet method (change in non-cash working capital less depreciation) and the false-positive rate rises — mark the score as low-confidence in that case. High accruals are structurally normal in the growth phase of any working-capital-hungry business, in EPC and real-estate entities recognising revenue over time under Ind AS 115, and in NBFCs where interest accrues on the book by design; benchmark those against their own sector percentile and suppress NBFCs entirely from the raw form. Suppress the first two FYs, where opening balances are nil and every accrual looks extreme. Tighten when high accruals persist for three consecutive years without ever reversing into cash, and when the accrual is concentrated in receivables from a single or related counterparty rather than spread across the ledger.</t>
  </si>
  <si>
    <t xml:space="preserve">Income Tax Return (ITR-5 / ITR-6), Tax Audit Report (Form 3CD), Derived — cross-entity graph</t>
  </si>
  <si>
    <t xml:space="preserve">A genuinely growing company funds larger receivables and stock from profit, which shows up as high accruals for a year or two.</t>
  </si>
  <si>
    <t xml:space="preserve">FIN-032 (profit with negative operating cash flow), FIN-021 (receivables outrunning revenue), FIN-033 (Beneish M-Score above threshold)</t>
  </si>
  <si>
    <t xml:space="preserve">Sloan accrual anomaly; Beneish M-Score TATA component</t>
  </si>
  <si>
    <t xml:space="preserve">FIN-032</t>
  </si>
  <si>
    <t xml:space="preserve">Cash flow quality</t>
  </si>
  <si>
    <t xml:space="preserve">Profit reported every year while operating cash flow stays negative or near zero</t>
  </si>
  <si>
    <t xml:space="preserve">The company keeps showing profit but the operations never bring in cash. Profit that never turns into money in the bank is usually manufactured to make the entity look real.</t>
  </si>
  <si>
    <t xml:space="preserve">profit_after_tax &gt; 0 AND cash_flow_from_operations &lt;= 0.05 * profit_after_tax AND consecutive_years_profit_without_ocf &gt;= 3 AND revenue_from_operations &gt; 30000000</t>
  </si>
  <si>
    <t xml:space="preserve">Operating cash flow &lt;= 5% of PAT for 3 consecutive FY; PAT positive each year; turnover floor INR 3 crore</t>
  </si>
  <si>
    <t xml:space="preserve">profit_after_tax, cash_flow_from_operations, consecutive_years_profit_without_ocf, revenue_from_operations, trade_receivables, inventories, cash_flow_from_investing, cash_flow_from_financing</t>
  </si>
  <si>
    <t xml:space="preserve">Read the funding leg before scoring: an entity that is profitable, cash-negative in operations and plugging the gap with fresh promoter loans or share capital every year is either a genuine high-growth firm or a shell being fed, and the difference is visible in whether the cash absorbed shows up as real inventory and third-party receivables or as related-party balances. Legitimate three-year runs of negative operating cash flow occur in subscription and platform startups, in EPC entities where retention and unbilled revenue build up until project close, in real-estate developers under Ind AS 115, and in agri-processing with a long procurement cycle. NBFCs must be excluded because loan disbursement is classified as an operating outflow and a growing lender is permanently OCF-negative by construction. Tighten when the entity has no borrowings (nothing is funding the gap, so the cash never existed), and when tax paid in the cash flow statement is far below the tax charged in the P&amp;L.</t>
  </si>
  <si>
    <t xml:space="preserve">Bank Statement, Income Tax Return (ITR-5 / ITR-6), Form 26AS</t>
  </si>
  <si>
    <t xml:space="preserve">A fast-growing or project-based company genuinely locks its profit into receivables, stock and retentions for several years.</t>
  </si>
  <si>
    <t xml:space="preserve">FIN-024 (near-zero cash at every period end), FIN-031 (accrual outlier), FIN-005 (revenue booked in the last 15 days of the FY)</t>
  </si>
  <si>
    <t xml:space="preserve">Beneish M-Score; SA 240 fraud risk in revenue recognition</t>
  </si>
  <si>
    <t xml:space="preserve">FIN-033</t>
  </si>
  <si>
    <t xml:space="preserve">Earnings manipulation model</t>
  </si>
  <si>
    <t xml:space="preserve">Beneish eight-variable M-Score above the -1.78 manipulation threshold</t>
  </si>
  <si>
    <t xml:space="preserve">A standard statistical model that combines eight accounting ratios scores the accounts as likely manipulated. It is a screening score, not proof, but a high score means the numbers behave like known manipulators.</t>
  </si>
  <si>
    <t xml:space="preserve">beneish_m_score &gt; -1.78 AND revenue_from_operations &gt; 50000000 AND prior_fy_financials_available == TRUE AND (dsri &gt; 1.20 OR aqi &gt; 1.20 OR tata &gt; 0.05)</t>
  </si>
  <si>
    <t xml:space="preserve">M-Score &gt; -1.78 (tighten to &gt; -1.49 for a higher-precision alert); turnover floor INR 5 crore; needs 2 years of comparatives</t>
  </si>
  <si>
    <t xml:space="preserve">2 FY (index construction), 3 FY preferred</t>
  </si>
  <si>
    <t xml:space="preserve">beneish_m_score, dsri, aqi, sgi, depi, tata, prior_fy_financials_available, revenue_from_operations</t>
  </si>
  <si>
    <t xml:space="preserve">The model was fitted on large listed US manufacturers, so applying it unadjusted to Indian unlisted entities produces heavy false positives — recalibrate the intercept on an Indian peer panel and treat -1.78 as a screening cut, not a verdict. It is meaningless and must be suppressed for: first and second FY entities, any entity whose turnover changed by more than 3x (SGI dominates the score), NBFCs and banks (the balance-sheet structure breaks AQI and LVGI), asset-light service firms with negligible PPE (DEPI is undefined), and pure holding companies with no sales. Report the component drivers alongside the score, because an M-Score driven by SGI alone in a genuine growth year is noise, whereas one driven by DSRI plus AQI plus TATA together is a real signal. Tighten a level when the auditor changed in the same year or the score has exceeded the cut in two consecutive years.</t>
  </si>
  <si>
    <t xml:space="preserve">Income Tax Return (ITR-5 / ITR-6), AOC-4 CFS Consolidated, Derived — cross-entity graph</t>
  </si>
  <si>
    <t xml:space="preserve">A genuine high-growth year inflates the sales growth and receivables indices and pushes the score over the threshold without any manipulation.</t>
  </si>
  <si>
    <t xml:space="preserve">FIN-034 (DSRI outlier), FIN-035 (AQI outlier), FIN-031 (accrual outlier)</t>
  </si>
  <si>
    <t xml:space="preserve">Beneish M-Score (1999)</t>
  </si>
  <si>
    <t xml:space="preserve">FIN-034</t>
  </si>
  <si>
    <t xml:space="preserve">Days sales in receivables index (DSRI) above 1.4 for two consecutive years</t>
  </si>
  <si>
    <t xml:space="preserve">Receivables are taking much longer to collect this year than last, relative to sales. A jump in DSRI is the single most common sign of invoices raised without a real customer behind them.</t>
  </si>
  <si>
    <t xml:space="preserve">dsri &gt; 1.40 AND dsri_prior_fy &gt; 1.20 AND trade_receivables &gt; 0.30 * revenue_from_operations AND revenue_from_operations &gt; 20000000</t>
  </si>
  <si>
    <t xml:space="preserve">DSRI &gt; 1.4 in current FY and &gt; 1.2 in prior FY; receivables &gt; 30% of turnover; turnover floor INR 2 crore</t>
  </si>
  <si>
    <t xml:space="preserve">dsri, dsri_prior_fy, trade_receivables, revenue_from_operations, receivables_from_related_parties, credit_period_policy_days, nic_code</t>
  </si>
  <si>
    <t xml:space="preserve">DSRI moves for honest reasons whenever the customer mix shifts — winning a first government or PSU contract, moving from cash retail to institutional credit sales, or a policy change extending credit terms to gain share; check the disclosed credit policy and the customer concentration note before scoring. It is also distorted by any merger, demerger or slump sale during the year, and by an entity that changed its financial year length, so suppress in those cases. The forensic weight comes from the composition of the increase: if the incremental receivable belongs to one debtor, or a related party, or a counterparty whose GSTIN was registered in the same year, the index stops being a ratio and becomes evidence. Tighten for asset-light service and IT firms, where collection is usually 30-60 days and a DSRI above 1.4 has no operational explanation. Relax for EPC, defence and pharma-to-government where billing cycles genuinely swing.</t>
  </si>
  <si>
    <t xml:space="preserve">A genuine shift from cash sales to institutional credit customers lengthens collection and lifts the index for a year.</t>
  </si>
  <si>
    <t xml:space="preserve">FIN-021 (receivables outrunning revenue), FIN-027 (aged receivables with no provision), FIN-033 (M-Score above threshold)</t>
  </si>
  <si>
    <t xml:space="preserve">Beneish M-Score DSRI component</t>
  </si>
  <si>
    <t xml:space="preserve">FIN-035</t>
  </si>
  <si>
    <t xml:space="preserve">Asset quality index (AQI) above 1.3 with soft assets dominating the balance sheet</t>
  </si>
  <si>
    <t xml:space="preserve">The share of assets that are neither cash, receivables, stock nor plant is rising fast. These 'soft' assets - deferred costs, vague advances, unnamed intangibles - are the easiest place to hide costs that should have been expensed.</t>
  </si>
  <si>
    <t xml:space="preserve">aqi &gt; 1.30 AND soft_assets_ratio &gt; 0.35 AND (deferred_revenue_expenditure + other_non_current_assets + other_intangible_assets) &gt; 0.25 * total_assets AND revenue_from_operations &gt; 20000000</t>
  </si>
  <si>
    <t xml:space="preserve">AQI &gt; 1.3; soft assets (total assets less current assets less net PPE less investments) &gt; 35% of total assets; turnover floor INR 2 crore</t>
  </si>
  <si>
    <t xml:space="preserve">aqi, soft_assets_ratio, deferred_revenue_expenditure, other_non_current_assets, other_intangible_assets, total_assets, revenue_from_operations, capital_work_in_progress</t>
  </si>
  <si>
    <t xml:space="preserve">Decide first what 'soft' means for the business model, because the standard definition mislabels several honest structures: capital work-in-progress in an infrastructure or manufacturing SPV, capitalised development cost in a software or pharma R&amp;D entity, deferred tax assets in a loss-making but genuine company, and MAT credit entitlement are all legitimately non-current and non-physical. Exclude deferred tax and MAT credit from the numerator entirely. Ind AS filers cannot carry deferred revenue expenditure at all, so its presence in an Ind AS balance sheet is itself a flag; AS filers may still carry preliminary and pre-operative expenses in the first years, so relax for FY1-FY2. The rule bites hardest when the soft asset was created by a journal entry with no bank outflow, when it is described only as 'other advances' or 'business development expenditure', and when writing it off would wipe out net worth.</t>
  </si>
  <si>
    <t xml:space="preserve">Auditor Report, Tax Audit Report (Form 3CD), CARO Annexure</t>
  </si>
  <si>
    <t xml:space="preserve">A genuine R&amp;D or infrastructure build-out legitimately raises the share of capitalised, non-physical assets for a few years.</t>
  </si>
  <si>
    <t xml:space="preserve">FIN-016 (unvalued intangibles), FIN-017 (frozen CWIP), FIN-026 (advances that never convert)</t>
  </si>
  <si>
    <t xml:space="preserve">Beneish M-Score AQI component; Ind AS 38</t>
  </si>
  <si>
    <t xml:space="preserve">FIN-036</t>
  </si>
  <si>
    <t xml:space="preserve">Sales growth index (SGI) extreme with no matching growth in inputs or capacity</t>
  </si>
  <si>
    <t xml:space="preserve">Sales multiplied but nothing that produces sales grew with it - no more people, power, space or purchases. Growth without inputs is growth on paper.</t>
  </si>
  <si>
    <t xml:space="preserve">sgi &gt; 2.00 AND (employee_benefit_expense_growth &lt; 0.10 AND power_and_fuel_growth &lt; 0.10 AND fixed_asset_growth &lt; 0.10) AND revenue_from_operations &gt; 30000000 AND entity_age_years &gt;= 3</t>
  </si>
  <si>
    <t xml:space="preserve">SGI (current sales / prior sales) &gt; 2.0 while payroll, power and fixed-asset growth each &lt; 10%; turnover floor INR 3 crore</t>
  </si>
  <si>
    <t xml:space="preserve">2 FY, 3 FY preferred</t>
  </si>
  <si>
    <t xml:space="preserve">sgi, employee_benefit_expense_growth, power_and_fuel_growth, fixed_asset_growth, revenue_from_operations, entity_age_years, purchases_growth, nic_code</t>
  </si>
  <si>
    <t xml:space="preserve">High SGI alone is not a fraud indicator - it is the normal shape of a young company, a firm that just won a large contract, or a business scaling on a marketplace. The rule only works because of the conjunction with flat inputs, so never fire it on SGI alone. Genuine input-free growth exists in: software and IP licensing where marginal cost is near zero, commodity and bullion trading where a price spike doubles the rupee value of the same volume (deflate turnover by the relevant commodity index before testing), agency and commission models that switch from net to gross presentation under Ind AS 115, and outsourced or job-work manufacturing where inputs sit on the principal's books. Suppress for entities under 3 years old and for the year of a merger or a change in revenue presentation. Tighten when purchases also stay flat, because then there is nothing to sell at all.</t>
  </si>
  <si>
    <t xml:space="preserve">GSTR-1, Electricity / Utility Bill, GSTR-9 / 9C Annual Return</t>
  </si>
  <si>
    <t xml:space="preserve">A young or contract-driven company genuinely doubles turnover on existing capacity, or a commodity price spike inflates rupee sales.</t>
  </si>
  <si>
    <t xml:space="preserve">FIN-003 (turnover multiplies while assets and payroll stay flat), FIN-007 (payroll below 0.5% of turnover), FIN-033 (M-Score above threshold)</t>
  </si>
  <si>
    <t xml:space="preserve">Beneish M-Score SGI component</t>
  </si>
  <si>
    <t xml:space="preserve">FIN-037</t>
  </si>
  <si>
    <t xml:space="preserve">Depreciation index (DEPI) above 1.2 showing a slowed depreciation rate</t>
  </si>
  <si>
    <t xml:space="preserve">The company is depreciating its assets more slowly than it did last year, which lifts profit without any change in the business. Quietly stretching asset lives is a low-visibility way to dress up earnings.</t>
  </si>
  <si>
    <t xml:space="preserve">depi &gt; 1.20 AND depreciable_gross_block &gt; 10000000 AND useful_life_change_disclosed == FALSE AND profit_before_tax &gt; 0</t>
  </si>
  <si>
    <t xml:space="preserve">DEPI (prior-year depreciation rate / current-year rate) &gt; 1.2; gross block floor INR 1 crore; no disclosed change in useful life</t>
  </si>
  <si>
    <t xml:space="preserve">depi, depreciable_gross_block, useful_life_change_disclosed, depreciation_and_amortisation_expense, profit_before_tax, asset_disposals_during_fy, ind_as_applicable_flag</t>
  </si>
  <si>
    <t xml:space="preserve">Schedule II lets a company adopt a useful life different from the indicative one if it is justified by technical advice and disclosed, so a disclosed and reasoned change is compliant, not fraudulent - the flag is the undisclosed drift. Mechanical causes of a high DEPI that are not manipulation: a large asset becoming fully depreciated during the year, a mid-year disposal of a high-depreciation class, a shift in asset mix from vehicles and computers to buildings, and the one-time transition adjustment when a company moved to Schedule II or to Ind AS. Compute DEPI on a like-for-like asset class basis where the fixed asset schedule allows, and suppress for asset-light entities where the gross block is trivial, since the index becomes unstable. Tighten when the change in depreciation policy is exactly what moved the entity from a loss to a profit, or when it coincides with a loan covenant test or a fund-raise.</t>
  </si>
  <si>
    <t xml:space="preserve">Tax Audit Report (Form 3CD), Auditor Report, Board Report</t>
  </si>
  <si>
    <t xml:space="preserve">Assets became fully depreciated or the asset mix shifted towards buildings, both of which slow the average depreciation rate honestly.</t>
  </si>
  <si>
    <t xml:space="preserve">FIN-019 (negligible depreciation charged), FIN-060 (change in accounting policy), FIN-033 (M-Score above threshold)</t>
  </si>
  <si>
    <t xml:space="preserve">Beneish M-Score DEPI component; Companies Act 2013 Schedule II</t>
  </si>
  <si>
    <t xml:space="preserve">FIN-038</t>
  </si>
  <si>
    <t xml:space="preserve">Solvency scoring</t>
  </si>
  <si>
    <t xml:space="preserve">Altman Z-Score in the distress zone while the P&amp;L reports healthy profit</t>
  </si>
  <si>
    <t xml:space="preserve">A standard bankruptcy model puts the company deep in the distress zone even though it claims to be profitable. The contradiction usually means the reported profit is not real.</t>
  </si>
  <si>
    <t xml:space="preserve">altman_z_double_prime &lt; 1.10 AND net_profit_margin &gt; 0.05 AND retained_earnings / total_assets &lt; 0.05 AND total_assets &gt; 20000000</t>
  </si>
  <si>
    <t xml:space="preserve">Z'' &lt; 1.1 (or original Z &lt; 1.81 for manufacturers) together with net margin &gt; 5%; asset floor INR 2 crore</t>
  </si>
  <si>
    <t xml:space="preserve">altman_z_double_prime, net_profit_margin, retained_earnings, total_assets, working_capital, ebit, total_liabilities, book_value_of_equity</t>
  </si>
  <si>
    <t xml:space="preserve">Use the right variant or the score is meaningless: the original five-variable Z applies to listed manufacturers, Z' to unlisted manufacturers (book equity replaces market cap), and the four-variable Z'' to non-manufacturers and emerging markets, which is the correct default for most Indian private limited companies. Suppress for banks, NBFCs and insurers, whose leverage is regulatory rather than distressed, and for young entities where retained earnings are negative simply because there has not been time to accumulate them - that term alone drags a healthy startup into the distress zone. Real-estate and infrastructure SPVs carrying project debt against work-in-progress also score low honestly. The forensic value is entirely in the contradiction arm: distress-zone solvency plus reported profit plus no accumulated retained earnings means the profit is being reported but never retained, which points to profit that was extracted or never existed.</t>
  </si>
  <si>
    <t xml:space="preserve">Credit Bureau Report (CIBIL / CRIF), Income Tax Return (ITR-5 / ITR-6)</t>
  </si>
  <si>
    <t xml:space="preserve">A young or capital-intensive company has thin working capital and no accumulated reserves, which scores as distress despite genuine profits.</t>
  </si>
  <si>
    <t xml:space="preserve">FIN-055 (negative net worth with large operations), FIN-032 (profit with no operating cash flow), CMP-030 (default reported to credit bureau)</t>
  </si>
  <si>
    <t xml:space="preserve">Altman Z-Score and Z'' emerging-market variant</t>
  </si>
  <si>
    <t xml:space="preserve">FIN-039</t>
  </si>
  <si>
    <t xml:space="preserve">Margin plausibility</t>
  </si>
  <si>
    <t xml:space="preserve">Gross margin implausibly stable year on year and out of line with sector peers</t>
  </si>
  <si>
    <t xml:space="preserve">The margin barely moves across years even though input prices, mix and volumes all change, and it sits far away from what similar companies earn. Real trading margins wobble; invented ones do not.</t>
  </si>
  <si>
    <t xml:space="preserve">(gross_margin_coefficient_of_variation &lt; 0.05 AND years_of_data &gt;= 3) OR abs(gross_margin_peer_z_score) &gt; 2.5 AND revenue_from_operations &gt; 30000000</t>
  </si>
  <si>
    <t xml:space="preserve">Coefficient of variation of gross margin &lt; 5% over 3 FY; or absolute peer z-score &gt; 2.5 on 4-digit NIC and turnover band; peer floor 30 entities</t>
  </si>
  <si>
    <t xml:space="preserve">gross_margin_coefficient_of_variation, gross_margin_peer_z_score, years_of_data, revenue_from_operations, cost_of_goods_sold, nic_code, related_party_sales_share</t>
  </si>
  <si>
    <t xml:space="preserve">Genuinely stable margins exist where pricing is contractual or regulated: cost-plus captive units and shared-service centres priced under a transfer pricing agreement (Form 3CEB will show the mark-up policy), utility and pharmaceutical products under price control, long-term fixed-price supply contracts, and franchise models with a fixed royalty. Suppress these on documentary evidence rather than on assumption. On the peer arm, a margin far above peers with no brand, patent or scale to explain it usually indicates fictitious sales or under-recorded purchases; a margin persistently at or near zero indicates a pass-through conduit, which the zero-margin rule already covers, so weight the high tail more heavily here. Both arms need a clean peer set - exclude entities with under two years of filings and those whose revenue includes related-party sales above 50%, since their margins are set by fiat, not by a market.</t>
  </si>
  <si>
    <t xml:space="preserve">AOC-4 / AOC-4 XBRL Financial Statements, Derived — cross-entity graph</t>
  </si>
  <si>
    <t xml:space="preserve">Transfer Pricing Report (Form 3CEB), Tax Audit Report (Form 3CD), GSTR-9 / 9C Annual Return</t>
  </si>
  <si>
    <t xml:space="preserve">A cost-plus captive unit or a price-controlled product line genuinely earns the same margin every year.</t>
  </si>
  <si>
    <t xml:space="preserve">FIN-002 (zero-margin pass-through revenue), FIN-044 (duplicate and round-number amounts), FIN-046 (related-party share of turnover)</t>
  </si>
  <si>
    <t xml:space="preserve">Peer-group benchmarking; Beneish GMI component</t>
  </si>
  <si>
    <t xml:space="preserve">FIN-040</t>
  </si>
  <si>
    <t xml:space="preserve">Productivity outliers</t>
  </si>
  <si>
    <t xml:space="preserve">Asset turnover and revenue per employee extreme against sector peers</t>
  </si>
  <si>
    <t xml:space="preserve">Each rupee of assets, and each employee, appears to generate far more sales than is physically possible in that trade. Turnover with no people or assets behind it points to billing, not business.</t>
  </si>
  <si>
    <t xml:space="preserve">(asset_turnover_ratio &gt; sector_asset_turnover_p99 OR revenue_per_employee &gt; 5 * sector_revenue_per_employee_p90) AND employee_count_epfo &lt; 10 AND revenue_from_operations &gt; 50000000 AND nic_code_not_in(commodity_bullion_fuel_trading)</t>
  </si>
  <si>
    <t xml:space="preserve">Asset turnover above sector 99th percentile, or revenue per employee &gt; 5x sector 90th percentile; EPFO headcount &lt; 10; turnover floor INR 5 crore</t>
  </si>
  <si>
    <t xml:space="preserve">Current FY, 2 FY trend</t>
  </si>
  <si>
    <t xml:space="preserve">asset_turnover_ratio, sector_asset_turnover_p99, revenue_per_employee, sector_revenue_per_employee_p90, employee_count_epfo, revenue_from_operations, total_assets, nic_code</t>
  </si>
  <si>
    <t xml:space="preserve">Some legitimate models produce genuinely huge revenue per employee and per rupee of assets: bullion, fuel, edible oil and metal trading on wafer-thin margins, electricity and gas trading exchanges, commission agents presenting gross turnover, and travel or freight consolidators. For these the correct discriminator is not the ratio but the margin and the cost structure - a real commodity trader still pays freight, insurance, storage and bank charges. Employee counts must come from EPFO ECR rather than the accounts, and remember EPF applies only to establishments with 20 or more employees, so a genuinely small firm may have zero EPFO records; fall back to Form 24Q salary TDS or the Payroll Register before scoring. Suppress for entities that use contract labour or a group shared-services payroll (the people exist, just on another entity's books) - look for a manpower or shared-service charge in other expenses. Tighten for services, IT, consultancy and construction where output is labour-bound.</t>
  </si>
  <si>
    <t xml:space="preserve">TDS Returns (24Q / 26Q), ESIC Contribution Record, Derived — cross-entity graph</t>
  </si>
  <si>
    <t xml:space="preserve">A commodity or fuel trading firm genuinely turns very large volumes with a handful of staff and almost no fixed assets.</t>
  </si>
  <si>
    <t xml:space="preserve">FIN-007 (payroll below 0.5% of turnover), FIN-013 (zero fixed assets against large turnover), FIN-009 (nil freight and selling costs)</t>
  </si>
  <si>
    <t xml:space="preserve">Peer-group benchmarking; MCA shell company identification criteria</t>
  </si>
  <si>
    <t xml:space="preserve">FIN-041</t>
  </si>
  <si>
    <t xml:space="preserve">Financing consistency</t>
  </si>
  <si>
    <t xml:space="preserve">Interest expense inconsistent with declared borrowings and registered charges</t>
  </si>
  <si>
    <t xml:space="preserve">Either the company pays interest with no loan on its books, or it shows big loans and pays almost no interest. Both mean the financing picture in the accounts is false.</t>
  </si>
  <si>
    <t xml:space="preserve">(interest_expense &gt; 0.02 * revenue_from_operations AND average_borrowings &lt; 0.05 * interest_expense * 10 AND registered_charges_count == 0) OR (average_borrowings &gt; 20000000 AND interest_expense / average_borrowings &lt; 0.04) OR implied_interest_rate &gt; 0.24</t>
  </si>
  <si>
    <t xml:space="preserve">Implied rate = interest / average borrowings; flag &lt; 4% or &gt; 24% against a benchmark bank rate of roughly 9-12%; borrowings floor INR 2 crore; interest arm floor 2% of turnover</t>
  </si>
  <si>
    <t xml:space="preserve">interest_expense, average_borrowings, implied_interest_rate, registered_charges_count, unsecured_loans_from_related_parties, tds_194a_deducted, revenue_from_operations, borrowings</t>
  </si>
  <si>
    <t xml:space="preserve">Three innocent explanations must be tested first: interest-free unsecured loans from directors and shareholders, which are common and legal in private limiteds and depress the implied rate; borrowings drawn or repaid mid-year, which make a year-end balance a bad denominator, so always use monthly or at least half-yearly averages; and interest that is capitalised into CWIP or inventory under Ind AS 23 rather than charged to the P&amp;L. Conversely, interest with no matching borrowing is a strong signal of off-books debt - cross-check the CHG-1 and CERSAI registries, the CIBIL commercial report, and TDS deducted under s.194A in Form 26AS, since interest paid to a non-bank lender attracts TDS and therefore leaves a trail even when the loan is hidden. An implied rate above 24% points to unregulated or informal lending. NBFCs and entities with substantial inter-corporate deposits need the rate benchmarked against their own cost of funds, not a bank rate.</t>
  </si>
  <si>
    <t xml:space="preserve">AOC-4 / AOC-4 XBRL Financial Statements, CHG-1 / CHG-4 / CHG-9 Index of Charges</t>
  </si>
  <si>
    <t xml:space="preserve">Credit Bureau Report (CIBIL / CRIF), Form 26AS, CERSAI Charge Registry, Bank Statement</t>
  </si>
  <si>
    <t xml:space="preserve">Interest-free director loans or mid-year drawdowns distort the implied rate without any concealment.</t>
  </si>
  <si>
    <t xml:space="preserve">BNK-024 (loan repayments to unidentified lenders), FIN-054 (director loans dwarfing equity), CMP-019 (charge not registered within 30 days)</t>
  </si>
  <si>
    <t xml:space="preserve">Companies Act 2013 s.77 charge registration; Income-tax Act s.194A; CARO 2020 clause 3(ix)</t>
  </si>
  <si>
    <t xml:space="preserve">FIN-042</t>
  </si>
  <si>
    <t xml:space="preserve">Digit forensics</t>
  </si>
  <si>
    <t xml:space="preserve">Benford first-digit conformity failure on the general ledger amount population</t>
  </si>
  <si>
    <t xml:space="preserve">In real accounting data the leading digit 1 appears about 30% of the time and 9 under 5%. When a ledger does not follow this natural pattern, the amounts were probably made up rather than earned.</t>
  </si>
  <si>
    <t xml:space="preserve">benford_first_digit_mad &gt; 0.015 AND ledger_line_count &gt;= 1000 AND benford_chi_square_p_value &lt; 0.01 AND excess_digit_share_high_digits &gt; 0.10</t>
  </si>
  <si>
    <t xml:space="preserve">Mean absolute deviation &gt; 0.015 (Nigrini non-conformity band; 0.012-0.015 marginal); minimum 1,000 ledger lines; chi-square p &lt; 0.01 with 8 degrees of freedom</t>
  </si>
  <si>
    <t xml:space="preserve">Current FY full ledger</t>
  </si>
  <si>
    <t xml:space="preserve">benford_first_digit_mad, ledger_line_count, benford_chi_square_p_value, excess_digit_share_high_digits, ledger_amount_population, entry_source_manual_flag</t>
  </si>
  <si>
    <t xml:space="preserve">Benford only applies to populations that span several orders of magnitude and are not bounded or assigned - so before testing, strip out price-fixed lines (a single SKU sold at one rate), amounts constrained by a contract or tariff, sequentially assigned numbers, statutory computations such as PF and ESI that are formula-driven, and any account with fewer than a few hundred lines. Payroll ledgers, EMI schedules and depreciation postings will fail Benford honestly and must be excluded. Test manual journal entries separately from system-generated ones: conformity failure confined to manual journals near period end is far more probative than a whole-ledger failure. MAD bands are population-size sensitive, so for very large ledgers report the effect size, not just the p-value, because chi-square rejects almost everything above 50,000 lines. This rule needs ledger-level access, so in an MCA-only investigation it degrades to unavailable rather than false.</t>
  </si>
  <si>
    <t xml:space="preserve">Document Metadata (PDF / Office), Tax Audit Report (Form 3CD)</t>
  </si>
  <si>
    <t xml:space="preserve">AOC-4 / AOC-4 XBRL Financial Statements, Bank Statement, GSTR-1</t>
  </si>
  <si>
    <t xml:space="preserve">A ledger dominated by fixed-price transactions or formula-driven statutory entries fails the test without any fabrication.</t>
  </si>
  <si>
    <t xml:space="preserve">FIN-043 (first-two-digit failure on invoices), FIN-044 (round and duplicate amounts), FIN-045 (amounts just below thresholds)</t>
  </si>
  <si>
    <t xml:space="preserve">Benford's Law; Nigrini MAD conformity bands; SA 240</t>
  </si>
  <si>
    <t xml:space="preserve">FIN-043</t>
  </si>
  <si>
    <t xml:space="preserve">Benford first-two-digit test failure on outward invoice values</t>
  </si>
  <si>
    <t xml:space="preserve">A sharper version of the digit test applied to invoice amounts, looking at the first two digits together. Spikes at particular pairs usually mark invoices written to hit a target rather than to bill real work.</t>
  </si>
  <si>
    <t xml:space="preserve">benford_two_digit_mad &gt; 0.0022 AND invoice_count &gt;= 1000 AND max_two_digit_excess_zscore &gt; 3.0 AND spike_digit_pairs_count &gt;= 2</t>
  </si>
  <si>
    <t xml:space="preserve">Two-digit MAD &gt; 0.0022 (Nigrini non-conformity; 0.0018-0.0022 marginal); minimum 1,000 invoices; at least 2 digit pairs with z-score &gt; 3</t>
  </si>
  <si>
    <t xml:space="preserve">Rolling 12 months of GSTR-1 or e-invoice data</t>
  </si>
  <si>
    <t xml:space="preserve">benford_two_digit_mad, invoice_count, max_two_digit_excess_zscore, spike_digit_pairs_count, invoice_value_population, counterparty_gstin_count</t>
  </si>
  <si>
    <t xml:space="preserve">The first-two-digit test needs a much larger sample than the first-digit test - below about 1,000 invoices the MAD bands are unreliable and the rule should abstain rather than fire. It is best run on GSTR-1 B2B line values or e-invoice IRN data, which is available for every entity above the INR 5 crore aggregate turnover e-invoicing threshold, so coverage is good for mid-size entities and poor for micro ones. Honest spikes arise where the business sells a standard package at a standard price (SaaS plans, tuition fees, AMC contracts, insurance premia by slab) or where a single large customer places repeat identical orders - inspect the spiking pairs before escalating, because a spike at a commercially meaningful price point is an explanation, not a finding. Spikes just below a regulatory value (pairs 49, 19, 99) should be routed to the threshold-structuring rule instead. Run per counterparty as well as in aggregate: a failure isolated to one buyer is close to conclusive for accommodation billing.</t>
  </si>
  <si>
    <t xml:space="preserve">E-Way Bill Data, GSTR-9 / 9C Annual Return, Packing List / Commercial Invoice</t>
  </si>
  <si>
    <t xml:space="preserve">Standard-priced products or repeat identical orders from one customer create legitimate spikes at particular digit pairs.</t>
  </si>
  <si>
    <t xml:space="preserve">FIN-042 (ledger first-digit failure), FIN-045 (amounts just below thresholds), TAX-006 (invoice value patterns inconsistent with e-way bills)</t>
  </si>
  <si>
    <t xml:space="preserve">Benford's Law first-two-digit test; Nigrini conformity bands</t>
  </si>
  <si>
    <t xml:space="preserve">FIN-044</t>
  </si>
  <si>
    <t xml:space="preserve">Amount pattern anomalies</t>
  </si>
  <si>
    <t xml:space="preserve">High density of round-number and duplicate amounts in sales and purchase entries</t>
  </si>
  <si>
    <t xml:space="preserve">Too many entries are perfectly round figures, or the same amount repeats to the rupee across different bills. Genuine trade produces messy numbers with tax and freight in them; fabricated entries are typed in round or copied.</t>
  </si>
  <si>
    <t xml:space="preserve">(round_amount_share &gt; 0.30 AND round_amount_share &gt; 3 * sector_round_amount_share) OR (exact_duplicate_amount_share &gt; 0.15 AND duplicate_amounts_across_counterparties &gt;= 5) AND transaction_count &gt;= 200</t>
  </si>
  <si>
    <t xml:space="preserve">Share of amounts ending in '000' or '00000' &gt; 30% and &gt; 3x sector norm; or exact duplicate amounts &gt; 15% of value across 5 or more counterparties; minimum 200 transactions</t>
  </si>
  <si>
    <t xml:space="preserve">Rolling 12 months</t>
  </si>
  <si>
    <t xml:space="preserve">round_amount_share, sector_round_amount_share, exact_duplicate_amount_share, duplicate_amounts_across_counterparties, transaction_count, invoice_value_population, gst_inclusive_flag</t>
  </si>
  <si>
    <t xml:space="preserve">Compute roundness on the taxable value, not the invoice total, because GST at 5, 12, 18 or 28% turns a round base into a non-round total and vice versa - testing the wrong field inverts the result. Legitimately round populations include service retainers and consultancy fees, rent, royalty and licence payments, inter-corporate deposits, security deposits, capital contributions and any negotiated lump-sum contract, so run the test on goods supplies separately from services, and set the sector baseline empirically rather than assuming Benford-style expectations. Duplicate detection should use a fuzzy band (amounts within 0.5%) as well as exact matches, and must ignore genuine recurring charges such as monthly rent, EMI, subscription and AMC billing, which repeat by design - key the duplicate test on same amount plus different counterparty plus different date, which recurring billing does not produce. The pattern is most damning when round-number sales are matched by round-number purchases of a similar size in the same month, which is the signature of accommodation entries.</t>
  </si>
  <si>
    <t xml:space="preserve">GSTR-1, GSTR-2A / 2B</t>
  </si>
  <si>
    <t xml:space="preserve">Bank Statement, E-Invoice IRN Data, Tax Audit Report (Form 3CD)</t>
  </si>
  <si>
    <t xml:space="preserve">Service retainers, rent and negotiated lump-sum contracts are genuinely billed as identical round figures every month.</t>
  </si>
  <si>
    <t xml:space="preserve">FIN-042 (Benford ledger failure), FIN-047 (mirror sale and purchase with same counterparty), BNK-016 (round-value transfers in and out)</t>
  </si>
  <si>
    <t xml:space="preserve">Forensic digit and duplicate testing (SA 240); FIU-IND structuring red flags</t>
  </si>
  <si>
    <t xml:space="preserve">FIN-045</t>
  </si>
  <si>
    <t xml:space="preserve">Threshold structuring</t>
  </si>
  <si>
    <t xml:space="preserve">Transaction values clustering just below statutory or internal approval thresholds</t>
  </si>
  <si>
    <t xml:space="preserve">An unusual number of entries sit a whisker below a legal or approval limit - just under the e-way bill, cash receipt, TDS or board-approval figure. Splitting value to stay under a limit is deliberate evasion, not coincidence.</t>
  </si>
  <si>
    <t xml:space="preserve">below_threshold_bunching_ratio &gt; 3.0 AND transactions_within_5pct_below_threshold &gt;= 20 AND threshold_bunching_zscore &gt; 3.0 AND same_counterparty_same_day_split_count &gt;= 3</t>
  </si>
  <si>
    <t xml:space="preserve">Count in the 5% band below a threshold &gt; 3x the count in the 5% band above it; minimum 20 such transactions; z-score &gt; 3 against a smoothed local distribution</t>
  </si>
  <si>
    <t xml:space="preserve">below_threshold_bunching_ratio, transactions_within_5pct_below_threshold, threshold_bunching_zscore, same_counterparty_same_day_split_count, threshold_value_tested, invoice_value_population, cash_receipt_values</t>
  </si>
  <si>
    <t xml:space="preserve">Test each relevant Indian threshold separately and record which one was hit, because the meaning differs: INR 50,000 for e-way bill generation (note that several states set a higher intra-state limit, commonly INR 1 lakh, so use the state-specific value), INR 2 lakh for cash receipts under s.269ST and for PAN quoting under Rule 114B, INR 10,000 for cash payments under s.40A(3) (INR 35,000 for transporters), INR 30,000 single and INR 1 lakh aggregate for TDS under s.194C, INR 50 lakh for s.194Q and s.206C(1H), and the entity's own board or committee approval limits taken from MGT-14 resolutions. Genuine bunching happens where a product's natural price sits near a threshold, where a distributor's standard order lot is fixed, or where a vendor deliberately bills within a limit to avoid paperwork with no tax motive - so require the same-counterparty same-day splitting arm before treating it as structuring. Suppress for retail and e-commerce where consumer basket sizes cluster naturally, and tighten hard when the split invoices share a serial run or a common transporter.</t>
  </si>
  <si>
    <t xml:space="preserve">GSTR-1, E-Way Bill Data</t>
  </si>
  <si>
    <t xml:space="preserve">Bank Statement, Tax Audit Report (Form 3CD), MGT-14 Resolutions, E-Invoice IRN Data</t>
  </si>
  <si>
    <t xml:space="preserve">A product's normal price or a distributor's standard order size naturally sits just under the limit without any intent to evade.</t>
  </si>
  <si>
    <t xml:space="preserve">TAX-014 (consignments split below e-way bill limit), BNK-021 (cash structured below reporting limits), FIN-044 (round and duplicate amounts)</t>
  </si>
  <si>
    <t xml:space="preserve">Income-tax Act s.269ST / s.40A(3) / s.194C; GST e-way bill Rule 138; FATF structuring typology</t>
  </si>
  <si>
    <t xml:space="preserve">FIN-046</t>
  </si>
  <si>
    <t xml:space="preserve">Related party concentration</t>
  </si>
  <si>
    <t xml:space="preserve">Related-party transactions form a dominant share of turnover or purchases</t>
  </si>
  <si>
    <t xml:space="preserve">Most of what the company sells or buys is with its own group. When there is no outside market testing the prices, turnover can be created at will between connected entities.</t>
  </si>
  <si>
    <t xml:space="preserve">(related_party_sales / revenue_from_operations &gt; 0.50 OR related_party_purchases / total_purchases &gt; 0.50) AND revenue_from_operations &gt; 20000000 AND arms_length_certification_present == FALSE AND transfer_pricing_study_present == FALSE</t>
  </si>
  <si>
    <t xml:space="preserve">Related-party sales or purchases &gt; 50% of the respective total (escalate above 75%); turnover floor INR 2 crore</t>
  </si>
  <si>
    <t xml:space="preserve">related_party_sales, related_party_purchases, revenue_from_operations, total_purchases, arms_length_certification_present, transfer_pricing_study_present, related_party_count, aoc2_transaction_count</t>
  </si>
  <si>
    <t xml:space="preserve">Whole legitimate business models are built on intra-group flow and must not be scored as fraud: captive shared-service and GCC units billing only their overseas parent, contract manufacturers dedicated to a group brand, group distribution and marketing arms, and SPVs formed to serve a single group project. For these, the protective evidence is a transfer pricing study and Form 3CEB (mandatory for international and for specified domestic transactions), a board and, where Rule 15(3) limits are crossed, a shareholder approval, and complete AOC-2 disclosure - suppress or downgrade when all three exist. The signal turns real when related-party sales are large but AOC-2 is blank or says 'Nil', when the counterparty relationships are not declared in the Ind AS 24 note, when the related entities share the registered address or directors and file negligible accounts themselves, and when the intra-group price differs materially from the price to third parties. Tighten for entities whose only customer is a related party and which have no third-party revenue at all.</t>
  </si>
  <si>
    <t xml:space="preserve">AOC-2 Related Party Annexure, AOC-4 / AOC-4 XBRL Financial Statements</t>
  </si>
  <si>
    <t xml:space="preserve">Transfer Pricing Report (Form 3CEB), Board Report, GSTR-1, AOC-4 CFS Consolidated</t>
  </si>
  <si>
    <t xml:space="preserve">A captive service unit or group distribution arm genuinely transacts almost entirely with its parent under a transfer pricing policy.</t>
  </si>
  <si>
    <t xml:space="preserve">FIN-047 (mirrored sale and purchase with the same counterparty), FIN-015 (assets dominated by group exposure), OWN-008 (shared registered address across counterparties)</t>
  </si>
  <si>
    <t xml:space="preserve">Companies Act 2013 s.188 and Rule 15(3); Ind AS 24; SEBI LODR Reg 23</t>
  </si>
  <si>
    <t xml:space="preserve">FIN-047</t>
  </si>
  <si>
    <t xml:space="preserve">Circular flow</t>
  </si>
  <si>
    <t xml:space="preserve">Sales to and purchases from the same counterparty at near-equal value</t>
  </si>
  <si>
    <t xml:space="preserve">The company sells to a party and buys back almost exactly the same value from it in the same period. Money and invoices go round in a circle, inflating turnover for both sides without any real trade.</t>
  </si>
  <si>
    <t xml:space="preserve">counterparty_two_way_flow_flag == TRUE AND abs(sales_to_counterparty - purchases_from_counterparty) / max(sales_to_counterparty, purchases_from_counterparty) &lt; 0.10 AND sales_to_counterparty &gt; 0.10 * revenue_from_operations AND net_margin_on_counterparty &lt; 0.02</t>
  </si>
  <si>
    <t xml:space="preserve">Two-way flow with value mismatch &lt; 10%; counterparty &gt; 10% of turnover; realised margin on that counterparty &lt; 2%</t>
  </si>
  <si>
    <t xml:space="preserve">counterparty_two_way_flow_flag, sales_to_counterparty, purchases_from_counterparty, revenue_from_operations, net_margin_on_counterparty, counterparty_gstin, eway_bill_count_for_counterparty, settlement_by_net_off_flag</t>
  </si>
  <si>
    <t xml:space="preserve">Two-way trading is normal in several industries and the rule must not fire on them blind: job work and toll manufacturing (send material, receive processed goods - identifiable from GST job-work challans and ITC-04), oil, power and metals trading where counterparties are natural two-way partners on an exchange, distributors who also supply packaging or services back to the principal, and group entities sharing a common procurement desk. The discriminators are value symmetry, timing symmetry (invoices within days of each other), the absence of any margin, settlement by book adjustment or netting rather than by bank transfer, and the absence of e-way bills or transport documents for goods that supposedly moved both ways. Extend the test to three- and four-legged circles across the group using the cross-entity graph, because sophisticated circular trading rarely closes in a single hop. Tighten when the counterparty was incorporated or GST-registered within the last two years.</t>
  </si>
  <si>
    <t xml:space="preserve">E-Way Bill Data, AOC-2 Related Party Annexure, Bank Statement, Derived — cross-entity graph</t>
  </si>
  <si>
    <t xml:space="preserve">Graph metric</t>
  </si>
  <si>
    <t xml:space="preserve">Graph</t>
  </si>
  <si>
    <t xml:space="preserve">Job-work and toll-manufacturing relationships genuinely involve goods flowing both ways with the same counterparty.</t>
  </si>
  <si>
    <t xml:space="preserve">TAX-003 (circular ITC chain), FIN-002 (zero-margin pass-through revenue), FIN-044 (round and duplicate amounts)</t>
  </si>
  <si>
    <t xml:space="preserve">FATF TBML circular trading typology; GST circular trading / bill trading enforcement</t>
  </si>
  <si>
    <t xml:space="preserve">FIN-048</t>
  </si>
  <si>
    <t xml:space="preserve">Related party lending</t>
  </si>
  <si>
    <t xml:space="preserve">Related-party loans renewed or rolled over without repayment (CARO 3(iii) adverse)</t>
  </si>
  <si>
    <t xml:space="preserve">Money lent to group companies, directors or their relatives is never repaid; it is simply renewed or topped up each year, often interest-free. The auditor's CARO answers on loans are the quickest place to see it.</t>
  </si>
  <si>
    <t xml:space="preserve">loans_to_related_parties &gt; 0.25 * net_worth AND (caro_3iii_c_repayment_irregular == TRUE OR caro_3iii_d_overdue_90_days_amount &gt; 0 OR caro_3iii_e_renewed_to_settle_overdue == TRUE OR caro_3iii_f_repayable_on_demand_amount &gt; 0.50 * loans_to_related_parties)</t>
  </si>
  <si>
    <t xml:space="preserve">Related-party loans &gt; 25% of net worth with any adverse CARO 3(iii) sub-clause; or &gt; 50% of the book repayable on demand with no stipulated terms</t>
  </si>
  <si>
    <t xml:space="preserve">2 FY, CARO for current FY</t>
  </si>
  <si>
    <t xml:space="preserve">loans_to_related_parties, net_worth, caro_3iii_c_repayment_irregular, caro_3iii_d_overdue_90_days_amount, caro_3iii_e_renewed_to_settle_overdue, caro_3iii_f_repayable_on_demand_amount, interest_income_on_loans_given</t>
  </si>
  <si>
    <t xml:space="preserve">CARO 2020 clause 3(iii) requires the auditor to report, separately for subsidiaries, joint ventures and associates versus others, whether terms are prejudicial, whether repayment is regular, the amount overdue beyond 90 days, whether a fresh loan was granted to settle an old overdue one, and the amount granted repayable on demand or without any stipulated terms - each sub-clause is a distinct signal, so score them individually rather than as one flag. CARO does not apply to banking, insurance and s.8 companies or to small private limiteds meeting the exemption conditions (paid-up capital and reserves up to INR 1 crore, borrowings up to INR 1 crore, turnover up to INR 10 crore), so this rule is silently unavailable for many micro entities - fall back to the balance sheet and AOC-2. NBFCs are exempt from the substance of the concern only where lending is licensed and the borrower is unrelated; a promoter-group borrower keeps the flag. Escalate to Critical if the borrower is a director or an entity in which a director is interested, since that breaches s.185 outright, and note that a loan to a substantial shareholder can attract deemed dividend under s.2(22)(e).</t>
  </si>
  <si>
    <t xml:space="preserve">CARO Annexure, AOC-4 / AOC-4 XBRL Financial Statements</t>
  </si>
  <si>
    <t xml:space="preserve">AOC-2 Related Party Annexure, Auditor Report, Tax Audit Report (Form 3CD)</t>
  </si>
  <si>
    <t xml:space="preserve">Boolean</t>
  </si>
  <si>
    <t xml:space="preserve">Pvt Ltd, Public Ltd, OPC</t>
  </si>
  <si>
    <t xml:space="preserve">A parent funds a genuine subsidiary through an open-ended demand loan that is rolled over as ordinary group treasury practice.</t>
  </si>
  <si>
    <t xml:space="preserve">FIN-030 (loans given at nil interest), FIN-015 (assets dominated by group exposure), FIN-050 (group investments written off soon after)</t>
  </si>
  <si>
    <t xml:space="preserve">CARO 2020 clause 3(iii); Companies Act 2013 s.185; Income-tax Act s.2(22)(e)</t>
  </si>
  <si>
    <t xml:space="preserve">FIN-049</t>
  </si>
  <si>
    <t xml:space="preserve">Contingent exposure</t>
  </si>
  <si>
    <t xml:space="preserve">Corporate guarantees given far out of proportion to net worth</t>
  </si>
  <si>
    <t xml:space="preserve">The company has guaranteed borrowings many times larger than everything it owns. A small entity underwriting huge debts for others is usually lending its name so someone else can raise money.</t>
  </si>
  <si>
    <t xml:space="preserve">corporate_guarantees_given / net_worth &gt; 2.00 AND corporate_guarantees_given &gt; 50000000 AND guarantee_commission_income == 0 AND beneficiary_related_flag == TRUE AND special_resolution_filed == FALSE</t>
  </si>
  <si>
    <t xml:space="preserve">Guarantees &gt; 200% of net worth and &gt; INR 5 crore; nil guarantee commission; no s.186(3) special resolution on record</t>
  </si>
  <si>
    <t xml:space="preserve">Point in time, 3 FY trend</t>
  </si>
  <si>
    <t xml:space="preserve">corporate_guarantees_given, net_worth, guarantee_commission_income, beneficiary_related_flag, special_resolution_filed, contingent_liability_disclosed, borrowings_of_beneficiary</t>
  </si>
  <si>
    <t xml:space="preserve">Parent guarantees for subsidiaries are ordinary and are specifically exempted from the s.186 ceiling when given to a wholly-owned subsidiary or joint venture, so establish the shareholding chain before scoring, and suppress for a holding company guaranteeing a consolidated operating subsidiary whose debt appears in AOC-4 CFS. Beyond that, s.186(2) caps loans, guarantees and security at 60% of paid-up capital plus free reserves plus securities premium, or 100% of free reserves plus securities premium, whichever is higher, and anything more needs a special resolution filed in MGT-14 - the absence of that filing turns a ratio into a statutory breach. Under Ind AS 109 a financial guarantee must be recognised and, between unrelated parties, would carry a commission, so nil commission on a guarantee to a non-subsidiary is a transfer of value. The worst pattern is a thinly-capitalised entity guaranteeing an unconnected borrower's loan, and a guarantee that is disclosed only in the contingent liability note while the beneficiary's bank sanction letter names the company as a co-obligant. Cross-check CHG-1 and CERSAI for security created on the company's assets for another's debt.</t>
  </si>
  <si>
    <t xml:space="preserve">AOC-4 / AOC-4 XBRL Financial Statements, MGT-14 Resolutions</t>
  </si>
  <si>
    <t xml:space="preserve">CHG-1 / CHG-4 / CHG-9 Index of Charges, CERSAI Charge Registry, Loan Sanction / Facility Letter, CARO Annexure</t>
  </si>
  <si>
    <t xml:space="preserve">A holding company guarantees the project debt of its wholly-owned subsidiary, which is exempt from the s.186 limits.</t>
  </si>
  <si>
    <t xml:space="preserve">FIN-055 (negative net worth), FIN-041 (interest expense inconsistent with borrowings), OWN-017 (beneficiary controlled by the same promoter)</t>
  </si>
  <si>
    <t xml:space="preserve">Companies Act 2013 s.185 and s.186(2)-(3); Ind AS 109 financial guarantees</t>
  </si>
  <si>
    <t xml:space="preserve">FIN-050</t>
  </si>
  <si>
    <t xml:space="preserve">Investment integrity</t>
  </si>
  <si>
    <t xml:space="preserve">Investments in group entities impaired or written off within two years of being made</t>
  </si>
  <si>
    <t xml:space="preserve">Large sums were invested in group or unlisted companies and then written off almost immediately. Buying worthless shares and writing them down is a clean way to move money out and call it a loss.</t>
  </si>
  <si>
    <t xml:space="preserve">investment_writeoff_amount &gt; 0.10 * net_worth AND holding_period_months_at_writeoff &lt;= 24 AND investee_related_flag == TRUE AND investee_net_worth_at_purchase &lt; 0.20 * investment_amount AND valuation_report_present == FALSE</t>
  </si>
  <si>
    <t xml:space="preserve">Write-off or impairment &gt; 10% of net worth within 24 months of acquisition; investee net worth &lt; 20% of the price paid; no valuation report</t>
  </si>
  <si>
    <t xml:space="preserve">investment_writeoff_amount, net_worth, holding_period_months_at_writeoff, investee_related_flag, investee_net_worth_at_purchase, investment_amount, valuation_report_present, investee_filing_status</t>
  </si>
  <si>
    <t xml:space="preserve">Genuine early-stage investing produces real early write-offs - a corporate venture arm, an incubator, or a strategic minority stake in a startup that fails within two years is an honest loss, so suppress where the investee had third-party institutional investors, a priced round, or an independent DCF under Rule 11UA. The same applies to write-downs forced by an external event (regulatory ban, insolvency of the investee admitted at NCLT, sanctions). The rule bites where the investee is a related party or an entity with common directors, was incorporated shortly before the investment, has never filed meaningful accounts, and where the shares were bought at a price far above the investee's book value with no valuation basis - that combination is round-tripping dressed as investment. Also test whether the write-off was claimed as a capital loss and set off against a capital gain in the same year, and whether s.50CA (fair value deeming for unquoted shares) was ignored on the transfer. Tighten when the same promoter group appears on both sides.</t>
  </si>
  <si>
    <t xml:space="preserve">MCA Company Master Data, Income Tax Return (ITR-5 / ITR-6), AOC-2 Related Party Annexure, PAS-3 Return of Allotment</t>
  </si>
  <si>
    <t xml:space="preserve">A corporate venture investment in an early-stage company genuinely fails and is written down within two years.</t>
  </si>
  <si>
    <t xml:space="preserve">FIN-015 (assets dominated by group exposure), FIN-051 (share premium with no valuation report), OWN-024 (investee incorporated just before the transaction)</t>
  </si>
  <si>
    <t xml:space="preserve">Companies Act 2013 s.247; Income-tax Act s.50CA; FIU-IND round-tripping red flags</t>
  </si>
  <si>
    <t xml:space="preserve">FIN-051</t>
  </si>
  <si>
    <t xml:space="preserve">Capital raising integrity</t>
  </si>
  <si>
    <t xml:space="preserve">Large share premium raised with no registered valuer or merchant banker valuation</t>
  </si>
  <si>
    <t xml:space="preserve">Shares with a face value of ten rupees are issued at hundreds or thousands of rupees to a handful of parties, with no valuation to justify it. Premium is the standard channel for bringing unexplained money in as capital.</t>
  </si>
  <si>
    <t xml:space="preserve">securities_premium_received_during_fy &gt; 10000000 AND premium_to_face_value_multiple &gt; 20 AND valuation_report_present == FALSE AND (net_worth_pre_issue &lt;= 0 OR revenue_from_operations &lt; 0.10 * securities_premium_received_during_fy)</t>
  </si>
  <si>
    <t xml:space="preserve">Premium raised &gt; INR 1 crore in the year at more than 20x face value, with no s.247 valuation report and no supporting earnings or net worth</t>
  </si>
  <si>
    <t xml:space="preserve">securities_premium_received_during_fy, premium_to_face_value_multiple, valuation_report_present, net_worth_pre_issue, revenue_from_operations, allottee_count, allottee_related_flag, pas3_filed_flag</t>
  </si>
  <si>
    <t xml:space="preserve">Startups legitimately raise at very high premia on future potential, so premium multiple alone proves nothing - the test is whether a defensible valuation exists and whether the money and the investor are real. Protective evidence: a registered valuer report under s.247 and Rule 13 of the Share Capital and Debentures Rules for a preferential allotment, a merchant banker DCF used for s.56(2)(viib), a recognised startup exemption under the DPIIT notification, an institutional or foreign investor with FC-GPR filed under FEMA, and money received through banking channels from the allottee's own account. Note that s.56(2)(viib) angel tax was withdrawn from AY 2025-26 by the Finance (No.2) Act 2024, so the absence of a tax adjustment in recent years no longer implies the premium was justified - rely on the Companies Act valuation requirement instead. Escalate when allottees are few, related, or shell-like, when PAS-3 was filed late or not at all, when the premium is immediately advanced back out as a loan or investment, and when the issue price contradicts a valuation used for a different transaction in the same year.</t>
  </si>
  <si>
    <t xml:space="preserve">PAS-3 Return of Allotment, AOC-4 / AOC-4 XBRL Financial Statements</t>
  </si>
  <si>
    <t xml:space="preserve">MGT-7 / MGT-7A Annual Return, MGT-14 Resolutions, Board Report, Bank Statement</t>
  </si>
  <si>
    <t xml:space="preserve">A genuine startup raises a priced round at a high premium from institutional investors on the strength of future prospects.</t>
  </si>
  <si>
    <t xml:space="preserve">OWN-006 (allottees are shell-like entities), FIN-050 (investments written off soon after), BNK-027 (share money returned to the allottee within days)</t>
  </si>
  <si>
    <t xml:space="preserve">Companies Act 2013 s.42, s.62(1)(c) and s.247; Income-tax Act s.68 unexplained credits; CARO 2020 clause 3(x)(b)</t>
  </si>
  <si>
    <t xml:space="preserve">FIN-052</t>
  </si>
  <si>
    <t xml:space="preserve">Share application money pending allotment carried beyond 60 days across years</t>
  </si>
  <si>
    <t xml:space="preserve">Money taken for shares has been sitting unallotted and unrefunded for years. In law it stops being share money after 60 days and becomes a deposit, so a long-pending balance is usually parked funds, not equity.</t>
  </si>
  <si>
    <t xml:space="preserve">share_application_money_pending &gt; 1000000 AND days_pending_since_receipt &gt; 60 AND pas3_filed_flag == FALSE AND refund_made_flag == FALSE AND years_pending &gt;= 2</t>
  </si>
  <si>
    <t xml:space="preserve">Balance &gt; INR 10 lakh pending beyond 60 days from receipt (refund due within a further 15 days), carried for 2 or more FY, with no PAS-3 filed</t>
  </si>
  <si>
    <t xml:space="preserve">share_application_money_pending, days_pending_since_receipt, pas3_filed_flag, refund_made_flag, years_pending, dpt3_filed_flag, applicant_related_flag</t>
  </si>
  <si>
    <t xml:space="preserve">A balance outstanding at year end is entirely normal if the money arrived in the last weeks of March and allotment followed in April - always test against the receipt date, not the balance sheet date, and suppress where PAS-3 shows allotment within 60 days of receipt. Genuine delays also occur where an allotment awaits RBI or FEMA reporting for a non-resident subscriber, where a scheme of arrangement is pending NCLT approval, or where the company is waiting for sectoral regulatory approval - each is documentable. Where the delay is real, Rule 2(1)(c)(vii) of the Companies (Acceptance of Deposits) Rules 2014 converts the amount into a deposit, which then requires DPT-3 reporting and full Chapter V compliance; a company that shows long-pending application money and files a nil DPT-3 is misreporting to ROC, which is an independent and easily proved offence. Escalate when the applicant is a related party, when the amount exceeds the authorised capital available for allotment (allotment was never possible), or when the money was received in cash.</t>
  </si>
  <si>
    <t xml:space="preserve">AOC-4 / AOC-4 XBRL Financial Statements, PAS-3 Return of Allotment</t>
  </si>
  <si>
    <t xml:space="preserve">DPT-3 Return of Deposits, MGT-7 / MGT-7A Annual Return, SH-7 Capital Increase, Bank Statement</t>
  </si>
  <si>
    <t xml:space="preserve">Money received close to year end is allotted in the following weeks, or allotment awaits a pending regulatory approval.</t>
  </si>
  <si>
    <t xml:space="preserve">CMP-011 (nil or missing DPT-3), FIN-051 (premium with no valuation), CMP-007 (PAS-3 not filed within 15 days)</t>
  </si>
  <si>
    <t xml:space="preserve">Companies (Acceptance of Deposits) Rules 2014 Rule 2(1)(c)(vii); Companies Act 2013 s.42(6)</t>
  </si>
  <si>
    <t xml:space="preserve">FIN-053</t>
  </si>
  <si>
    <t xml:space="preserve">Funding structure</t>
  </si>
  <si>
    <t xml:space="preserve">Unsecured loans from directors and relatives dwarfing paid-up capital</t>
  </si>
  <si>
    <t xml:space="preserve">The business runs on informal money from directors and their families, many times the size of its actual share capital. This is the usual route for bringing undisclosed cash into a company without the scrutiny that equity attracts.</t>
  </si>
  <si>
    <t xml:space="preserve">unsecured_loans_from_directors_and_relatives &gt; 5 * paid_up_capital AND unsecured_loans_from_directors_and_relatives &gt; 5000000 AND director_declaration_not_borrowed_flag == FALSE AND interest_paid_on_director_loans == 0</t>
  </si>
  <si>
    <t xml:space="preserve">Director and relative loans &gt; 5x paid-up capital and &gt; INR 50 lakh; no Rule 2(1)(c)(viii) declaration on file; nil interest and no TDS under s.194A</t>
  </si>
  <si>
    <t xml:space="preserve">unsecured_loans_from_directors_and_relatives, paid_up_capital, director_declaration_not_borrowed_flag, interest_paid_on_director_loans, dpt3_filed_flag, tds_194a_deducted, cash_receipt_of_loan_flag</t>
  </si>
  <si>
    <t xml:space="preserve">Promoter funding through unsecured loans is completely normal in Indian private limiteds - it is faster than a rights issue, is often required by the company's own bankers as promoter contribution, and is exempt from the deposit rules provided the director files a declaration that the money is not itself borrowed (Rule 2(1)(c)(viii)); a private company may also take loans from members up to 100% of paid-up capital plus free reserves plus securities premium under the same rules. So the ratio alone is weak; what makes it forensic is the missing declaration, a nil or absent DPT-3, receipt in cash in breach of s.269SS (which bars cash loans of INR 20,000 or more), interest paid without TDS under s.194A, loans from 'relatives' who have no independent income visible in their own filings, and a pattern of the same amount going in and coming out within the year. Suppress for genuine bank-mandated promoter contributions supported by the sanction letter, and for the first three FYs of a bootstrapped business. Tighten when the entity simultaneously reports profits it never distributes.</t>
  </si>
  <si>
    <t xml:space="preserve">AOC-4 / AOC-4 XBRL Financial Statements, DPT-3 Return of Deposits</t>
  </si>
  <si>
    <t xml:space="preserve">Board Report, Bank Statement, Tax Audit Report (Form 3CD), Form 26AS</t>
  </si>
  <si>
    <t xml:space="preserve">Pvt Ltd, OPC, LLP, Partnership</t>
  </si>
  <si>
    <t xml:space="preserve">Promoters routinely fund small private companies with interest-free unsecured loans instead of issuing fresh equity.</t>
  </si>
  <si>
    <t xml:space="preserve">FIN-041 (interest inconsistent with borrowings), BNK-021 (cash deposits before the loan credit), CMP-011 (nil or missing DPT-3)</t>
  </si>
  <si>
    <t xml:space="preserve">Companies (Acceptance of Deposits) Rules 2014 Rule 2(1)(c)(viii); Income-tax Act s.269SS and s.68</t>
  </si>
  <si>
    <t xml:space="preserve">FIN-054</t>
  </si>
  <si>
    <t xml:space="preserve">Solvency contradiction</t>
  </si>
  <si>
    <t xml:space="preserve">Negative net worth yet continuing large turnover and fresh credit</t>
  </si>
  <si>
    <t xml:space="preserve">Accumulated losses have wiped out the company's capital, yet it keeps reporting big sales and keeps getting funded. Real suppliers and lenders stop dealing with an insolvent entity; a shell does not need them to.</t>
  </si>
  <si>
    <t xml:space="preserve">net_worth &lt; 0 AND revenue_from_operations &gt; 100000000 AND abs(net_worth) &gt; 0.50 * paid_up_capital AND consecutive_years_negative_net_worth &gt;= 2 AND (trade_payables_growth &gt; 0.20 OR borrowings_growth &gt; 0.20)</t>
  </si>
  <si>
    <t xml:space="preserve">Negative net worth in 2 consecutive FY with turnover above INR 10 crore and payables or borrowings still growing above 20%</t>
  </si>
  <si>
    <t xml:space="preserve">net_worth, revenue_from_operations, paid_up_capital, consecutive_years_negative_net_worth, trade_payables_growth, borrowings_growth, going_concern_note_present, accumulated_losses</t>
  </si>
  <si>
    <t xml:space="preserve">Negative net worth by itself is common and often innocent: venture-funded startups burning capital ahead of a round, telecom, airline and infrastructure entities carrying heavy front-loaded losses, subsidiaries deliberately funded by parent debt rather than equity, and companies part-way through a resolution or restructuring. Suppress where a parent letter of support or a keep-well agreement is disclosed, where the negative position is explained in a going-concern note with a funding plan, or where the entity is admitted to CIRP and the numbers are under the resolution professional's control. The forensic reading is the contradiction: an insolvent balance sheet coexisting with large turnover, growing trade credit from suppliers who should have stopped, no bank facility, and no going-concern qualification from the auditor. That combination says the turnover and the payables are both fictional. Tighten where the company simultaneously reports profits (profit with rising accumulated losses is arithmetically inconsistent and usually means restatement or misclassification).</t>
  </si>
  <si>
    <t xml:space="preserve">Credit Bureau Report (CIBIL / CRIF), NCLT / NCLAT Orders, Income Tax Return (ITR-5 / ITR-6)</t>
  </si>
  <si>
    <t xml:space="preserve">A venture-funded or infrastructure company legitimately runs negative net worth while parent or investor support continues.</t>
  </si>
  <si>
    <t xml:space="preserve">FIN-038 (Altman Z in the distress zone), FIN-055 (modified audit opinion), CMP-030 (default reported to credit bureau)</t>
  </si>
  <si>
    <t xml:space="preserve">Companies Act 2013 s.248 strike-off criteria; IBC 2016; SEBI vanishing companies</t>
  </si>
  <si>
    <t xml:space="preserve">FIN-055</t>
  </si>
  <si>
    <t xml:space="preserve">Audit opinion</t>
  </si>
  <si>
    <t xml:space="preserve">Qualified, adverse or disclaimer opinion, or material uncertainty on going concern</t>
  </si>
  <si>
    <t xml:space="preserve">The auditor has refused to give a clean report, or has flagged serious doubt about the company surviving. A disclaimer in particular means the auditor could not even obtain enough evidence that the business exists as stated.</t>
  </si>
  <si>
    <t xml:space="preserve">audit_opinion_type IN ('Qualified','Adverse','Disclaimer') OR (going_concern_material_uncertainty_flag == TRUE AND emphasis_of_matter_present == TRUE) AND revenue_from_operations &gt; 10000000</t>
  </si>
  <si>
    <t xml:space="preserve">N/A — categorical; weight Disclaimer &gt; Adverse &gt; Qualified &gt; going-concern emphasis; escalate if repeated in 2 consecutive FY</t>
  </si>
  <si>
    <t xml:space="preserve">audit_opinion_type, going_concern_material_uncertainty_flag, emphasis_of_matter_present, qualification_subject_matter, qualification_quantified_amount, consecutive_years_modified_opinion, auditor_change_flag, revenue_from_operations</t>
  </si>
  <si>
    <t xml:space="preserve">Grade by what the qualification is about, not merely that one exists - qualifications on gratuity actuarial valuation, on non-provision of a disputed tax demand, or on the absence of a fixed-asset physical verification are routine housekeeping in small Indian companies and should score Low. The forensic subset is: inability to obtain audit evidence for revenue, receivables, inventory or related-party balances; unconfirmed balances; a disclaimer of opinion; non-availability of books or records; and a going-concern material uncertainty paragraph under SA 570 where no funding plan is disclosed. A disclaimer or adverse opinion in a company still reporting large turnover is close to conclusive and should be treated as Critical. Read this alongside auditor behaviour: a modified opinion followed by an ADT-3 resignation, or a rotation to a small unknown firm the next year, converts an accounting flag into a governance one. Note that a going-concern paragraph is expected and not adverse for a startup pre-revenue or an entity in CIRP, so suppress the going-concern arm there and keep the modification arm.</t>
  </si>
  <si>
    <t xml:space="preserve">Auditor Report, AOC-4 / AOC-4 XBRL Financial Statements</t>
  </si>
  <si>
    <t xml:space="preserve">CARO Annexure, Board Report, ADT-3 Auditor Resignation, NCLT / NCLAT Orders</t>
  </si>
  <si>
    <t xml:space="preserve">Categorical</t>
  </si>
  <si>
    <t xml:space="preserve">Small companies commonly carry routine qualifications on gratuity provisioning or disputed tax demands with no fraud involved.</t>
  </si>
  <si>
    <t xml:space="preserve">FIN-059 (CARO fraud reporting), CMP-024 (auditor resigned mid-term via ADT-3), FIN-054 (negative net worth with large operations)</t>
  </si>
  <si>
    <t xml:space="preserve">SA 705 modified opinions; SA 570 going concern; SA 706 emphasis of matter</t>
  </si>
  <si>
    <t xml:space="preserve">FIN-056</t>
  </si>
  <si>
    <t xml:space="preserve">CARO adverse reporting</t>
  </si>
  <si>
    <t xml:space="preserve">Statutory dues in arrears beyond six months reported under CARO 3(vii)</t>
  </si>
  <si>
    <t xml:space="preserve">The company has not paid GST, PF, ESI, TDS or income tax that fell due more than six months ago. An entity that collects taxes from others and does not deposit them is either failing or was never meant to pay.</t>
  </si>
  <si>
    <t xml:space="preserve">caro_3vii_a_undisputed_dues_outstanding_over_6_months &gt; 0 AND caro_3vii_a_undisputed_dues_outstanding_over_6_months &gt; 0.02 * revenue_from_operations AND consecutive_years_statutory_arrears &gt;= 2 AND profit_before_tax &gt; 0</t>
  </si>
  <si>
    <t xml:space="preserve">Undisputed statutory dues outstanding over 6 months &gt; 2% of turnover, in 2 or more consecutive FY</t>
  </si>
  <si>
    <t xml:space="preserve">caro_3vii_a_undisputed_dues_outstanding_over_6_months, caro_3vii_b_disputed_dues_amount, revenue_from_operations, consecutive_years_statutory_arrears, profit_before_tax, tds_deducted_not_deposited, gst_liability_unpaid</t>
  </si>
  <si>
    <t xml:space="preserve">Separate the two CARO sub-clauses: 3(vii)(a) covers undisputed dues outstanding for more than six months and is a liquidity and intent signal, while 3(vii)(b) covers amounts not deposited because of a genuine dispute pending before an appellate forum, which is ordinary tax litigation and should not score at all. Cash-strapped but honest businesses do run statutory arrears in a bad year, so require persistence across two years and, crucially, the contradiction arm - arrears alongside reported profit and reported liquidity means the money that was collected as tax never existed. TDS deducted but not deposited is the sharpest sub-signal, since it is money withheld from someone else and attracts prosecution under s.276B and disallowance under s.40(a)(ia); GST collected but not paid attracts s.132 of the CGST Act. Suppress for entities in CIRP where a moratorium applies under s.14 of the IBC, and for the small companies exempt from CARO entirely, where the same facts must be picked up from Form 3CD clause 26 and GSTR-3B versus GSTR-1 gaps instead.</t>
  </si>
  <si>
    <t xml:space="preserve">CARO Annexure, Auditor Report</t>
  </si>
  <si>
    <t xml:space="preserve">Tax Audit Report (Form 3CD), GSTR-3B, Form 26AS, EPFO ECR Filing</t>
  </si>
  <si>
    <t xml:space="preserve">A genuine cash-flow crunch delays statutory payments for a year without any intent to defraud.</t>
  </si>
  <si>
    <t xml:space="preserve">TAX-018 (GSTR-3B liability declared but unpaid), CMP-016 (EPFO contributions in arrears), FIN-054 (negative net worth)</t>
  </si>
  <si>
    <t xml:space="preserve">CARO 2020 clause 3(vii); Income-tax Act s.276B; CGST Act s.132</t>
  </si>
  <si>
    <t xml:space="preserve">FIN-057</t>
  </si>
  <si>
    <t xml:space="preserve">Raised funds diverted from stated purpose or preferential allotment breach (CARO 3(x))</t>
  </si>
  <si>
    <t xml:space="preserve">Money raised through a share issue, private placement or term loan was used for something other than what it was raised for. Diversion of raised funds is the point at which a paper structure becomes an actual theft.</t>
  </si>
  <si>
    <t xml:space="preserve">(caro_3x_a_ipo_funds_not_applied_flag == TRUE OR caro_3x_b_preferential_allotment_noncompliance_flag == TRUE OR caro_3ix_d_short_term_funds_used_long_term == TRUE OR caro_3ix_e_funds_used_for_subsidiary_obligations == TRUE) AND funds_raised_during_fy &gt; 10000000</t>
  </si>
  <si>
    <t xml:space="preserve">N/A — categorical; any adverse CARO 3(x)(a), 3(x)(b), 3(ix)(d) or 3(ix)(e) answer with funds raised above INR 1 crore</t>
  </si>
  <si>
    <t xml:space="preserve">Current FY, 2 FY</t>
  </si>
  <si>
    <t xml:space="preserve">caro_3x_a_ipo_funds_not_applied_flag, caro_3x_b_preferential_allotment_noncompliance_flag, caro_3ix_d_short_term_funds_used_long_term, caro_3ix_e_funds_used_for_subsidiary_obligations, funds_raised_during_fy, end_use_stated_in_offer_document, related_party_outflow_post_raise</t>
  </si>
  <si>
    <t xml:space="preserve">CARO 3(x)(a) applies only where money was raised by an initial or further public offer, including debt instruments, so it is dormant for most unlisted entities; 3(x)(b) is the widely applicable arm because it covers any preferential allotment or private placement of shares or convertible debentures and asks whether s.42 and s.62 were complied with and whether the funds were applied for the stated purpose. Read it together with clause 3(ix)(d) on short-term funds used for long-term purposes and 3(ix)(e) on funds obtained to meet the obligations of subsidiaries, associates or joint ventures, and with Rule 11(e) of the Companies (Audit and Auditors) Rules, which since FY2021-22 requires management representations and auditor comment on funds advanced or received with an ultimate beneficiary in mind - the anti-round-tripping clause. Some diversion findings are technical (a temporary parking of IPO proceeds in fixed deposits pending deployment) and should be downgraded. The severe pattern is money raised at a premium and moved within weeks to a related party as a loan, advance or investment; trace the bank statement dates against the PAS-3 allotment date before escalating.</t>
  </si>
  <si>
    <t xml:space="preserve">CARO Annexure, PAS-3 Return of Allotment</t>
  </si>
  <si>
    <t xml:space="preserve">Auditor Report, Bank Statement, MGT-14 Resolutions, Board Report</t>
  </si>
  <si>
    <t xml:space="preserve">Pvt Ltd, Public Ltd</t>
  </si>
  <si>
    <t xml:space="preserve">Funds raised are temporarily parked in deposits or used for interim working capital before the stated project is ready.</t>
  </si>
  <si>
    <t xml:space="preserve">FIN-051 (premium with no valuation report), FIN-050 (group investments written off), BNK-027 (funds moved out within days of the raise)</t>
  </si>
  <si>
    <t xml:space="preserve">CARO 2020 clauses 3(x)(a), 3(x)(b), 3(ix)(d) and 3(ix)(e); Companies (Audit and Auditors) Rules Rule 11(e)</t>
  </si>
  <si>
    <t xml:space="preserve">FIN-058</t>
  </si>
  <si>
    <t xml:space="preserve">Fraud reported by or on the company under CARO 3(xi) or auditor Form ADT-4</t>
  </si>
  <si>
    <t xml:space="preserve">The auditor has recorded that a fraud was noticed or reported during the year, or has formally reported it to the Central Government. This is the strongest single document-based signal available.</t>
  </si>
  <si>
    <t xml:space="preserve">caro_3xi_a_fraud_noticed_flag == TRUE OR adt4_filed_flag == TRUE OR caro_3xi_c_whistleblower_complaint_considered == TRUE OR fraud_amount_reported &gt; 0</t>
  </si>
  <si>
    <t xml:space="preserve">N/A — categorical; any positive CARO 3(xi)(a), 3(xi)(b) or 3(xi)(c) answer, or an ADT-4 on record</t>
  </si>
  <si>
    <t xml:space="preserve">caro_3xi_a_fraud_noticed_flag, adt4_filed_flag, caro_3xi_c_whistleblower_complaint_considered, fraud_amount_reported, fraud_nature_description, auditor_change_flag, consecutive_years_fraud_reported</t>
  </si>
  <si>
    <t xml:space="preserve">Almost no false positives, but two calibration points matter. First, scale: many CARO 3(xi)(a) disclosures relate to small employee defalcations, cash embezzlement by a cashier or a vendor kickback, which say something about controls but nothing about the entity being a shell - grade by the reported amount relative to turnover and net worth, and by whether management or the promoters were involved. Second, coverage: under s.143(12) the auditor reports frauds above INR 1 crore to the Central Government in Form ADT-4 and smaller ones to the audit committee or board, and CARO does not apply to banking, insurance and s.8 companies or to CARO-exempt small private companies - so silence is not evidence of absence, and for those entities you must look instead at NCLT and SFIO material, adverse media, and the Board Report. Treat promoter-level or revenue-recognition fraud as Critical regardless of amount, and note that a fraud disclosure followed by an ADT-3 auditor resignation is a standard prelude to a company being abandoned.</t>
  </si>
  <si>
    <t xml:space="preserve">Board Report, ADT-3 Auditor Resignation, NCLT / NCLAT Orders, Adverse Media / News Archive</t>
  </si>
  <si>
    <t xml:space="preserve">The reported fraud is a small employee-level defalcation already detected, provided for and remediated by management.</t>
  </si>
  <si>
    <t xml:space="preserve">FIN-055 (modified audit opinion), CMP-024 (auditor resigned mid-term), OWN-031 (director disqualified or named in SFIO action)</t>
  </si>
  <si>
    <t xml:space="preserve">CARO 2020 clause 3(xi); Companies Act 2013 s.143(12) and Form ADT-4</t>
  </si>
  <si>
    <t xml:space="preserve">FIN-059</t>
  </si>
  <si>
    <t xml:space="preserve">Disclosure quality</t>
  </si>
  <si>
    <t xml:space="preserve">Notes to accounts blank, boilerplate or missing mandatory Schedule III disclosures</t>
  </si>
  <si>
    <t xml:space="preserve">The notes attached to the accounts say nothing specific - no names, no ageing, no policy detail - or are copied word for word from another company's filing. Empty notes usually mean there is nothing real to describe.</t>
  </si>
  <si>
    <t xml:space="preserve">(mandatory_schedule3_disclosures_missing_count &gt;= 4 OR notes_text_similarity_to_other_entity &gt; 0.90) AND related_party_note_blank_flag == TRUE AND revenue_from_operations &gt; 10000000</t>
  </si>
  <si>
    <t xml:space="preserve">4 or more mandatory Schedule III disclosures absent, or note text &gt; 90% similar to another entity's filing; turnover floor INR 1 crore</t>
  </si>
  <si>
    <t xml:space="preserve">mandatory_schedule3_disclosures_missing_count, notes_text_similarity_to_other_entity, related_party_note_blank_flag, ratios_disclosure_present, ageing_schedules_present, struck_off_company_dealings_note_present, revenue_from_operations, document_author_metadata</t>
  </si>
  <si>
    <t xml:space="preserve">Schedule III as amended from FY2021-22 requires a specific and checkable list: trade receivable and payable ageing, CWIP and intangible-under-development ageing, eleven financial ratios with explanations for variances above 25%, title deeds of immovable property not held in the company's name, loans and advances to promoters, directors, KMP and related parties, relationships with companies struck off under s.248, borrowings against current assets versus quarterly returns filed with banks, undisclosed income surrendered in tax assessments, benami property proceedings, wilful defaulter status, crypto transactions, and compliance with the number of layers of subsidiaries. Counting how many of these are simply absent is a mechanical and highly discriminating test. Small companies filing AOC-4 under Division I with abridged disclosures legitimately omit several, so apply the exemption set by entity class before counting. The text-similarity arm needs a corpus: identical notes across entities sharing a director, an auditor or a filing agent point to a single factory producing paper companies - corroborate through PDF metadata author and creation-tool fields.</t>
  </si>
  <si>
    <t xml:space="preserve">AOC-4 / AOC-4 XBRL Financial Statements, Document Metadata (PDF / Office)</t>
  </si>
  <si>
    <t xml:space="preserve">Auditor Report, Board Report, Derived — cross-entity graph</t>
  </si>
  <si>
    <t xml:space="preserve">Count</t>
  </si>
  <si>
    <t xml:space="preserve">A small company filing abridged financial statements legitimately omits several disclosures that larger companies must give.</t>
  </si>
  <si>
    <t xml:space="preserve">CMP-009 (identical filings across multiple entities), OWN-014 (same auditor and filing agent across shells), FIN-046 (related-party note blank despite group flow)</t>
  </si>
  <si>
    <t xml:space="preserve">Companies Act 2013 Schedule III (2021 amendment); MCA shell company identification criteria</t>
  </si>
  <si>
    <t xml:space="preserve">FIN-060</t>
  </si>
  <si>
    <t xml:space="preserve">Prior-period figures restated or accounting policy changed repeatedly</t>
  </si>
  <si>
    <t xml:space="preserve">Last year's numbers keep being rewritten, or the way things are measured keeps changing. Repeated restatement makes any year-on-year comparison meaningless, which is often exactly the point.</t>
  </si>
  <si>
    <t xml:space="preserve">(prior_period_restatement_amount &gt; 0.10 * profit_before_tax_abs OR accounting_policy_changes_count &gt;= 2) AND restatement_years_count &gt;= 2 AND restatement_explained_flag == FALSE AND section_131_approval_flag == FALSE</t>
  </si>
  <si>
    <t xml:space="preserve">Restatement of comparatives affecting more than 10% of PBT, or 2 or more policy changes, recurring in 2 of the last 3 FY, with no explanation</t>
  </si>
  <si>
    <t xml:space="preserve">prior_period_restatement_amount, accounting_policy_changes_count, restatement_years_count, restatement_explained_flag, section_131_approval_flag, profit_before_tax_abs, comparative_figures_mismatch_count, auditor_change_flag</t>
  </si>
  <si>
    <t xml:space="preserve">Some restatements are mandatory and entirely innocent: first-time adoption of Ind AS under Ind AS 101, adoption of Ind AS 115 or Ind AS 116 in their transition years, a merger or demerger accounted under Ind AS 103 pooling which requires restating comparatives from the appointed date, and correction of an error identified by the auditor and properly disclosed under Ind AS 8 or AS 5. Suppress all of these when the reason is disclosed. The detectable and more useful version of this rule is mechanical: compare the prior-year comparative column in this year's AOC-4 with the figures actually filed last year and count line items that differ - silent, unexplained restatement of comparatives is the strongest form, because a genuine correction is always narrated. Note also that s.130 allows recasting only on a court or Tribunal order and s.131 allows voluntary revision of financial statements only with Tribunal approval and only for the preceding three years, so a revised set filed without that approval is itself an offence. Tighten when restatement coincides with an auditor change or with a fund-raise.</t>
  </si>
  <si>
    <t xml:space="preserve">Board Report, NCLT / NCLAT Orders, Income Tax Return (ITR-5 / ITR-6)</t>
  </si>
  <si>
    <t xml:space="preserve">Transition to Ind AS or a court-approved merger legally requires prior-year figures to be restated.</t>
  </si>
  <si>
    <t xml:space="preserve">FIN-037 (depreciation policy drift), FIN-055 (modified audit opinion), CMP-024 (auditor changed in the same year)</t>
  </si>
  <si>
    <t xml:space="preserve">Companies Act 2013 s.130 and s.131; Ind AS 8 / AS 5 prior period items</t>
  </si>
  <si>
    <t xml:space="preserve">CMP-001</t>
  </si>
  <si>
    <t xml:space="preserve">Compliance &amp; Regulatory Filing</t>
  </si>
  <si>
    <t xml:space="preserve">MCA Status Flags</t>
  </si>
  <si>
    <t xml:space="preserve">MCA status Strike Off or Under Process of Striking Off while still transacting</t>
  </si>
  <si>
    <t xml:space="preserve">The MCA master record shows the company has been removed from the register under s.248 or the ROC has issued STK-1 to remove it. A struck-off company has no legal existence, so any invoice, bank credit or contract dated after that is a strong shell signal.</t>
  </si>
  <si>
    <t xml:space="preserve">mca_company_status IN ('Strike Off','Under Process of Striking Off','Dissolved') AND (gst_registration_status = 'Active' OR bank_credit_count_post_status_date &gt; 0 OR invoice_count_post_status_date &gt; 0)</t>
  </si>
  <si>
    <t xml:space="preserve">N/A — categorical; escalate when any transaction or invoice date &gt; mca_status_effective_date</t>
  </si>
  <si>
    <t xml:space="preserve">Point in time status + 24 months of transactions</t>
  </si>
  <si>
    <t xml:space="preserve">mca_company_status, mca_status_effective_date, gst_registration_status, bank_credit_count_post_status_date, invoice_count_post_status_date</t>
  </si>
  <si>
    <t xml:space="preserve">Status alone is not fraud — thousands of genuinely dead companies sit in strike-off. The rule only becomes meaningful when paired with post-status economic activity. Suppress the transaction leg for 90 days after strike-off (legacy settlements, closing balances, statutory dues). Tighten to Critical when the counterparty is a bank, a listed company or a government tenderer, or when GST is still live and e-way bills are being generated. For LLPs the equivalent is Rule 37 of LLP Rules 2009, not s.248 — map the status string accordingly. Companies applying voluntarily via STK-2 after genuine closure should be scored lower than companies struck off suo-motu by the ROC for non-filing.</t>
  </si>
  <si>
    <t xml:space="preserve">MCA Company Master Data, MCA Struck-Off Company List, STK-2 Strike Off Application</t>
  </si>
  <si>
    <t xml:space="preserve">NCLT / NCLAT Orders, Bank Statement, GST Registration Certificate (REG-06)</t>
  </si>
  <si>
    <t xml:space="preserve">A genuinely defunct company sits in strike-off status while old receipts are cleared through a bank account not yet closed.</t>
  </si>
  <si>
    <t xml:space="preserve">CMP-004, CMP-007, ADR-001 registered office not physically verifiable</t>
  </si>
  <si>
    <t xml:space="preserve">Companies Act 2013 s.248</t>
  </si>
  <si>
    <t xml:space="preserve">CMP-002</t>
  </si>
  <si>
    <t xml:space="preserve">Dormant status u/s 455 declared while GST or bank activity continues</t>
  </si>
  <si>
    <t xml:space="preserve">The company obtained dormant status by filing MSC-1, which is only allowed when it has no significant accounting transaction. Live turnover, GST outward supply or bank throughput contradicts that declaration.</t>
  </si>
  <si>
    <t xml:space="preserve">mca_company_status = 'Dormant under section 455' AND (gst_outward_supply_value_fy &gt; 0 OR bank_credit_total_fy &gt; dormant_significant_txn_floor OR msc3_filed_flag = FALSE)</t>
  </si>
  <si>
    <t xml:space="preserve">Any outward supply &gt; INR 0; bank credit floor INR 5 lakh per FY to allow statutory and maintenance payments</t>
  </si>
  <si>
    <t xml:space="preserve">Each FY in dormant period, up to 3 FY</t>
  </si>
  <si>
    <t xml:space="preserve">mca_company_status, msc1_filed_date, msc3_filed_flag, gst_outward_supply_value_fy, bank_credit_total_fy</t>
  </si>
  <si>
    <t xml:space="preserve">A properly declared dormant company legitimately files nil returns and has almost no bank movement — do not penalise the absence of activity, penalise the contradiction. Payments of ROC fees, audit fees, rent and statutory dues are explicitly not significant accounting transactions under s.455(1) Explanation, so exclude them from bank_credit_total_fy. Dormant shells held to protect a name or an IP asset are common and legitimate; the case turns on inbound third-party credits. Also flag a company that holds dormant status but never files MSC-3 (annual return of dormant company) — that is dormancy used as a filing shelter rather than a real status.</t>
  </si>
  <si>
    <t xml:space="preserve">MSC-1 / MSC-3 Dormant Status, MCA Company Master Data, GSTR-1</t>
  </si>
  <si>
    <t xml:space="preserve">A dormant company received a one-off refund or interest credit that the analyst has not excluded as an insignificant transaction.</t>
  </si>
  <si>
    <t xml:space="preserve">CMP-034, GST-series nil-filing flags, CMP-011</t>
  </si>
  <si>
    <t xml:space="preserve">Companies Act 2013 s.455</t>
  </si>
  <si>
    <t xml:space="preserve">CMP-003</t>
  </si>
  <si>
    <t xml:space="preserve">ACTIVE non-compliant tag — INC-22A never filed</t>
  </si>
  <si>
    <t xml:space="preserve">INC-22A (ACTIVE) required companies incorporated up to 31 Dec 2017 to photograph and geo-tag their registered office and confirm directors and auditors. Failure marks the company ACTIVE non-compliant and blocks most other filings, and usually means the address could not be evidenced.</t>
  </si>
  <si>
    <t xml:space="preserve">inc22a_compliance_flag = 'ACTIVE-non-compliant' AND incorporation_date &lt;= '2017-12-31' AND mca_company_status = 'Active'</t>
  </si>
  <si>
    <t xml:space="preserve">N/A — categorical</t>
  </si>
  <si>
    <t xml:space="preserve">Point in time</t>
  </si>
  <si>
    <t xml:space="preserve">inc22a_compliance_flag, incorporation_date, mca_company_status, registered_office_geotag_present, last_filing_date</t>
  </si>
  <si>
    <t xml:space="preserve">Only applies to companies incorporated on or before 31 Dec 2017 — a 2021 incorporation can never be ACTIVE non-compliant, so suppress entirely outside that cohort. Companies under management dispute, or those whose directors have deactivated DINs, are blocked from filing INC-22A for reasons other than address fraud — check whether the block is upstream. The signal is far stronger when combined with a shared or virtual registered office and no utility bill. Companies that later regularised by paying the INR 10,000 fee should be scored on the gap length, not the current flag.</t>
  </si>
  <si>
    <t xml:space="preserve">INC-22A ACTIVE, MCA Company Master Data</t>
  </si>
  <si>
    <t xml:space="preserve">INC-22 Registered Office, Electricity / Utility Bill, Photograph with Geotag</t>
  </si>
  <si>
    <t xml:space="preserve">A small company simply never got around to the one-time 2019 filing and continued operating from a genuine address.</t>
  </si>
  <si>
    <t xml:space="preserve">CMP-014, ADR registered office shared with many entities, CMP-017</t>
  </si>
  <si>
    <t xml:space="preserve">Companies (Incorporation) Rules 2014 Rule 25A</t>
  </si>
  <si>
    <t xml:space="preserve">CMP-004</t>
  </si>
  <si>
    <t xml:space="preserve">Entity or its directors appear on the MCA/SEBI vanishing companies list</t>
  </si>
  <si>
    <t xml:space="preserve">The Coordination and Monitoring Committee list of vanishing companies names issuers that raised public money and then disappeared from their registered office and stopped filing. A match, or a director shared with a listed vanishing company, is a direct fraud history hit.</t>
  </si>
  <si>
    <t xml:space="preserve">vanishing_company_list_match = TRUE OR struck_off_list_match = TRUE OR director_din_on_vanishing_company_board_count &gt; 0</t>
  </si>
  <si>
    <t xml:space="preserve">N/A — categorical; any exact CIN or DIN match</t>
  </si>
  <si>
    <t xml:space="preserve">Point in time against full historical lists</t>
  </si>
  <si>
    <t xml:space="preserve">vanishing_company_list_match, struck_off_list_match, director_din_on_vanishing_company_board_count, cin, director_din_list</t>
  </si>
  <si>
    <t xml:space="preserve">Match on CIN is deterministic; match on director name alone is not — require DIN or PAN to avoid common-name collisions, which are severe in India. A director who joined a vanishing company after the vanishing event as part of a court-ordered restoration or resolution process should be excluded. Weight the DIN-linkage leg by how many such companies the director sits on and how recent they are; one 2004 association is history, three in the last five years is a pattern. This rule is a hard reputational hit and should not be netted off by good current filing behaviour.</t>
  </si>
  <si>
    <t xml:space="preserve">MCA Struck-Off Company List, DIN Master Data, Adverse Media / News Archive</t>
  </si>
  <si>
    <t xml:space="preserve">Derived — cross-entity graph, Litigation Database</t>
  </si>
  <si>
    <t xml:space="preserve">A name-only match to a different individual with the same common surname, later disproved by DIN.</t>
  </si>
  <si>
    <t xml:space="preserve">CMP-001, CMP-019, DIR-series multi-directorship concentration</t>
  </si>
  <si>
    <t xml:space="preserve">SEBI vanishing companies (CMC list)</t>
  </si>
  <si>
    <t xml:space="preserve">CMP-005</t>
  </si>
  <si>
    <t xml:space="preserve">Status Amalgamated, Dissolved or Under Liquidation while entity still issues invoices</t>
  </si>
  <si>
    <t xml:space="preserve">The company has merged into another entity or gone into liquidation, so its CIN should no longer generate business. Continued invoicing or GST filing on a merged or liquidated CIN points to invoice-mill use of a dead shell.</t>
  </si>
  <si>
    <t xml:space="preserve">mca_company_status IN ('Amalgamated','Dissolved','Under Liquidation','Under Process of Liquidation','Defunct') AND (gst_outward_supply_value_post_status &gt; 0 OR eway_bill_count_post_status &gt; 0)</t>
  </si>
  <si>
    <t xml:space="preserve">Any outward supply or e-way bill dated after mca_status_effective_date + 60 days</t>
  </si>
  <si>
    <t xml:space="preserve">Point in time + 24 months</t>
  </si>
  <si>
    <t xml:space="preserve">mca_company_status, mca_status_effective_date, gst_outward_supply_value_post_status, eway_bill_count_post_status, amalgamating_transferee_cin</t>
  </si>
  <si>
    <t xml:space="preserve">Amalgamations have a legal appointed date that can precede the NCLT order by a year, so transitional invoicing in the transferee name is normal — allow a 60 to 90 day tail and check whether the transferee CIN is the counterparty. In liquidation the liquidator may legitimately sell assets and raise GST invoices under s.33 IBC, so suppress when the GST authorised signatory is the appointed IRP or liquidator. Tighten sharply when the transferee CIN is itself struck off or when the same registered office and directors continue under the dead CIN.</t>
  </si>
  <si>
    <t xml:space="preserve">MCA Company Master Data, NCLT / NCLAT Orders, GSTR-1</t>
  </si>
  <si>
    <t xml:space="preserve">E-Way Bill Data, E-Invoice IRN Data</t>
  </si>
  <si>
    <t xml:space="preserve">Post-merger transition invoicing during the gap between the appointed date and the effective date of the scheme.</t>
  </si>
  <si>
    <t xml:space="preserve">CMP-050, CMP-033, counterparty circular-trading flags</t>
  </si>
  <si>
    <t xml:space="preserve">Companies Act 2013 s.230-232, IBC 2016</t>
  </si>
  <si>
    <t xml:space="preserve">CMP-006</t>
  </si>
  <si>
    <t xml:space="preserve">Company restored by NCLT u/s 252 shortly before a large transaction</t>
  </si>
  <si>
    <t xml:space="preserve">A struck-off company was revived by NCLT order under s.252. Revival is legitimate for genuine businesses, but a dormant shell revived immediately before a funding round, tender or property deal is a classic reactivated-shell pattern.</t>
  </si>
  <si>
    <t xml:space="preserve">nclt_restoration_order_flag = TRUE AND (first_material_txn_date - nclt_restoration_order_date) &lt;= 180 AND dormant_years_before_restoration &gt;= 3</t>
  </si>
  <si>
    <t xml:space="preserve">Material transaction within 180 days of restoration; at least 3 FY of no filings before restoration</t>
  </si>
  <si>
    <t xml:space="preserve">Full life of entity</t>
  </si>
  <si>
    <t xml:space="preserve">nclt_restoration_order_flag, nclt_restoration_order_date, dormant_years_before_restoration, first_material_txn_date, post_restoration_shareholding_change_flag</t>
  </si>
  <si>
    <t xml:space="preserve">Restoration applications filed by the ROC itself, by a creditor, or by a bank to recover dues are benign — read the applicant from the NCLT order. The suspicious pattern is restoration applied for by a new set of shareholders who acquired the shell, so weight heavily on post_restoration_shareholding_change_flag and on a DIR-12 board replacement within 90 days of the order. Genuine operating businesses struck off for clerical non-filing usually resume with the same directors, same address and back-dated catch-up filings — that shape should be suppressed. Tighten when the restored company immediately obtains fresh GST registration or applies for credit.</t>
  </si>
  <si>
    <t xml:space="preserve">NCLT / NCLAT Orders, MCA Company Master Data, DIR-12 Director Change</t>
  </si>
  <si>
    <t xml:space="preserve">MGT-7 / MGT-7A Annual Return, Bank Statement</t>
  </si>
  <si>
    <t xml:space="preserve">Date</t>
  </si>
  <si>
    <t xml:space="preserve">A real business struck off for late filings was restored and resumed its normal operations with the original promoters.</t>
  </si>
  <si>
    <t xml:space="preserve">CMP-020, ownership change followed by rapid turnover growth, CMP-034</t>
  </si>
  <si>
    <t xml:space="preserve">Companies Act 2013 s.252</t>
  </si>
  <si>
    <t xml:space="preserve">CMP-007</t>
  </si>
  <si>
    <t xml:space="preserve">Annual Filing Default</t>
  </si>
  <si>
    <t xml:space="preserve">AOC-4 and MGT-7 not filed for two or more consecutive financial years</t>
  </si>
  <si>
    <t xml:space="preserve">AOC-4 carries the financial statements and MGT-7 the annual return; both are compulsory every year. Two or more consecutive years missing is the single most common marker of an abandoned or purely paper company and triggers strike-off and director disqualification.</t>
  </si>
  <si>
    <t xml:space="preserve">aoc4_missing_fy_count &gt;= 2 AND mgt7_missing_fy_count &gt;= 2 AND mca_company_status = 'Active' AND (current_date - incorporation_date) &gt; 730</t>
  </si>
  <si>
    <t xml:space="preserve">2 consecutive FY missing; escalate to Critical at 3 FY which triggers s.164(2)</t>
  </si>
  <si>
    <t xml:space="preserve">aoc4_missing_fy_count, mgt7_missing_fy_count, last_aoc4_filed_fy, mca_company_status, incorporation_date</t>
  </si>
  <si>
    <t xml:space="preserve">A company incorporated less than two years ago legitimately has no filing history — the incorporation_date guard is mandatory, and the first AOC-4 is only due 30 days after the first AGM which itself can be held up to 9 months after the first FY end. LLPs use Form 8 and Form 11 instead, so route them to CMP-008. Companies under CIRP where the IRP has taken over often cannot file, and NCLT-stayed companies are excused — check for an insolvency flag before scoring. Section 8 companies and dormant companies still have to file, so no relief there. Tighten when the company nevertheless shows GST turnover, which proves it is trading while hiding its accounts.</t>
  </si>
  <si>
    <t xml:space="preserve">AOC-4 / AOC-4 XBRL Financial Statements, MGT-7 / MGT-7A Annual Return, MCA Company Master Data</t>
  </si>
  <si>
    <t xml:space="preserve">GSTR-1, Income Tax Return (ITR-5 / ITR-6)</t>
  </si>
  <si>
    <t xml:space="preserve">A small family company stopped trading, kept the CIN alive and simply never closed it formally.</t>
  </si>
  <si>
    <t xml:space="preserve">CMP-001, CMP-019, CMP-038 ITR not filed</t>
  </si>
  <si>
    <t xml:space="preserve">Companies Act 2013 s.92, s.137</t>
  </si>
  <si>
    <t xml:space="preserve">CMP-008</t>
  </si>
  <si>
    <t xml:space="preserve">LLP Form 8 or Form 11 not filed while the LLP shows turnover</t>
  </si>
  <si>
    <t xml:space="preserve">An LLP must file Form 11 (annual return) by 30 May and Form 8 (statement of account and solvency) by 30 October. Missing Form 8 while GST or bank data show real turnover means the LLP is deliberately keeping its financials off the public record.</t>
  </si>
  <si>
    <t xml:space="preserve">(llp_form8_missing_fy_count &gt;= 1 OR llp_form11_missing_fy_count &gt;= 1) AND gst_turnover_fy &gt; llp_turnover_floor AND llp_status = 'Active'</t>
  </si>
  <si>
    <t xml:space="preserve">1 FY missing with GST turnover above INR 40 lakh; 2 FY missing regardless of turnover</t>
  </si>
  <si>
    <t xml:space="preserve">llp_form8_missing_fy_count, llp_form11_missing_fy_count, llp_status, gst_turnover_fy, llp_incorporation_date</t>
  </si>
  <si>
    <t xml:space="preserve">An LLP has a different form set and different due dates from a company — never score an LLP on AOC-4 or MGT-7 absence. LLPs incorporated after 30 September of a year have their first Form 8 deferred to the following cycle, so suppress for first-cycle entities. Form 8 also carries a solvency statement, so a designated partner who avoids it while the LLP carries large payables is a stronger signal than one with a clean balance sheet. LLPs with turnover above INR 40 lakh or contribution above INR 25 lakh need audit, so an unaudited Form 8 above those limits is an added flag. Foreign LLPs and small LLPs still file, so no size exemption exists.</t>
  </si>
  <si>
    <t xml:space="preserve">LLP Form 8 / Form 11, MCA Company Master Data</t>
  </si>
  <si>
    <t xml:space="preserve">GSTR-1, Income Tax Return (ITR-5 / ITR-6), Bank Statement</t>
  </si>
  <si>
    <t xml:space="preserve">LLP</t>
  </si>
  <si>
    <t xml:space="preserve">A small LLP missed the Form 8 deadline and filed late with additional fee in the next cycle.</t>
  </si>
  <si>
    <t xml:space="preserve">CMP-009, CMP-041, partner KYC default</t>
  </si>
  <si>
    <t xml:space="preserve">LLP Act 2008 s.34, s.35</t>
  </si>
  <si>
    <t xml:space="preserve">CMP-009</t>
  </si>
  <si>
    <t xml:space="preserve">Filing Behaviour Pattern</t>
  </si>
  <si>
    <t xml:space="preserve">Every annual filing late with additional fee, or filed only after a ROC notice</t>
  </si>
  <si>
    <t xml:space="preserve">The company never files on time and pays the escalating additional fee under s.403, or its filings cluster immediately after a ROC show-cause or STK-1 notice. Reactive-only compliance shows there is no functioning finance team behind the entity.</t>
  </si>
  <si>
    <t xml:space="preserve">(late_filing_fy_count / total_filing_fy_count) &gt;= 0.75 AND (avg_filing_delay_days &gt; 180 OR filings_within_60d_after_roc_notice_count &gt;= 2)</t>
  </si>
  <si>
    <t xml:space="preserve">75% of filings late; average delay above 180 days; or 2+ filings inside 60 days of a ROC notice</t>
  </si>
  <si>
    <t xml:space="preserve">late_filing_fy_count, total_filing_fy_count, avg_filing_delay_days, additional_fee_paid_total, roc_notice_date_list, filings_within_60d_after_roc_notice_count</t>
  </si>
  <si>
    <t xml:space="preserve">Late filing is extremely common in Indian SMEs and on its own is weak — this is a supporting rule, not a case-maker. Suppress or relax when the delay is explained by an MCA-wide extension circular (several exist for FY2019-20 and FY2020-21 COVID relief and for the V3 portal migration), because those inflate delay counts across the whole population. Tighten when the additional fee is large relative to the company's declared turnover, which means someone is paying penalty rather than maintaining books, and when the catch-up filings are all signed by a professional who signs for dozens of unrelated shells. First-year entities have no history — require at least 2 completed filing cycles.</t>
  </si>
  <si>
    <t xml:space="preserve">MCA Company Master Data, AOC-4 / AOC-4 XBRL Financial Statements, MGT-7 / MGT-7A Annual Return</t>
  </si>
  <si>
    <t xml:space="preserve">STK-2 Strike Off Application, NCLT / NCLAT Orders</t>
  </si>
  <si>
    <t xml:space="preserve">A genuine small business with a part-time accountant habitually files a few months late and pays the fee.</t>
  </si>
  <si>
    <t xml:space="preserve">CMP-007, CMP-010, professional signatory shared across many shells</t>
  </si>
  <si>
    <t xml:space="preserve">Companies Act 2013 s.403</t>
  </si>
  <si>
    <t xml:space="preserve">CMP-010</t>
  </si>
  <si>
    <t xml:space="preserve">Several years of annual filings uploaded to MCA on a single day</t>
  </si>
  <si>
    <t xml:space="preserve">Three or more financial years of AOC-4 and MGT-7 carry the same upload date, meaning accounts for past years were manufactured in one sitting. This is typical when a dormant shell is being dressed up for sale, a loan or a tender.</t>
  </si>
  <si>
    <t xml:space="preserve">max_filings_same_upload_date_count &gt;= 3 AND distinct_fy_covered_on_that_date &gt;= 3 AND (first_material_txn_date - bulk_filing_date) &lt;= 365</t>
  </si>
  <si>
    <t xml:space="preserve">3+ distinct FY filed on one date; escalate if a credit application, share transfer or tender bid follows within 12 months</t>
  </si>
  <si>
    <t xml:space="preserve">5 FY</t>
  </si>
  <si>
    <t xml:space="preserve">max_filings_same_upload_date_count, distinct_fy_covered_on_that_date, bulk_filing_date, first_material_txn_date, auditor_signature_date_list</t>
  </si>
  <si>
    <t xml:space="preserve">Bulk catch-up filing also happens honestly when a struck-off company is restored, when a new promoter buys a neglected company and regularises it, or after an MCA amnesty such as the Companies Fresh Start Scheme 2020 and the LLP Settlement Scheme — check the calendar window before scoring, because CFSS filings cluster massively between April and December 2020 across honest companies. The forensic tell is the auditor report signature dates: if all three years of audit reports carry the same or near-identical signature date, the accounts were not audited contemporaneously. Tighten when the bulk filing precedes a change in shareholding or a bank facility application.</t>
  </si>
  <si>
    <t xml:space="preserve">AOC-4 / AOC-4 XBRL Financial Statements, MGT-7 / MGT-7A Annual Return, Auditor Report</t>
  </si>
  <si>
    <t xml:space="preserve">Document Metadata (PDF / Office), Signatory Details / DSC Register</t>
  </si>
  <si>
    <t xml:space="preserve">The company used the Companies Fresh Start Scheme amnesty window to clear a genuine backlog without penalty.</t>
  </si>
  <si>
    <t xml:space="preserve">CMP-006, CMP-022, backdated audit report metadata</t>
  </si>
  <si>
    <t xml:space="preserve">Companies Act 2013 s.92, s.137; CFSS 2020</t>
  </si>
  <si>
    <t xml:space="preserve">CMP-011</t>
  </si>
  <si>
    <t xml:space="preserve">Last AGM overdue beyond s.96 and last balance sheet date more than 24 months stale</t>
  </si>
  <si>
    <t xml:space="preserve">Section 96 requires an AGM within six months of the financial year end, and the MCA master data publishes the last AGM date and last balance sheet date. A company shown as Active but whose last accounts are two years old is running without any current audited financials.</t>
  </si>
  <si>
    <t xml:space="preserve">mca_company_status = 'Active' AND (current_date - last_balance_sheet_date) &gt; 730 AND (current_date - last_agm_date) &gt; 545 AND agm_extension_order_flag = FALSE</t>
  </si>
  <si>
    <t xml:space="preserve">Balance sheet older than 730 days; AGM overdue by more than 545 days from FY end</t>
  </si>
  <si>
    <t xml:space="preserve">Point in time against 3 FY history</t>
  </si>
  <si>
    <t xml:space="preserve">mca_company_status, last_agm_date, last_balance_sheet_date, agm_extension_order_flag, incorporation_date, financial_year_end_date</t>
  </si>
  <si>
    <t xml:space="preserve">The first AGM may be held within 9 months of the first FY end, and the ROC can grant a 3 month extension under the s.96 proviso — read agm_extension_order_flag before scoring. Companies with a non-March financial year end, typically foreign subsidiaries with a s.2(41) NCLT approval, need the actual FY end rather than an assumed 31 March. Some Section 8 companies and OPCs are exempt from holding an AGM (an OPC under s.96(1) proviso), so the AGM leg must be suppressed for OPCs and only the balance sheet leg applied. This rule is deliberately built on published master data, so it works even when the company has filed nothing at all.</t>
  </si>
  <si>
    <t xml:space="preserve">MCA Company Master Data, AOC-4 / AOC-4 XBRL Financial Statements</t>
  </si>
  <si>
    <t xml:space="preserve">MGT-7 / MGT-7A Annual Return, Board Report</t>
  </si>
  <si>
    <t xml:space="preserve">The company obtained a ROC extension or has an approved non-March year end that the data feed has not captured.</t>
  </si>
  <si>
    <t xml:space="preserve">CMP-007, CMP-022, CMP-038</t>
  </si>
  <si>
    <t xml:space="preserve">Companies Act 2013 s.96, s.129</t>
  </si>
  <si>
    <t xml:space="preserve">CMP-012</t>
  </si>
  <si>
    <t xml:space="preserve">Incorporation-Stage Compliance</t>
  </si>
  <si>
    <t xml:space="preserve">INC-20A commencement declaration never filed while the entity transacts</t>
  </si>
  <si>
    <t xml:space="preserve">A company with share capital incorporated on or after 2 November 2018 cannot start business or borrow until it files INC-20A within 180 days. Trading, banking or GST activity with no INC-20A means the company is operating outside its legal capacity.</t>
  </si>
  <si>
    <t xml:space="preserve">incorporation_date &gt;= '2018-11-02' AND share_capital_flag = TRUE AND inc20a_filed_flag = FALSE AND (current_date - incorporation_date) &gt; 180 AND (gst_outward_supply_value_total &gt; 0 OR bank_credit_total_since_incorporation &gt; 0)</t>
  </si>
  <si>
    <t xml:space="preserve">180 days from incorporation; any outward supply or third-party bank credit</t>
  </si>
  <si>
    <t xml:space="preserve">Since incorporation</t>
  </si>
  <si>
    <t xml:space="preserve">incorporation_date, share_capital_flag, inc20a_filed_flag, inc20a_filed_date, gst_outward_supply_value_total, bank_credit_total_since_incorporation</t>
  </si>
  <si>
    <t xml:space="preserve">Not applicable to companies incorporated before 2 November 2018, to companies without share capital such as most Section 8 companies, or to LLPs and partnerships — suppress those cohorts entirely. A company still inside its 180 day window is legitimately pre-commencement, so the age guard is essential; a startup that has raised seed money into the subscription account but not yet begun business is normal. Exclude subscription money and directors own contributions from bank_credit_total_since_incorporation, because the whole point of INC-20A is to declare that subscription money was received. Tighten to Critical when high-value third-party credits or GST outward supplies exist with no INC-20A at all, which is the classic invoice-mill start-up shape.</t>
  </si>
  <si>
    <t xml:space="preserve">INC-20A Commencement, MCA Company Master Data, SPICe+ / INC-32 Incorporation</t>
  </si>
  <si>
    <t xml:space="preserve">Bank Statement, GSTR-1, PAS-3 Return of Allotment</t>
  </si>
  <si>
    <t xml:space="preserve">A new company started operations a few weeks before its consultant filed the commencement declaration.</t>
  </si>
  <si>
    <t xml:space="preserve">CMP-013, CMP-031, rapid turnover in first 12 months</t>
  </si>
  <si>
    <t xml:space="preserve">Companies Act 2013 s.10A</t>
  </si>
  <si>
    <t xml:space="preserve">CMP-013</t>
  </si>
  <si>
    <t xml:space="preserve">Subscription money never received against subscribed capital</t>
  </si>
  <si>
    <t xml:space="preserve">The subscribers to the memorandum must actually pay for the shares they signed for. When the balance sheet shows paid-up capital but the bank account never received a matching inflow, the capital is fictitious and the company was funded by someone off the record.</t>
  </si>
  <si>
    <t xml:space="preserve">paid_up_capital_aoc4 &gt; 0 AND bank_capital_inflow_since_incorporation &lt; (paid_up_capital_aoc4 * capital_receipt_tolerance) AND (pas3_filed_flag = FALSE OR share_application_money_pending &gt; 0)</t>
  </si>
  <si>
    <t xml:space="preserve">Bank inflow below 50% of declared paid-up capital; tolerance 0.5</t>
  </si>
  <si>
    <t xml:space="preserve">Since incorporation, first 3 FY</t>
  </si>
  <si>
    <t xml:space="preserve">paid_up_capital_aoc4, bank_capital_inflow_since_incorporation, pas3_filed_flag, share_application_money_pending, subscriber_count, inc20a_filed_date</t>
  </si>
  <si>
    <t xml:space="preserve">Shares can lawfully be issued for consideration other than cash — against a business transfer, conversion of a loan, ESOP exercise or a swap in a group restructuring — so check PAS-3 and the valuation report before treating a missing cash inflow as fictitious. Companies converted from a firm or LLP carry over capital without a fresh bank inflow. The strong version of this rule is a company whose entire subscribed capital sits as share application money pending allotment for more than 60 days, which breaches s.42(6). Tighten when capital is round-numbered, subscribers are from the same address, and the money moves out within days of coming in.</t>
  </si>
  <si>
    <t xml:space="preserve">AOC-4 / AOC-4 XBRL Financial Statements, PAS-3 Return of Allotment, Bank Statement</t>
  </si>
  <si>
    <t xml:space="preserve">MOA / AOA, SPICe+ / INC-32 Incorporation, MGT-7 / MGT-7A Annual Return</t>
  </si>
  <si>
    <t xml:space="preserve">Shares were validly issued for non-cash consideration on conversion of a proprietorship or a director loan.</t>
  </si>
  <si>
    <t xml:space="preserve">CMP-012, CMP-030, FIN capital inflow immediately reversed</t>
  </si>
  <si>
    <t xml:space="preserve">Companies Act 2013 s.10A, s.39, s.42</t>
  </si>
  <si>
    <t xml:space="preserve">CMP-014</t>
  </si>
  <si>
    <t xml:space="preserve">INC-22 registered office not filed in time or office shifted repeatedly</t>
  </si>
  <si>
    <t xml:space="preserve">A company must have a verifiable registered office and file INC-22 within 30 days of incorporation or of any change under s.12. Late INC-22, or three or more address changes in a short period, is how shells stay ahead of ROC verification and postal notices.</t>
  </si>
  <si>
    <t xml:space="preserve">(inc22_first_filing_delay_days &gt; 30 OR registered_office_change_count_36m &gt;= 3) AND (registered_office_utility_bill_present = FALSE OR registered_office_shared_entity_count &gt; 5)</t>
  </si>
  <si>
    <t xml:space="preserve">30 days statutory limit; 3 or more address changes in 36 months; 5+ entities at the same address</t>
  </si>
  <si>
    <t xml:space="preserve">36 months</t>
  </si>
  <si>
    <t xml:space="preserve">inc22_first_filing_delay_days, registered_office_change_count_36m, registered_office_utility_bill_present, registered_office_shared_entity_count, registered_office_state_change_flag</t>
  </si>
  <si>
    <t xml:space="preserve">Genuine growth causes address changes, so the count alone is weak — the rule requires the second leg of no address evidence or a heavily shared address. Co-working and virtual-office providers legitimately host many companies, so shared-address counts should be tested against a known provider list before being treated as adverse. Address changes across ROC jurisdictions need a s.13(4) regional director order and are far more deliberate than moves inside a city; weight state changes higher, especially moves into states used for GST rate or scheme advantages. Startups incubated at accelerators and companies at a director residential address are common false positives. Registered office at the auditor or CA firm address is a distinct and stronger signal.</t>
  </si>
  <si>
    <t xml:space="preserve">INC-22 Registered Office, MCA Company Master Data, Electricity / Utility Bill</t>
  </si>
  <si>
    <t xml:space="preserve">Rent Agreement / Lease Deed, Site Visit Report, Google Maps / Street Imagery</t>
  </si>
  <si>
    <t xml:space="preserve">A growing startup moved offices twice and used a co-working address shared with many other tenants.</t>
  </si>
  <si>
    <t xml:space="preserve">CMP-003, CMP-046, address shared with known shell cluster</t>
  </si>
  <si>
    <t xml:space="preserve">Companies Act 2013 s.12</t>
  </si>
  <si>
    <t xml:space="preserve">CMP-015</t>
  </si>
  <si>
    <t xml:space="preserve">Main objects in MOA never aligned to the actual line of business</t>
  </si>
  <si>
    <t xml:space="preserve">The MOA main objects and the NIC code on the MCA record should describe what the company actually does. A large mismatch between the declared objects and the goods or services actually invoiced in GST suggests the CIN was bought off the shelf and repurposed.</t>
  </si>
  <si>
    <t xml:space="preserve">nic_code_division != gst_primary_hsn_division AND object_clause_amendment_count = 0 AND gst_turnover_fy &gt; object_mismatch_turnover_floor AND (current_date - incorporation_date) &gt; 365</t>
  </si>
  <si>
    <t xml:space="preserve">Mismatch at 2-digit NIC vs HSN division level; turnover floor INR 1 crore</t>
  </si>
  <si>
    <t xml:space="preserve">Current FY plus incorporation record</t>
  </si>
  <si>
    <t xml:space="preserve">nic_code_division, gst_primary_hsn_division, object_clause_amendment_count, gst_turnover_fy, incorporation_date, moa_main_object_text</t>
  </si>
  <si>
    <t xml:space="preserve">NIC to HSN mapping is imprecise, so only compare at division level and treat this as a lead, not proof. Companies legitimately pivot; the honest version amends the objects via a s.13 special resolution and MGT-14, so the absence of any amendment across a full pivot is the real signal. Diversified groups, holding companies and trading houses have deliberately broad objects that will match almost anything — suppress where the MOA carries an omnibus general trading clause. Tighten when the actual activity is in a high-risk line such as scrap metal, bullion, mobile handsets or manpower supply while the objects say software or consultancy, which is the standard fake-ITC combination.</t>
  </si>
  <si>
    <t xml:space="preserve">MOA / AOA, MCA Company Master Data, GSTR-1</t>
  </si>
  <si>
    <t xml:space="preserve">SPICe+ / INC-32 Incorporation, MGT-14 Resolutions, Company Website Content</t>
  </si>
  <si>
    <t xml:space="preserve">A company pivoted its business and never bothered to amend a broadly worded objects clause that still covers the activity.</t>
  </si>
  <si>
    <t xml:space="preserve">CMP-035, CMP-050, high-risk commodity trading with no infrastructure</t>
  </si>
  <si>
    <t xml:space="preserve">Companies Act 2013 s.4, s.13</t>
  </si>
  <si>
    <t xml:space="preserve">CMP-016</t>
  </si>
  <si>
    <t xml:space="preserve">Company name changed more than once within 36 months</t>
  </si>
  <si>
    <t xml:space="preserve">Changing the registered name needs a special resolution, MGT-14, INC-24 and a fresh certificate. Two or more name changes in three years, especially alongside a change of directors or address, is a way of shedding an adverse search history.</t>
  </si>
  <si>
    <t xml:space="preserve">name_change_count_36m &gt;= 2 AND (director_change_count_36m &gt;= 2 OR registered_office_change_count_36m &gt;= 1) AND adverse_media_hit_on_former_name = TRUE</t>
  </si>
  <si>
    <t xml:space="preserve">2 name changes in 36 months; escalate when a former name carries adverse media or litigation</t>
  </si>
  <si>
    <t xml:space="preserve">36 months, with full former-name history</t>
  </si>
  <si>
    <t xml:space="preserve">name_change_count_36m, former_name_list, name_change_date_list, director_change_count_36m, registered_office_change_count_36m, adverse_media_hit_on_former_name</t>
  </si>
  <si>
    <t xml:space="preserve">Rebranding after a genuine acquisition, a franchise agreement or a trademark objection is normal and usually accompanied by a matching trademark filing and website history — check the Trademark registry and WHOIS before scoring. Group restructurings often rename several subsidiaries at once on the same date, which is benign and detectable by the shared resolution date. The suspicious pattern is a name change that coincides with a full board replacement and a shareholding transfer, effectively a new owner taking over a clean-looking old CIN with a long incorporation vintage. Weight higher when the new name mimics a well-known brand or adds words like International, Global or Exim without any export record.</t>
  </si>
  <si>
    <t xml:space="preserve">MCA Company Master Data, MGT-14 Resolutions, MOA / AOA</t>
  </si>
  <si>
    <t xml:space="preserve">Trademark / IP Registry, Website WHOIS / Domain Record, Adverse Media / News Archive</t>
  </si>
  <si>
    <t xml:space="preserve">A genuine rebranding after acquisition or a trademark dispute forced two name changes in quick succession.</t>
  </si>
  <si>
    <t xml:space="preserve">CMP-020, CMP-006, ownership transfer of an aged CIN</t>
  </si>
  <si>
    <t xml:space="preserve">Companies Act 2013 s.13(2)</t>
  </si>
  <si>
    <t xml:space="preserve">CMP-017</t>
  </si>
  <si>
    <t xml:space="preserve">Director Compliance</t>
  </si>
  <si>
    <t xml:space="preserve">DIR-3 KYC not filed and all or most DINs deactivated</t>
  </si>
  <si>
    <t xml:space="preserve">Every DIN holder must file DIR-3 KYC each year by 30 September or the DIN is deactivated. When the whole board sits on deactivated DINs the company legally cannot sign any filing, which usually means nobody is actually managing it.</t>
  </si>
  <si>
    <t xml:space="preserve">(deactivated_din_count / total_director_count) &gt;= 0.5 AND din_deactivation_duration_days &gt; 365 AND mca_company_status = 'Active'</t>
  </si>
  <si>
    <t xml:space="preserve">50% or more of directors with deactivated DIN for over 12 months; Critical if 100%</t>
  </si>
  <si>
    <t xml:space="preserve">Rolling 24 months</t>
  </si>
  <si>
    <t xml:space="preserve">deactivated_din_count, total_director_count, din_deactivation_duration_days, din_status_list, mca_company_status, last_filing_date</t>
  </si>
  <si>
    <t xml:space="preserve">Deactivation is cheap to reverse for INR 5,000, so a short lapse around the September deadline is noise — require a sustained lapse of over a year. Directors who are non-resident or nominee directors of foreign subsidiaries frequently miss DIR-3 KYC for practical reasons while the company itself is well run; check whether the operating KMP and authorised signatory are compliant. The genuinely adverse shape is a board where every DIN is deactivated yet the GST authorised signatory continues to file returns, meaning the real controller is not on the board at all. Newly appointed directors get their first DIR-3 KYC only in the cycle after allotment, so exclude DINs allotted in the current financial year.</t>
  </si>
  <si>
    <t xml:space="preserve">DIR-3 KYC, DIN Master Data, MCA Company Master Data</t>
  </si>
  <si>
    <t xml:space="preserve">DIR-12 Director Change, Signatory Details / DSC Register</t>
  </si>
  <si>
    <t xml:space="preserve">Non-resident or nominee directors missed the annual KYC deadline while the company continued to operate normally.</t>
  </si>
  <si>
    <t xml:space="preserve">CMP-007, CMP-019, GST signatory not a director</t>
  </si>
  <si>
    <t xml:space="preserve">Companies (Appointment and Qualification of Directors) Rules 2014 Rule 12A</t>
  </si>
  <si>
    <t xml:space="preserve">CMP-018</t>
  </si>
  <si>
    <t xml:space="preserve">Director disqualified u/s 164(2) or listed on the ROC disqualified director list</t>
  </si>
  <si>
    <t xml:space="preserve">A director of a company that failed to file financial statements or annual returns for three continuous years is disqualified for five years and cannot be appointed elsewhere. A serving director on the ROC disqualification list means the company is being run by someone legally barred from doing so.</t>
  </si>
  <si>
    <t xml:space="preserve">disqualified_director_count &gt;= 1 AND (disqualification_end_date &gt; current_date) AND disqualified_director_is_serving_flag = TRUE</t>
  </si>
  <si>
    <t xml:space="preserve">1 serving disqualified director; escalate when the majority of the board is disqualified</t>
  </si>
  <si>
    <t xml:space="preserve">Point in time against the 5 year disqualification period</t>
  </si>
  <si>
    <t xml:space="preserve">disqualified_director_count, total_director_count, disqualification_start_date, disqualification_end_date, disqualified_director_is_serving_flag, disqualification_source_cin</t>
  </si>
  <si>
    <t xml:space="preserve">Many 2017 and 2018 disqualification lists were set aside or stayed by High Courts, and DINs were restored under the Condonation of Delay Scheme 2018 — always check for a stay or restoration order before treating a list entry as live. Disqualification arising from a different defaulting company still bars the person from continuing here under s.167(1)(a), so the source CIN matters for narrative but not for the finding. Section 8 companies and government companies have carve-outs in some notifications. Tighten sharply when the disqualified person is also the sole authorised bank signatory or GST signatory, and when several directors on the same board are disqualified from the same defaulting company, which indicates a serial shell operator.</t>
  </si>
  <si>
    <t xml:space="preserve">ROC Disqualified Director List, DIN Master Data, DIR-12 Director Change</t>
  </si>
  <si>
    <t xml:space="preserve">NCLT / NCLAT Orders, MCA Company Master Data</t>
  </si>
  <si>
    <t xml:space="preserve">The disqualification was stayed or set aside by a High Court and the published list was never updated.</t>
  </si>
  <si>
    <t xml:space="preserve">CMP-004, CMP-007, director common to multiple struck-off companies</t>
  </si>
  <si>
    <t xml:space="preserve">Companies Act 2013 s.164(2), s.167</t>
  </si>
  <si>
    <t xml:space="preserve">CMP-019</t>
  </si>
  <si>
    <t xml:space="preserve">DIR-12 not filed although a board change is evident in other records</t>
  </si>
  <si>
    <t xml:space="preserve">Any appointment, resignation or change in designation must be filed in DIR-12 within 30 days. When bank mandates, GST signatory records or audited accounts name a different set of directors from the MCA record, the true control of the company is deliberately hidden.</t>
  </si>
  <si>
    <t xml:space="preserve">set_difference(director_set_mca, director_set_other_source) != EMPTY AND dir12_filed_count_12m = 0 AND evidence_source_date &gt; last_dir12_filed_date + 30</t>
  </si>
  <si>
    <t xml:space="preserve">Any director present in bank or GST or audited-account records but absent from the MCA board, persisting beyond 30 days</t>
  </si>
  <si>
    <t xml:space="preserve">director_set_mca, director_set_other_source, dir12_filed_count_12m, last_dir12_filed_date, evidence_source_date, board_report_signatory_list</t>
  </si>
  <si>
    <t xml:space="preserve">Cross-source name matching is noisy — normalise for initials, honorifics and transliteration, and confirm with DIN or PAN before raising. GST authorised signatories and bank mandate holders are often managers rather than directors, so a mismatch there is only adverse if the person is described as a director or partner in the source document. The strongest version of this rule is a Board Report or audited financial statement signed by a person who never appears in any DIR-12, which is a shadow director. Additional director appointments under s.161 regularised at the AGM still need DIR-12. For LLPs the equivalent form is Form 4 for designated partner changes — map accordingly.</t>
  </si>
  <si>
    <t xml:space="preserve">DIR-12 Director Change, MCA Company Master Data, Board Report</t>
  </si>
  <si>
    <t xml:space="preserve">Bank Account Opening / KYC File, GST Registration Certificate (REG-06), Auditor Report</t>
  </si>
  <si>
    <t xml:space="preserve">A manager or authorised signatory was loosely described as a director in a bank form without actually being one.</t>
  </si>
  <si>
    <t xml:space="preserve">CMP-017, CMP-020, beneficial ownership not disclosed in BEN-2</t>
  </si>
  <si>
    <t xml:space="preserve">Companies Act 2013 s.170, s.152</t>
  </si>
  <si>
    <t xml:space="preserve">CMP-020</t>
  </si>
  <si>
    <t xml:space="preserve">Mass resignation of directors within a short window</t>
  </si>
  <si>
    <t xml:space="preserve">Two or more directors resign through DIR-11 or DIR-12 inside a 90 day window, often leaving the board below the statutory minimum. Directors typically leave together when they learn of an investigation or refuse to sign the next set of accounts.</t>
  </si>
  <si>
    <t xml:space="preserve">director_resignation_count_90d &gt;= 2 AND (director_resignation_count_90d / board_size_before) &gt;= 0.5 AND (remaining_director_count &lt; statutory_minimum_directors OR replacement_dir12_filed_flag = FALSE)</t>
  </si>
  <si>
    <t xml:space="preserve">2+ resignations in 90 days covering half the board; statutory minimum 2 for Pvt Ltd, 3 for Public Ltd, 1 for OPC</t>
  </si>
  <si>
    <t xml:space="preserve">Rolling 12 months, 90 day windows</t>
  </si>
  <si>
    <t xml:space="preserve">director_resignation_count_90d, board_size_before, remaining_director_count, statutory_minimum_directors, replacement_dir12_filed_flag, resignation_date_list</t>
  </si>
  <si>
    <t xml:space="preserve">Group reorganisations, PE exits and the retirement of nominee directors after loan repayment cause clean simultaneous resignations that are followed immediately by replacement appointments — the absence of replacements is what makes this adverse. Directors who file DIR-11 themselves, rather than relying on the company to file DIR-12, are usually distancing themselves deliberately; that asymmetry is a strong tell. Score higher when the resignations cluster just before a due date for AOC-4, just after a GST notice, or just before the auditor resigns via ADT-3. In an LLP the analogue is designated partners falling below two, which puts it in breach of s.7 of the LLP Act.</t>
  </si>
  <si>
    <t xml:space="preserve">DIR-11 Director Resignation, DIR-12 Director Change, MCA Company Master Data</t>
  </si>
  <si>
    <t xml:space="preserve">Board Report, ADT-3 Auditor Resignation, NCLT / NCLAT Orders</t>
  </si>
  <si>
    <t xml:space="preserve">Investor nominee directors resigned together on completion of a share sale and were replaced by the buyer's nominees.</t>
  </si>
  <si>
    <t xml:space="preserve">CMP-023, CMP-047, adverse media or regulatory notice in the same quarter</t>
  </si>
  <si>
    <t xml:space="preserve">Companies Act 2013 s.168, s.149</t>
  </si>
  <si>
    <t xml:space="preserve">CMP-021</t>
  </si>
  <si>
    <t xml:space="preserve">No KMP or whole-time company secretary despite crossing the s.203 threshold</t>
  </si>
  <si>
    <t xml:space="preserve">Listed companies and public companies with paid-up capital of INR 10 crore or more must appoint a managing director or CEO, a company secretary and a CFO, and private companies with paid-up capital of INR 10 crore or more must have a whole-time company secretary. A large balance sheet with no key managerial personnel means there is no real management structure.</t>
  </si>
  <si>
    <t xml:space="preserve">paid_up_capital &gt; kmp_threshold AND kmp_appointment_mr1_filed_flag = FALSE AND company_secretary_present_flag = FALSE AND cfo_present_flag = FALSE</t>
  </si>
  <si>
    <t xml:space="preserve">Paid-up capital INR 10 crore for both s.203 public-company KMP and Rule 8A private-company CS</t>
  </si>
  <si>
    <t xml:space="preserve">paid_up_capital, entity_class, kmp_appointment_mr1_filed_flag, company_secretary_present_flag, cfo_present_flag, mgt7_kmp_section_populated</t>
  </si>
  <si>
    <t xml:space="preserve">The thresholds are capital based, not turnover based, so an asset-light services company with INR 1 lakh capital and INR 200 crore turnover is legally exempt — do not raise on turnover. Rule 8A applies only to private companies at or above INR 10 crore paid-up capital, so check entity_class before testing. Group shared-service models where a single CS serves several group companies breach the whole-time requirement but are common and only weakly indicative of a shell. This is a supporting rule: its value is in a portfolio where a company reporting hundreds of crores of turnover has no CS, no CFO and no employees at all.</t>
  </si>
  <si>
    <t xml:space="preserve">MGT-7 / MGT-7A Annual Return, MCA Company Master Data, DIR-12 Director Change</t>
  </si>
  <si>
    <t xml:space="preserve">Board Report, AOC-4 / AOC-4 XBRL Financial Statements</t>
  </si>
  <si>
    <t xml:space="preserve">A closely held company just crossed the capital threshold and has not yet recruited a company secretary.</t>
  </si>
  <si>
    <t xml:space="preserve">CMP-044, employee benefit expense near zero, CMP-024</t>
  </si>
  <si>
    <t xml:space="preserve">Companies Act 2013 s.203 and Rule 8A</t>
  </si>
  <si>
    <t xml:space="preserve">CMP-022</t>
  </si>
  <si>
    <t xml:space="preserve">Audit Compliance</t>
  </si>
  <si>
    <t xml:space="preserve">ADT-1 never filed — no statutory auditor on record</t>
  </si>
  <si>
    <t xml:space="preserve">Every company must appoint a statutory auditor and file ADT-1 within 15 days of the AGM that appoints them. No auditor on the MCA record while the company claims audited accounts means the audit report attached to its filings is unsupported.</t>
  </si>
  <si>
    <t xml:space="preserve">adt1_filed_flag = FALSE AND (current_date - incorporation_date) &gt; 365 AND (aoc4_filed_flag = TRUE OR itr_filed_with_audit_flag = TRUE) AND mca_company_status = 'Active'</t>
  </si>
  <si>
    <t xml:space="preserve">No ADT-1 on record for any of the last 3 FY while audited accounts are being filed elsewhere</t>
  </si>
  <si>
    <t xml:space="preserve">adt1_filed_flag, adt1_last_filed_date, auditor_name_mca, auditor_name_on_audit_report, aoc4_filed_flag, itr_filed_with_audit_flag, incorporation_date</t>
  </si>
  <si>
    <t xml:space="preserve">The first auditor is appointed by the board within 30 days of incorporation under s.139(6) and, by MCA clarification, that appointment does not require ADT-1, so suppress for companies in their first year. Where the same auditor is appointed for five years, ADT-1 is filed once at the start of the term, so absence of a recent filing is not a default — compare adt1_last_filed_date against the declared term. The high-value variant is a mismatch: the auditor named on the signed audit report differs from the auditor on the MCA record, which points to a fabricated or ghost-signed audit report. Cross-check the auditor membership and firm registration number against ICAI and against the UDIN on the report.</t>
  </si>
  <si>
    <t xml:space="preserve">ADT-1 Auditor Appointment, Auditor Report, MCA Company Master Data</t>
  </si>
  <si>
    <t xml:space="preserve">A five-year auditor appointment was filed once at the start of the term and no annual filing was needed.</t>
  </si>
  <si>
    <t xml:space="preserve">CMP-023, audit report UDIN not verifiable, CMP-010</t>
  </si>
  <si>
    <t xml:space="preserve">Companies Act 2013 s.139</t>
  </si>
  <si>
    <t xml:space="preserve">CMP-023</t>
  </si>
  <si>
    <t xml:space="preserve">Statutory auditor resigns mid-term through ADT-3</t>
  </si>
  <si>
    <t xml:space="preserve">An auditor resigning before completing the appointed term must file ADT-3 within 30 days stating the reasons. Mid-term auditor exits, particularly repeated ones, usually mean the auditor could not obtain evidence or refused to certify what management wanted.</t>
  </si>
  <si>
    <t xml:space="preserve">adt3_filed_count_36m &gt;= 1 AND auditor_tenure_at_resignation_years &lt; 5 AND (adt3_reason_category IN ('non-cooperation','information not available','disagreement') OR adt3_filed_count_36m &gt;= 2)</t>
  </si>
  <si>
    <t xml:space="preserve">1 mid-term resignation in 36 months; 2 or more is High regardless of stated reason</t>
  </si>
  <si>
    <t xml:space="preserve">adt3_filed_count_36m, adt3_filed_date_list, auditor_tenure_at_resignation_years, adt3_reason_text, adt3_reason_category, casual_vacancy_adt1_filed_flag</t>
  </si>
  <si>
    <t xml:space="preserve">Resignations for pre-emptive rotation, a merger of audit firms, the auditor crossing the s.141(3)(g) ceiling on number of audits, or independence conflicts after the client is acquired are benign and usually stated plainly in the ADT-3. The reason text is unstructured, so classify it manually: language about non-receipt of information, inability to verify balances, or unresolved queries is materially adverse. A red flag of its own is a resignation with no ADT-3 filed at all, or a casual vacancy never filled by a fresh ADT-1 within three months as s.139(8) requires. Weight higher when the resignation is close to the year-end audit or follows a qualified opinion in the prior year.</t>
  </si>
  <si>
    <t xml:space="preserve">ADT-3 Auditor Resignation, ADT-1 Auditor Appointment, Auditor Report</t>
  </si>
  <si>
    <t xml:space="preserve">Board Report, CARO Annexure, Adverse Media / News Archive</t>
  </si>
  <si>
    <t xml:space="preserve">The audit firm resigned because a merger or a new group relationship created an independence conflict.</t>
  </si>
  <si>
    <t xml:space="preserve">CMP-020, prior-year qualified or disclaimer opinion, CMP-047</t>
  </si>
  <si>
    <t xml:space="preserve">Companies Act 2013 s.140(2), s.139(8)</t>
  </si>
  <si>
    <t xml:space="preserve">CMP-024</t>
  </si>
  <si>
    <t xml:space="preserve">Auditor rotation breach — same auditor or firm beyond the s.139(2) term</t>
  </si>
  <si>
    <t xml:space="preserve">Listed companies and prescribed classes must rotate an individual auditor after five years and an audit firm after ten. An auditor who has signed beyond the statutory term, or a related firm that simply changed its name, means the same person has certified the accounts for a very long time without independent challenge.</t>
  </si>
  <si>
    <t xml:space="preserve">rotation_applicable_flag = TRUE AND auditor_continuous_tenure_years &gt; rotation_limit_years AND cooling_off_observed_flag = FALSE</t>
  </si>
  <si>
    <t xml:space="preserve">5 years for an individual auditor, 10 years for a firm; 5 year cooling-off</t>
  </si>
  <si>
    <t xml:space="preserve">10 FY of auditor history</t>
  </si>
  <si>
    <t xml:space="preserve">rotation_applicable_flag, auditor_continuous_tenure_years, auditor_firm_registration_number, rotation_limit_years, cooling_off_observed_flag, paid_up_capital, borrowings_total</t>
  </si>
  <si>
    <t xml:space="preserve">Rotation under Rule 5 applies only to listed companies, unlisted public companies with paid-up capital of INR 10 crore or more, private companies with paid-up capital of INR 50 crore or more, and any of those with public borrowings or deposits of INR 50 crore or more — a small private company is exempt and long auditor tenure there is normal and not adverse. Detect the evasion pattern where the same signing partner moves to a new firm with a fresh FRN but the same address and staff; match on partner membership number, not firm name. Tenure must be counted including years before the 2014 transition. Long tenure with an unrelated small proprietor firm at the same address as the company is a much stronger signal than long tenure with a large firm.</t>
  </si>
  <si>
    <t xml:space="preserve">ADT-1 Auditor Appointment, Auditor Report, MGT-7 / MGT-7A Annual Return</t>
  </si>
  <si>
    <t xml:space="preserve">Public Ltd, Pvt Ltd</t>
  </si>
  <si>
    <t xml:space="preserve">The company is below the Rule 5 thresholds so rotation never applied and a long-standing auditor is lawful.</t>
  </si>
  <si>
    <t xml:space="preserve">CMP-022, auditor address same as registered office, CMP-030</t>
  </si>
  <si>
    <t xml:space="preserve">Companies Act 2013 s.139(2), Audit Rules Rule 5-6</t>
  </si>
  <si>
    <t xml:space="preserve">CMP-025</t>
  </si>
  <si>
    <t xml:space="preserve">Specialised Audit Default</t>
  </si>
  <si>
    <t xml:space="preserve">Cost audit CRA-2/CRA-4, secretarial audit MR-3 or MGT-8 certification missing where mandated</t>
  </si>
  <si>
    <t xml:space="preserve">Certain regulated industries must maintain cost records and file CRA-2 and CRA-4, larger companies must annex a secretarial audit report in MR-3, and larger companies must have their annual return certified by a practising company secretary in MGT-8. Missing these where the thresholds are crossed shows the entity avoids any third-party professional scrutiny.</t>
  </si>
  <si>
    <t xml:space="preserve">(cost_audit_applicable_flag = TRUE AND cra4_filed_flag = FALSE) OR (secretarial_audit_applicable_flag = TRUE AND mr3_attached_flag = FALSE) OR (mgt8_applicable_flag = TRUE AND mgt8_certified_flag = FALSE)</t>
  </si>
  <si>
    <t xml:space="preserve">Cost audit at INR 35 crore/50 crore/100 crore turnover by industry table; MR-3 at paid-up INR 50 crore or turnover INR 250 crore or borrowings INR 100 crore; MGT-8 at paid-up INR 10 crore or turnover INR 50 crore</t>
  </si>
  <si>
    <t xml:space="preserve">Current FY and prior FY</t>
  </si>
  <si>
    <t xml:space="preserve">cost_audit_applicable_flag, cra4_filed_flag, secretarial_audit_applicable_flag, mr3_attached_flag, mgt8_applicable_flag, mgt8_certified_flag, turnover_fy, paid_up_capital</t>
  </si>
  <si>
    <t xml:space="preserve">Applicability is entirely threshold and industry driven, so the applicability flags must be computed from the actual CETA/service tables in the Companies (Cost Records and Audit) Rules 2014 before the rule fires — cost audit covers regulated sectors such as pharma, power, telecom, fertiliser and defence plus specified non-regulated sectors. Turnover here is the prior year figure, not the current year. Companies whose entire turnover is from exports out of a special economic zone, or which are generating electricity purely for captive use, are excluded from cost audit. A shell with fabricated turnover will often cross these thresholds on paper while filing none of these certifications, which is exactly the mismatch worth flagging.</t>
  </si>
  <si>
    <t xml:space="preserve">AOC-4 / AOC-4 XBRL Financial Statements, MGT-7 / MGT-7A Annual Return, Board Report</t>
  </si>
  <si>
    <t xml:space="preserve">MCA Company Master Data, Auditor Report</t>
  </si>
  <si>
    <t xml:space="preserve">The applicability thresholds were misjudged from consolidated rather than standalone turnover and the company was in fact exempt.</t>
  </si>
  <si>
    <t xml:space="preserve">CMP-011, CMP-041 turnover mismatch across GST and ITR, CMP-021</t>
  </si>
  <si>
    <t xml:space="preserve">Companies Act 2013 s.148, s.204, s.92(2)</t>
  </si>
  <si>
    <t xml:space="preserve">CMP-026</t>
  </si>
  <si>
    <t xml:space="preserve">Beneficial Ownership Disclosure</t>
  </si>
  <si>
    <t xml:space="preserve">BEN-1/BEN-2 significant beneficial owner not declared despite corporate or foreign shareholding</t>
  </si>
  <si>
    <t xml:space="preserve">Where shares are held by a body corporate, a trust or a foreign entity, the individual who ultimately controls them must declare in BEN-1 and the company must file BEN-2. No BEN-2 despite a corporate shareholder means the ultimate human owner is deliberately unrecorded.</t>
  </si>
  <si>
    <t xml:space="preserve">body_corporate_shareholding_pct &gt;= 10 AND ben2_filed_flag = FALSE AND ben1_received_flag = FALSE AND (current_date - shareholding_change_date) &gt; 90</t>
  </si>
  <si>
    <t xml:space="preserve">10% indirect holding or significant influence under s.90; BEN-1 within 90 days, BEN-2 within 30 days of BEN-1</t>
  </si>
  <si>
    <t xml:space="preserve">Since the corporate shareholding arose, up to 3 FY</t>
  </si>
  <si>
    <t xml:space="preserve">body_corporate_shareholding_pct, foreign_shareholding_pct, ben1_received_flag, ben2_filed_flag, shareholding_change_date, shareholder_type_list, register_of_sbo_maintained_flag</t>
  </si>
  <si>
    <t xml:space="preserve">Exemptions in Rule 8 of the SBO Rules cover shares held by the government, by mutual funds, AIFs and REITs regulated by SEBI, and by investment vehicles regulated by RBI or IRDAI — suppress for those shareholder types or the rule will fire on every VC-backed startup. A wholly owned subsidiary of a listed Indian company is also outside the reporting chain in practice. The strong shape is layered corporate shareholding through two or three private companies, or a foreign holding company in a low-disclosure jurisdiction, with no BEN-2 at all and no register of significant beneficial owners in Form BEN-3. Weight higher when the corporate shareholder is itself struck off, dormant or non-filing, which makes the chain untraceable.</t>
  </si>
  <si>
    <t xml:space="preserve">BEN-1 / BEN-2 Significant Beneficial Owner, MGT-7 / MGT-7A Annual Return, MCA Company Master Data</t>
  </si>
  <si>
    <t xml:space="preserve">PAS-3 Return of Allotment, Derived — cross-entity graph, Bank Account Opening / KYC File</t>
  </si>
  <si>
    <t xml:space="preserve">Pvt Ltd, Public Ltd, LLP, Foreign Sub</t>
  </si>
  <si>
    <t xml:space="preserve">The corporate shareholder is a SEBI-registered fund or a listed parent, which is exempt from the SBO reporting chain.</t>
  </si>
  <si>
    <t xml:space="preserve">CMP-019, CMP-048, ownership chain terminating in an offshore secrecy jurisdiction</t>
  </si>
  <si>
    <t xml:space="preserve">Companies Act 2013 s.90, SBO Rules 2018</t>
  </si>
  <si>
    <t xml:space="preserve">CMP-027</t>
  </si>
  <si>
    <t xml:space="preserve">Deposit and Payables Disclosure</t>
  </si>
  <si>
    <t xml:space="preserve">DPT-3 not filed although the balance sheet shows loans and unsecured borrowings</t>
  </si>
  <si>
    <t xml:space="preserve">Every company with any outstanding loan, advance or receipt of money that is not a deposit must still file DPT-3 by 30 June each year. Skipping it while the balance sheet carries large unsecured loans hides where the money came from.</t>
  </si>
  <si>
    <t xml:space="preserve">(unsecured_loans_closing + advances_from_related_parties + share_application_money_pending) &gt; dpt3_materiality_floor AND dpt3_filed_flag = FALSE AND mca_company_status = 'Active'</t>
  </si>
  <si>
    <t xml:space="preserve">Materiality floor INR 25 lakh of non-deposit borrowings; DPT-3 due 30 June for the FY ended 31 March</t>
  </si>
  <si>
    <t xml:space="preserve">Current FY plus 2 prior FY</t>
  </si>
  <si>
    <t xml:space="preserve">unsecured_loans_closing, advances_from_related_parties, share_application_money_pending, dpt3_filed_flag, dpt3_filed_date, mca_company_status</t>
  </si>
  <si>
    <t xml:space="preserve">Banking companies, NBFCs registered with RBI, housing finance companies and Section 8 companies are exempt from the deposit rules, so suppress for those. Loans from directors that the director has certified are from own funds, and inter-corporate loans from a holding or subsidiary company, are exempted deposits but still require DPT-3 reporting — many honest small companies get this wrong, so treat a single missed year as weak. The forensic value is highest when unsecured loans are large relative to turnover and equity, appear suddenly, and come from parties who are themselves non-filers; that shape combined with no DPT-3 is money entering the entity from an undocumented source. LLPs and partnerships do not file DPT-3 at all.</t>
  </si>
  <si>
    <t xml:space="preserve">DPT-3 Return of Deposits, AOC-4 / AOC-4 XBRL Financial Statements, Auditor Report</t>
  </si>
  <si>
    <t xml:space="preserve">CARO Annexure, Bank Statement, Income Tax Return (ITR-5 / ITR-6)</t>
  </si>
  <si>
    <t xml:space="preserve">The company treated director loans as exempted deposits and wrongly assumed no return was needed.</t>
  </si>
  <si>
    <t xml:space="preserve">CMP-013, CMP-030, unsecured loans from non-filing entities</t>
  </si>
  <si>
    <t xml:space="preserve">Companies Act 2013 s.73, Deposit Rules 2014 Rule 16</t>
  </si>
  <si>
    <t xml:space="preserve">CMP-028</t>
  </si>
  <si>
    <t xml:space="preserve">MSME-1 half-yearly return not filed despite long-outstanding trade payables</t>
  </si>
  <si>
    <t xml:space="preserve">A company owing an MSME supplier for more than 45 days must report it in MSME-1 twice a year. Large ageing payables with no MSME-1 at all suggests either the payables are fictitious or the suppliers are being concealed.</t>
  </si>
  <si>
    <t xml:space="preserve">trade_payables_over_45_days &gt; msme1_materiality_floor AND msme1_filed_count_fy = 0 AND supplier_msme_flag_count &gt; 0</t>
  </si>
  <si>
    <t xml:space="preserve">Materiality floor INR 10 lakh overdue beyond 45 days; returns due 31 October and 30 April</t>
  </si>
  <si>
    <t xml:space="preserve">Current FY, two half-year cycles</t>
  </si>
  <si>
    <t xml:space="preserve">trade_payables_over_45_days, trade_payables_total, msme1_filed_count_fy, supplier_msme_flag_count, msme_disclosure_in_notes_flag</t>
  </si>
  <si>
    <t xml:space="preserve">The obligation only bites where the supplier is registered under the MSMED Act and has told the buyer so — a company with no MSME suppliers legitimately files nothing, so supplier_msme_flag_count must be non-zero or evidenced from the notes to accounts. Ageing data is usually only available in the CARO annexure and the notes, so this rule often has to fall back to the disclosed MSME dues note under Schedule III. Pure service companies, importers and companies buying only from large corporates have genuinely no MSME exposure. The interesting shell variant is the inverse: a company reporting huge trade payables, no MSME-1, no interest provision under s.16 of the MSMED Act, and suppliers that turn out to be related non-filing entities — the payables are a parking account, not a trade balance.</t>
  </si>
  <si>
    <t xml:space="preserve">MSME-1 Return, AOC-4 / AOC-4 XBRL Financial Statements, CARO Annexure</t>
  </si>
  <si>
    <t xml:space="preserve">Udyam / MSME Registration, GSTR-2A / 2B</t>
  </si>
  <si>
    <t xml:space="preserve">None of the company's suppliers are MSME-registered or none intimated their registration, so no return was due.</t>
  </si>
  <si>
    <t xml:space="preserve">CMP-027, payables to entities with no GST filings, CMP-046</t>
  </si>
  <si>
    <t xml:space="preserve">Companies Act 2013 s.405, MSMED Act 2006 s.15-16</t>
  </si>
  <si>
    <t xml:space="preserve">CMP-029</t>
  </si>
  <si>
    <t xml:space="preserve">Resolution Disclosure</t>
  </si>
  <si>
    <t xml:space="preserve">MGT-14 resolutions absent for borrowings, investments or object changes actually made</t>
  </si>
  <si>
    <t xml:space="preserve">Special resolutions and certain board resolutions must be filed in MGT-14 within 30 days. Where the accounts show large borrowings, investments or loans that needed a resolution but no MGT-14 exists, the governance record has been skipped entirely.</t>
  </si>
  <si>
    <t xml:space="preserve">(borrowings_increase_fy &gt; s180_limit OR investments_made_fy &gt; s186_limit OR object_clause_changed_flag = TRUE OR preferential_allotment_flag = TRUE) AND mgt14_filed_count_fy = 0 AND entity_class = 'Public'</t>
  </si>
  <si>
    <t xml:space="preserve">s.180(1)(c) borrowings above paid-up capital plus free reserves; s.186 investment above 60% of net worth or 100% of free reserves; any object change or private placement</t>
  </si>
  <si>
    <t xml:space="preserve">Current FY plus prior FY</t>
  </si>
  <si>
    <t xml:space="preserve">borrowings_increase_fy, investments_made_fy, object_clause_changed_flag, preferential_allotment_flag, mgt14_filed_count_fy, entity_class, paid_up_capital</t>
  </si>
  <si>
    <t xml:space="preserve">Private companies were exempted from filing MGT-14 for board resolutions under s.179(3) by the MCA exemption notification of 5 June 2015, so restrict the s.179(3) leg to public companies — this single carve-out is the biggest source of false positives on this rule. Special resolutions under s.117(3)(a) still require MGT-14 from every company, including private ones, so the object change and private placement legs apply universally. Wholly owned subsidiaries have relief for certain s.185 and s.186 approvals. The high-value case is a private placement of shares or a large related-party loan with no MGT-14, no PAS-3 and no valuation report, which is capital moving without any recorded corporate authority.</t>
  </si>
  <si>
    <t xml:space="preserve">MGT-14 Resolutions, AOC-4 / AOC-4 XBRL Financial Statements, Board Report</t>
  </si>
  <si>
    <t xml:space="preserve">PAS-3 Return of Allotment, SH-7 Capital Increase, MOA / AOA</t>
  </si>
  <si>
    <t xml:space="preserve">The company is private and lawfully exempt from filing board resolutions under the 2015 MCA exemption notification.</t>
  </si>
  <si>
    <t xml:space="preserve">CMP-030, CMP-013, unexplained large borrowings from related parties</t>
  </si>
  <si>
    <t xml:space="preserve">Companies Act 2013 s.117, s.179(3), s.180, s.186</t>
  </si>
  <si>
    <t xml:space="preserve">CMP-030</t>
  </si>
  <si>
    <t xml:space="preserve">Related Party Disclosure</t>
  </si>
  <si>
    <t xml:space="preserve">Related-party transactions in the accounts with no AOC-2 or s.188 approval on record</t>
  </si>
  <si>
    <t xml:space="preserve">Material related-party transactions must be approved by the board or members and disclosed in AOC-2 attached to the Board Report. Large related-party revenue or purchases with an empty AOC-2 means the transactions were never put before the board, or the counterparties are being hidden.</t>
  </si>
  <si>
    <t xml:space="preserve">(related_party_revenue_fy + related_party_purchases_fy) / revenue_from_operations &gt; rpt_share_threshold AND (aoc2_transaction_count = 0 OR aoc2_attached_flag = FALSE) AND revenue_from_operations &gt; rpt_turnover_floor</t>
  </si>
  <si>
    <t xml:space="preserve">Related-party share above 25% of turnover; turnover floor INR 5 crore; AOC-2 empty or absent</t>
  </si>
  <si>
    <t xml:space="preserve">related_party_revenue_fy, related_party_purchases_fy, revenue_from_operations, aoc2_transaction_count, aoc2_attached_flag, as18_note_party_count, mgt14_filed_count_fy</t>
  </si>
  <si>
    <t xml:space="preserve">AOC-2 only has to report transactions that are not at arm's length or not in the ordinary course of business, so a legitimately empty AOC-2 alongside a fully populated AS-18 or Ind AS 24 note is correct and must not be flagged — the test should compare the AS-18 note against AOC-2 and the s.188 approval record, not simply demand entries. Wholly owned subsidiary transactions with the holding company are exempt from member approval under the fourth proviso to s.188(1). Group shared-service, captive manufacturing and contract-development models legitimately run 90% or more of revenue with related parties. The adverse shape is high related-party concentration where the counterparties are non-filing, struck-off or newly incorporated entities and no note discloses them at all.</t>
  </si>
  <si>
    <t xml:space="preserve">AOC-2 Related Party Annexure, AOC-4 / AOC-4 XBRL Financial Statements, Board Report</t>
  </si>
  <si>
    <t xml:space="preserve">MGT-14 Resolutions, Auditor Report, CARO Annexure</t>
  </si>
  <si>
    <t xml:space="preserve">Pvt Ltd, Public Ltd, OPC, Foreign Sub</t>
  </si>
  <si>
    <t xml:space="preserve">All related-party dealings were at arm's length in the ordinary course, which lawfully keeps AOC-2 empty.</t>
  </si>
  <si>
    <t xml:space="preserve">CMP-026, CMP-029, counterparty concentration in a single related entity</t>
  </si>
  <si>
    <t xml:space="preserve">Companies Act 2013 s.188, Ind AS 24</t>
  </si>
  <si>
    <t xml:space="preserve">CMP-031</t>
  </si>
  <si>
    <t xml:space="preserve">GST Registration Standing</t>
  </si>
  <si>
    <t xml:space="preserve">GST registration cancelled retrospectively from the date of registration</t>
  </si>
  <si>
    <t xml:space="preserve">When the department cancels a GSTIN with effect from the original registration date, it has concluded the registration itself was obtained by fraud or on false documents. Every invoice ever issued under that GSTIN becomes invalid and every buyer loses input tax credit.</t>
  </si>
  <si>
    <t xml:space="preserve">gst_cancellation_flag = TRUE AND gst_cancellation_effective_date &lt;= gst_registration_date + 30 AND gst_cancellation_reason IN ('fraud, wilful misstatement, suppression of facts','non-existent at principal place of business','registration obtained by fraud')</t>
  </si>
  <si>
    <t xml:space="preserve">Cancellation effective within 30 days of registration date, or reason coded as fraud or non-existence</t>
  </si>
  <si>
    <t xml:space="preserve">Point in time; full registration history</t>
  </si>
  <si>
    <t xml:space="preserve">gst_cancellation_flag, gst_registration_date, gst_cancellation_effective_date, gst_cancellation_reason, gst_cancellation_order_number, revocation_application_flag</t>
  </si>
  <si>
    <t xml:space="preserve">Distinguish retrospective cancellation for fraud from voluntary cancellation with a retrospective date requested by the taxpayer on business closure — the reason code and whether the taxpayer filed REG-16 decide this. Cancellation on physical verification failure under Rule 25 is the classic non-existent-supplier finding and is the strongest form. Where the taxpayer has filed REG-21 for revocation and it has been allowed, downgrade to a historical observation. Note that this flag also contaminates every downstream buyer, so it should propagate as a counterparty risk signal across the graph, not just sit on this entity. Retrospective cancellation across several GSTINs on the same PAN is effectively conclusive.</t>
  </si>
  <si>
    <t xml:space="preserve">GST Cancellation / Suspension Order, GST Registration Certificate (REG-06), PAN Master Data</t>
  </si>
  <si>
    <t xml:space="preserve">GSTR-1, GSTR-2A / 2B, Site Visit Report</t>
  </si>
  <si>
    <t xml:space="preserve">The taxpayer itself asked for a retrospective cancellation date on closing a branch that never commenced business.</t>
  </si>
  <si>
    <t xml:space="preserve">CMP-033, CMP-050, buyers reversing ITC on this GSTIN</t>
  </si>
  <si>
    <t xml:space="preserve">CGST Act 2017 s.29(2), Rule 21, Rule 25</t>
  </si>
  <si>
    <t xml:space="preserve">CMP-032</t>
  </si>
  <si>
    <t xml:space="preserve">GSTIN cancelled or suspended, or GSTR-3B not filed for six consecutive periods</t>
  </si>
  <si>
    <t xml:space="preserve">A GSTIN is suspended under Rule 21A and then cancelled under s.29 when returns are not filed for six continuous months. A suspended or cancelled registration on an entity that still claims to trade means it is invoicing without a valid registration.</t>
  </si>
  <si>
    <t xml:space="preserve">gst_registration_status IN ('Cancelled','Suspended','Inactive') OR gstr3b_consecutive_missing_periods &gt;= 6 OR gstr1_consecutive_missing_periods &gt;= 6</t>
  </si>
  <si>
    <t xml:space="preserve">6 consecutive monthly periods for a regular taxpayer, 2 consecutive quarters for a composition taxpayer</t>
  </si>
  <si>
    <t xml:space="preserve">gst_registration_status, gst_suspension_date, gstr3b_consecutive_missing_periods, gstr1_consecutive_missing_periods, gst_taxpayer_type, last_return_filed_period</t>
  </si>
  <si>
    <t xml:space="preserve">Seasonal businesses, casual taxable persons and construction or project entities can have long genuine nil-filing stretches, but they still file nil returns — non-filing, not nil-filing, is the trigger. A taxpayer under the QRMP scheme files GSTR-3B quarterly, so the consecutive-period count must be scaled by gst_taxpayer_type or the rule will fire on every QRMP taxpayer. Composition taxpayers file CMP-08 quarterly and GSTR-4 annually. Suspension pending a revocation application under REG-21 is temporary and should be downgraded if revocation is granted. The signal is strongest when the entity has active e-way bills or bank credits during the non-filing stretch, which proves it kept trading after the registration lapsed.</t>
  </si>
  <si>
    <t xml:space="preserve">GST Cancellation / Suspension Order, GSTR-3B, GSTR-1</t>
  </si>
  <si>
    <t xml:space="preserve">GST Registration Certificate (REG-06), E-Way Bill Data, Bank Statement</t>
  </si>
  <si>
    <t xml:space="preserve">A genuinely closed business stopped filing and let the registration lapse into suo-motu cancellation.</t>
  </si>
  <si>
    <t xml:space="preserve">CMP-031, CMP-038, e-way bills generated after suspension</t>
  </si>
  <si>
    <t xml:space="preserve">CGST Act 2017 s.29(2)(c), Rule 21A</t>
  </si>
  <si>
    <t xml:space="preserve">CMP-033</t>
  </si>
  <si>
    <t xml:space="preserve">GST Return Integrity</t>
  </si>
  <si>
    <t xml:space="preserve">GSTR-3B filed nil while GSTR-1 reports substantial outward supply</t>
  </si>
  <si>
    <t xml:space="preserve">GSTR-1 declares the invoices issued and GSTR-3B pays the tax on them. A nil or near-nil 3B against a populated GSTR-1 means invoices were passed to buyers so they could claim credit, while no tax was ever paid — the signature of an invoice-only supplier.</t>
  </si>
  <si>
    <t xml:space="preserve">gstr1_outward_taxable_value_period &gt; gstr1_materiality_floor AND (gstr3b_outward_taxable_value_period / gstr1_outward_taxable_value_period) &lt; mismatch_tolerance AND gstr3b_tax_paid_cash_period &lt; tax_cash_floor</t>
  </si>
  <si>
    <t xml:space="preserve">3B below 20% of GSTR-1 value; GSTR-1 floor INR 25 lakh per period; cash tax paid below 1% of output tax</t>
  </si>
  <si>
    <t xml:space="preserve">Rolling 12 months, monthly</t>
  </si>
  <si>
    <t xml:space="preserve">gstr1_outward_taxable_value_period, gstr3b_outward_taxable_value_period, gstr3b_tax_paid_cash_period, gstr3b_itc_utilised_period, gst_taxpayer_type, amendment_credit_note_value_period</t>
  </si>
  <si>
    <t xml:space="preserve">Timing differences are normal — a March GSTR-1 filed on 11 April against a March 3B filed on 20 April can look mismatched if periods are aligned wrongly, so always compare on tax period, not filing date, and allow one period of lag. Credit notes, amendments and supplies to SEZ or exports under LUT reduce 3B liability legitimately, so net them before scoring. Suppliers whose entire output is under reverse charge, such as goods transport agencies, show output in GSTR-1 with nil liability in 3B and must be suppressed by service code. The truly adverse variant is high GSTR-1 value, tax discharged almost entirely from input credit with near-zero cash payment, sustained over several months — that is the classic fake-ITC circulation shape.</t>
  </si>
  <si>
    <t xml:space="preserve">GSTR-1, GSTR-3B, GSTR-9 / 9C Annual Return</t>
  </si>
  <si>
    <t xml:space="preserve">GSTR-2A / 2B, E-Invoice IRN Data, E-Way Bill Data</t>
  </si>
  <si>
    <t xml:space="preserve">The mismatch is a period alignment artefact or is explained by credit notes, exports under LUT or reverse-charge supplies.</t>
  </si>
  <si>
    <t xml:space="preserve">CMP-031, CMP-050, ITC utilisation ratio near 100%</t>
  </si>
  <si>
    <t xml:space="preserve">CGST Act 2017 s.37, s.39; DGGI fake invoicing typology</t>
  </si>
  <si>
    <t xml:space="preserve">CMP-034</t>
  </si>
  <si>
    <t xml:space="preserve">GST Registration Lifecycle</t>
  </si>
  <si>
    <t xml:space="preserve">GST registration obtained and surrendered within a short life span</t>
  </si>
  <si>
    <t xml:space="preserve">A GSTIN taken and then cancelled or surrendered within about a year, after passing significant turnover, matches the burner-registration pattern used to pass input tax credit and then disappear before scrutiny.</t>
  </si>
  <si>
    <t xml:space="preserve">(gst_cancellation_effective_date - gst_registration_date) &lt;= registration_life_days AND cumulative_outward_supply_value &gt; burner_turnover_floor AND registration_count_on_pan &gt;= 1</t>
  </si>
  <si>
    <t xml:space="preserve">Registration life under 400 days; cumulative outward supply above INR 1 crore in that life</t>
  </si>
  <si>
    <t xml:space="preserve">Full registration life</t>
  </si>
  <si>
    <t xml:space="preserve">gst_registration_date, gst_cancellation_effective_date, cumulative_outward_supply_value, registration_count_on_pan, cancellation_initiated_by, reg16_surrender_flag</t>
  </si>
  <si>
    <t xml:space="preserve">Genuine short-lived registrations exist — casual taxable persons registered for an exhibition, contractors registered in a state for a single project, and businesses that closed after a failed launch. Those show low turnover or a formal REG-16 surrender with stock reversal, so weight on the turnover leg and on whether stock and capital goods reversal under s.29(5) was actually done. The pattern is far worse when the same promoter or address appears on a fresh GSTIN immediately after the old one is surrendered, which is registration churn; that needs the cross-entity graph. Also check whether the outward supply was concentrated in the final two months before surrender, a classic dump-and-exit profile.</t>
  </si>
  <si>
    <t xml:space="preserve">GST Registration Certificate (REG-06), GST Cancellation / Suspension Order, GSTR-1</t>
  </si>
  <si>
    <t xml:space="preserve">PAN Master Data, Derived — cross-entity graph, E-Way Bill Data</t>
  </si>
  <si>
    <t xml:space="preserve">A casual or project-specific registration was correctly surrendered when the single contract ended.</t>
  </si>
  <si>
    <t xml:space="preserve">CMP-031, CMP-035, same address hosting a new GSTIN immediately after</t>
  </si>
  <si>
    <t xml:space="preserve">CGST Act 2017 s.25, s.29; DGGI shell registration typology</t>
  </si>
  <si>
    <t xml:space="preserve">CMP-035</t>
  </si>
  <si>
    <t xml:space="preserve">Multiple GSTINs on one PAN across states with no premises or transport evidence</t>
  </si>
  <si>
    <t xml:space="preserve">A separate GSTIN is needed for each state where a business has a place of business. Registrations in several states with no rent agreement, no utility bill, no local employees and no inbound e-way bills mean the addresses exist only to move paper credit between states.</t>
  </si>
  <si>
    <t xml:space="preserve">distinct_state_gstin_count &gt;= 3 AND (states_with_premises_evidence_count / distinct_state_gstin_count) &lt; premises_evidence_ratio AND inbound_eway_bill_count_per_state = 0</t>
  </si>
  <si>
    <t xml:space="preserve">3 or more state GSTINs; premises evidence for fewer than 50% of them; zero inbound e-way bills per unevidenced state</t>
  </si>
  <si>
    <t xml:space="preserve">distinct_state_gstin_count, states_with_premises_evidence_count, inbound_eway_bill_count_per_state, gstin_list, additional_place_of_business_count, state_wise_turnover_split</t>
  </si>
  <si>
    <t xml:space="preserve">Genuine multi-state businesses — logistics, retail chains, pharma distributors, e-commerce sellers using fulfilment centres, and infrastructure contractors — legitimately hold many GSTINs, and e-commerce operators require registration in every state they warehouse in. Suppress where an Amazon or Flipkart fulfilment-centre address is the declared place of business, or where the entity is a works-contract or EPC company with site registrations. The adverse form is a services entity with no goods movement holding registrations in several states, or an entity whose state addresses are all virtual offices from the same provider. Check whether state-wise turnover is roughly equal and round, which suggests allocation on paper rather than real regional sales.</t>
  </si>
  <si>
    <t xml:space="preserve">GST Registration Certificate (REG-06), PAN Master Data, E-Way Bill Data</t>
  </si>
  <si>
    <t xml:space="preserve">Rent Agreement / Lease Deed, Electricity / Utility Bill, Site Visit Report</t>
  </si>
  <si>
    <t xml:space="preserve">An e-commerce seller holds registrations at marketplace fulfilment centres it does not itself lease.</t>
  </si>
  <si>
    <t xml:space="preserve">CMP-014, CMP-033, virtual office provider shared across many GSTINs</t>
  </si>
  <si>
    <t xml:space="preserve">CGST Act 2017 s.22, s.25</t>
  </si>
  <si>
    <t xml:space="preserve">CMP-036</t>
  </si>
  <si>
    <t xml:space="preserve">GST Scheme Misuse</t>
  </si>
  <si>
    <t xml:space="preserve">Composition scheme used despite ineligibility on turnover or inter-state supply</t>
  </si>
  <si>
    <t xml:space="preserve">The composition scheme under s.10 allows a low flat rate but only for small taxpayers who do not make inter-state outward supplies or supply through e-commerce operators. Staying in composition while breaching those conditions understates tax and hides real turnover.</t>
  </si>
  <si>
    <t xml:space="preserve">gst_taxpayer_type = 'Composition' AND (aggregate_turnover_fy &gt; composition_turnover_limit OR interstate_outward_supply_value_fy &gt; 0 OR ecommerce_supply_flag = TRUE OR itc_claimed_flag = TRUE)</t>
  </si>
  <si>
    <t xml:space="preserve">INR 1.5 crore aggregate turnover (INR 75 lakh in special category states; INR 50 lakh for the s.10(2A) service scheme); any inter-state outward supply</t>
  </si>
  <si>
    <t xml:space="preserve">Current FY, quarterly CMP-08 cycles</t>
  </si>
  <si>
    <t xml:space="preserve">gst_taxpayer_type, aggregate_turnover_fy, interstate_outward_supply_value_fy, ecommerce_supply_flag, itc_claimed_flag, cmp08_filed_count, gstr4_filed_flag</t>
  </si>
  <si>
    <t xml:space="preserve">Aggregate turnover is computed PAN-India across all GSTINs and includes exempt supplies, so a state-level turnover test will understate it and miss breaches. Inward inter-state purchases are allowed under composition; only outward inter-state supply is barred, so do not confuse the direction. Restaurants and specified manufacturers have their own rates and the s.10(2A) 6% scheme for service providers has a separate INR 50 lakh limit. A composition taxpayer legitimately files CMP-08 and GSTR-4 rather than monthly GSTR-1 and GSTR-3B, so do not score them under the non-filing rules for missing GSTR-1. The shell-relevant use is a supplier who keeps composition status so no invoice-level GSTR-1 data ever enters the system while turnover quietly exceeds the limit.</t>
  </si>
  <si>
    <t xml:space="preserve">GSTR-1, GSTR-9 / 9C Annual Return, GST Registration Certificate (REG-06)</t>
  </si>
  <si>
    <t xml:space="preserve">E-Way Bill Data, Income Tax Return (ITR-5 / ITR-6), Bank Statement</t>
  </si>
  <si>
    <t xml:space="preserve">Pvt Ltd, LLP, Partnership, Proprietorship</t>
  </si>
  <si>
    <t xml:space="preserve">Turnover crossed the limit late in the year and the taxpayer opted out from the following quarter as the law allows.</t>
  </si>
  <si>
    <t xml:space="preserve">CMP-041, CMP-043, bank credits far above declared composition turnover</t>
  </si>
  <si>
    <t xml:space="preserve">CGST Act 2017 s.10, Rule 6</t>
  </si>
  <si>
    <t xml:space="preserve">CMP-037</t>
  </si>
  <si>
    <t xml:space="preserve">GST Documentation Integrity</t>
  </si>
  <si>
    <t xml:space="preserve">E-invoicing mandatory but no IRN generated against B2B supplies</t>
  </si>
  <si>
    <t xml:space="preserve">Taxpayers whose aggregate turnover crossed INR 5 crore in any year since 2017-18 must generate an invoice reference number from the portal for every B2B invoice, and an invoice without an IRN is not a valid document. B2B supply reported in GSTR-1 with no matching IRN means the invoices were created outside the system.</t>
  </si>
  <si>
    <t xml:space="preserve">einvoice_applicable_flag = TRUE AND gstr1_b2b_invoice_count_period &gt; 0 AND (irn_generated_count_period / gstr1_b2b_invoice_count_period) &lt; irn_coverage_threshold</t>
  </si>
  <si>
    <t xml:space="preserve">Aggregate turnover above INR 5 crore in any FY from 2017-18; IRN coverage below 80% of B2B invoices</t>
  </si>
  <si>
    <t xml:space="preserve">einvoice_applicable_flag, aggregate_turnover_max_any_fy, gstr1_b2b_invoice_count_period, irn_generated_count_period, irn_cancelled_count_period, supply_category_split</t>
  </si>
  <si>
    <t xml:space="preserve">The turnover trigger is a once-crossed-always-applicable test based on the highest aggregate turnover in any financial year since 2017-18, not the current year, and the threshold has stepped down over time from INR 500 crore in October 2020 to INR 5 crore from August 2023 — apply the threshold in force for the period tested or the rule will fire retrospectively on compliant taxpayers. Exempt categories include banks, insurers, NBFCs, goods transport agencies, passenger transport, cinema exhibition and SEZ units, so suppress by taxpayer category. B2C supplies never need an IRN, so only B2B, exports and SEZ supplies are in scope. High IRN cancellation within the 24 hour window, repeated month after month, is a related and equally interesting pattern.</t>
  </si>
  <si>
    <t xml:space="preserve">E-Invoice IRN Data, GSTR-1, GSTR-9 / 9C Annual Return</t>
  </si>
  <si>
    <t xml:space="preserve">E-Way Bill Data, Packing List / Commercial Invoice</t>
  </si>
  <si>
    <t xml:space="preserve">The taxpayer falls in an exempt category such as an NBFC or a goods transport agency for which e-invoicing does not apply.</t>
  </si>
  <si>
    <t xml:space="preserve">CMP-033, CMP-050, e-way bills without matching IRN</t>
  </si>
  <si>
    <t xml:space="preserve">CGST Rules 2017 Rule 48(4), Notification 10/2023-CT</t>
  </si>
  <si>
    <t xml:space="preserve">CMP-038</t>
  </si>
  <si>
    <t xml:space="preserve">Income Tax Filing Default</t>
  </si>
  <si>
    <t xml:space="preserve">Income tax return not filed for two or more assessment years despite active operations</t>
  </si>
  <si>
    <t xml:space="preserve">Every company and LLP must file a return regardless of profit or loss. Two or more assessment years with no return while GST turnover, Form 26AS credits or bank throughput show real activity means the income has never been offered to tax at all.</t>
  </si>
  <si>
    <t xml:space="preserve">itr_missing_ay_count &gt;= 2 AND (gst_turnover_fy &gt; 0 OR form26as_total_credit_fy &gt; itr_default_credit_floor OR bank_credit_total_fy &gt; itr_default_bank_floor) AND (current_date - incorporation_date) &gt; 730</t>
  </si>
  <si>
    <t xml:space="preserve">2 consecutive AY missing; Form 26AS credit floor INR 10 lakh; bank credit floor INR 25 lakh</t>
  </si>
  <si>
    <t xml:space="preserve">3 assessment years</t>
  </si>
  <si>
    <t xml:space="preserve">itr_missing_ay_count, last_itr_filed_ay, gst_turnover_fy, form26as_total_credit_fy, bank_credit_total_fy, incorporation_date, pan_status</t>
  </si>
  <si>
    <t xml:space="preserve">A company incorporated in the current or previous year may legitimately have no return yet because the due date has not arrived — anchor to the s.139(1) due date of 31 October for audited entities and 30 November where a transfer pricing report is due, not to 31 July. Updated returns under s.139(8A) can be filed up to 48 months late, so re-check before concluding a permanent default. A PAN marked inoperative for non-linking with Aadhaar, applicable to proprietors, blocks filing for a different reason. The decisive combination is no ITR plus visible 26AS credits, because that means deductors have already reported payments to this entity to the department while the entity has told the department nothing.</t>
  </si>
  <si>
    <t xml:space="preserve">Income Tax Return (ITR-5 / ITR-6), Form 26AS, PAN Master Data</t>
  </si>
  <si>
    <t xml:space="preserve">AIS / TIS, GSTR-1, Bank Statement</t>
  </si>
  <si>
    <t xml:space="preserve">The entity ceased trading and simply stopped filing, with residual 26AS entries from bank interest only.</t>
  </si>
  <si>
    <t xml:space="preserve">CMP-007, CMP-032, CMP-040</t>
  </si>
  <si>
    <t xml:space="preserve">Income Tax Act 1961 s.139(1), s.276CC</t>
  </si>
  <si>
    <t xml:space="preserve">CMP-039</t>
  </si>
  <si>
    <t xml:space="preserve">Income Tax Filing Integrity</t>
  </si>
  <si>
    <t xml:space="preserve">Nil or loss return filed against large Form 26AS and AIS credits</t>
  </si>
  <si>
    <t xml:space="preserve">Form 26AS and the annual information statement show payments made to the entity on which tax was deducted by its customers. A nil or negligible declared income against large 26AS receipts means declared income has been suppressed or the entity is a conduit passing money through.</t>
  </si>
  <si>
    <t xml:space="preserve">form26as_gross_receipts_fy &gt; form26as_floor AND (itr_gross_receipts_fy / form26as_gross_receipts_fy) &lt; receipt_declaration_ratio AND itr_total_income_fy &lt;= 0</t>
  </si>
  <si>
    <t xml:space="preserve">26AS gross receipts above INR 50 lakh; declared receipts below 50% of 26AS; declared total income nil or negative</t>
  </si>
  <si>
    <t xml:space="preserve">Current AY plus 2 prior AY</t>
  </si>
  <si>
    <t xml:space="preserve">form26as_gross_receipts_fy, itr_gross_receipts_fy, itr_total_income_fy, ais_receipt_total_fy, tds_credit_claimed_fy, business_loss_carried_forward</t>
  </si>
  <si>
    <t xml:space="preserve">Form 26AS records gross payments including GST and reimbursements, while the ITR reports net revenue excluding GST, so an inherent gap of the applicable GST rate must be allowed before flagging. Agents, C&amp;F operators, travel agents and freight forwarders show huge 26AS gross receipts against small commission income — that is a legitimate principal-versus-agent presentation and must be suppressed by NIC code. Genuine loss-making startups and companies with brought-forward losses can lawfully report nil total income while declaring full turnover; the trigger requires suppression of receipts, not merely nil income. Where TDS credit is claimed in full but the corresponding receipts are not offered as income, the mismatch is deliberate and should be escalated.</t>
  </si>
  <si>
    <t xml:space="preserve">Form 26AS, Income Tax Return (ITR-5 / ITR-6), AIS / TIS</t>
  </si>
  <si>
    <t xml:space="preserve">GSTR-1, Tax Audit Report (Form 3CD), Bank Statement</t>
  </si>
  <si>
    <t xml:space="preserve">The entity acts as an agent so 26AS shows gross client billings while only commission is its income.</t>
  </si>
  <si>
    <t xml:space="preserve">CMP-041, CMP-043, bank throughput far exceeding declared turnover</t>
  </si>
  <si>
    <t xml:space="preserve">Income Tax Act 1961 s.139, s.147; CBDT AIS risk rules</t>
  </si>
  <si>
    <t xml:space="preserve">CMP-040</t>
  </si>
  <si>
    <t xml:space="preserve">TDS Compliance</t>
  </si>
  <si>
    <t xml:space="preserve">TDS deducted from payments but not deposited — open default on TRACES</t>
  </si>
  <si>
    <t xml:space="preserve">Tax deducted at source belongs to the government from the moment it is withheld, and TRACES publishes short-payment and late-payment defaults. An entity holding on to deducted tax is using government money as working capital and is exposed to prosecution under s.276B.</t>
  </si>
  <si>
    <t xml:space="preserve">traces_default_outstanding_amount &gt; tds_default_floor AND (traces_default_outstanding_amount / tds_deducted_total_fy) &gt; tds_default_ratio AND default_ageing_days &gt; 180</t>
  </si>
  <si>
    <t xml:space="preserve">Outstanding default above INR 5 lakh, above 10% of TDS deducted, aged beyond 180 days</t>
  </si>
  <si>
    <t xml:space="preserve">4 quarters plus prior FY</t>
  </si>
  <si>
    <t xml:space="preserve">traces_default_outstanding_amount, tds_deducted_total_fy, tds_deposited_total_fy, default_ageing_days, tds_return_24q_filed_flag, tds_return_26q_filed_flag, short_deduction_amount</t>
  </si>
  <si>
    <t xml:space="preserve">Many TRACES defaults are technical and self-correcting — short deduction because a PAN was invalid or inoperative, or a challan mismatch that clears once the correction statement is filed — so filter for genuine short payment rather than short deduction, and require ageing beyond 180 days. Companies in financial distress delay TDS remittance without being shells; the shell-relevant version is an entity that deducts TDS on large contractor payments, never deposits it, and also never files 24Q or 26Q, meaning the payees can never claim credit and may not exist. Cross-check whether the payees appearing in 26Q are related parties or non-filers. Interest under s.201(1A) accruing for years without any recovery action suggests the entity is untraceable.</t>
  </si>
  <si>
    <t xml:space="preserve">TDS Returns (24Q / 26Q), Form 26AS, Income Tax Return (ITR-5 / ITR-6)</t>
  </si>
  <si>
    <t xml:space="preserve">AIS / TIS, Tax Audit Report (Form 3CD), Bank Statement</t>
  </si>
  <si>
    <t xml:space="preserve">A cash-strapped but genuine business delayed TDS remittance and the default is a timing issue with interest paid later.</t>
  </si>
  <si>
    <t xml:space="preserve">CMP-038, CMP-049, payee set consisting of non-filing entities</t>
  </si>
  <si>
    <t xml:space="preserve">Income Tax Act 1961 s.201, s.276B</t>
  </si>
  <si>
    <t xml:space="preserve">CMP-041</t>
  </si>
  <si>
    <t xml:space="preserve">Cross-Return Consistency</t>
  </si>
  <si>
    <t xml:space="preserve">Turnover inconsistent across GSTR-1, Form 26AS and the income tax return</t>
  </si>
  <si>
    <t xml:space="preserve">The same year's sales should broadly reconcile between the GST return, the TDS credits in Form 26AS and the turnover declared to income tax. A wide unexplained divergence between the three usually means one set of numbers was created to satisfy a lender or a regulator.</t>
  </si>
  <si>
    <t xml:space="preserve">abs(gst_turnover_fy - itr_turnover_fy) / max(gst_turnover_fy, itr_turnover_fy) &gt; turnover_divergence_threshold AND max(gst_turnover_fy, itr_turnover_fy) &gt; turnover_reconciliation_floor AND gstr9c_reconciliation_filed_flag = FALSE</t>
  </si>
  <si>
    <t xml:space="preserve">Divergence above 25% of the larger figure; turnover floor INR 2 crore</t>
  </si>
  <si>
    <t xml:space="preserve">gst_turnover_fy, itr_turnover_fy, form26as_gross_receipts_fy, aoc4_revenue_from_operations, gstr9c_reconciliation_filed_flag, export_turnover_fy, exempt_supply_value_fy</t>
  </si>
  <si>
    <t xml:space="preserve">Structural differences are normal and must be modelled out before scoring: GST turnover includes exempt and non-GST supplies and stock transfers between own GSTINs, income tax turnover excludes GST and includes other income differently, and 26AS only captures receipts where TDS applied. Exporters, SEZ units and entities with large exempt supply will always diverge. Companies filing GSTR-9C have already reconciled and explained the gap, so use the reconciliation statement instead of raising a flag. The strongest form is a three-way divergence where the MCA AOC-4 revenue is a fourth different number, which means separate financial narratives are being told to MCA, GST and income tax simultaneously.</t>
  </si>
  <si>
    <t xml:space="preserve">GSTR-9 / 9C Annual Return, Income Tax Return (ITR-5 / ITR-6), Form 26AS</t>
  </si>
  <si>
    <t xml:space="preserve">AOC-4 / AOC-4 XBRL Financial Statements, GSTR-1, Tax Audit Report (Form 3CD)</t>
  </si>
  <si>
    <t xml:space="preserve">Exempt supplies, stock transfers or export turnover create a structural gap between GST and income tax turnover.</t>
  </si>
  <si>
    <t xml:space="preserve">CMP-039, CMP-042, AOC-4 revenue differing from both</t>
  </si>
  <si>
    <t xml:space="preserve">CGST Act 2017 s.44; Income Tax Act 1961 s.44AB</t>
  </si>
  <si>
    <t xml:space="preserve">CMP-042</t>
  </si>
  <si>
    <t xml:space="preserve">Tax audit report Form 3CD not filed despite crossing the s.44AB turnover limit</t>
  </si>
  <si>
    <t xml:space="preserve">Businesses above the s.44AB turnover limit must have their accounts audited and file Form 3CD before the return. Missing 3CD while GST or bank data show turnover above the limit means no independent professional has examined the books.</t>
  </si>
  <si>
    <t xml:space="preserve">gst_turnover_fy &gt; tax_audit_threshold AND form3cd_filed_flag = FALSE AND itr_filed_flag = TRUE AND presumptive_taxation_flag = FALSE</t>
  </si>
  <si>
    <t xml:space="preserve">INR 1 crore turnover, or INR 10 crore where cash receipts and cash payments are each below 5%; INR 50 lakh for professionals</t>
  </si>
  <si>
    <t xml:space="preserve">Current AY plus prior AY</t>
  </si>
  <si>
    <t xml:space="preserve">gst_turnover_fy, form3cd_filed_flag, itr_filed_flag, presumptive_taxation_flag, cash_receipt_ratio, cash_payment_ratio, entity_type</t>
  </si>
  <si>
    <t xml:space="preserve">The threshold is not a single number — the INR 10 crore limit applies only where both cash receipts and cash payments are 5% or less of total, so the cash ratios must be computed before applying it, and an entity opting for presumptive taxation under s.44AD or s.44ADA is outside s.44AB up to the prescribed limits. Companies are always audited under the Companies Act, so a company with a statutory audit but no 3CD is a filing default rather than an absence of audit. The shell-relevant version is a proprietorship or partnership with crores of GST turnover, no tax audit and no books, which is the standard bill-trading firm profile. Where turnover is fabricated to obtain credit, the absence of 3CD removes the one document that would list stock, loans and related-party payments.</t>
  </si>
  <si>
    <t xml:space="preserve">Tax Audit Report (Form 3CD), Income Tax Return (ITR-5 / ITR-6), GSTR-9 / 9C Annual Return</t>
  </si>
  <si>
    <t xml:space="preserve">Form 26AS, AOC-4 / AOC-4 XBRL Financial Statements</t>
  </si>
  <si>
    <t xml:space="preserve">Pvt Ltd, Public Ltd, LLP, Partnership, Proprietorship</t>
  </si>
  <si>
    <t xml:space="preserve">The business opted for presumptive taxation or fell under the INR 10 crore limit because it is almost entirely non-cash.</t>
  </si>
  <si>
    <t xml:space="preserve">CMP-041, CMP-036, no statutory audit or auditor on record</t>
  </si>
  <si>
    <t xml:space="preserve">Income Tax Act 1961 s.44AB, s.271B</t>
  </si>
  <si>
    <t xml:space="preserve">CMP-043</t>
  </si>
  <si>
    <t xml:space="preserve">Refund Integrity</t>
  </si>
  <si>
    <t xml:space="preserve">Income tax or GST refund claimed out of proportion to activity and tax paid</t>
  </si>
  <si>
    <t xml:space="preserve">Refunds should be small relative to tax actually paid. A refund claim that dwarfs the cash tax paid, or a GST refund on inverted duty or exports with no matching shipping bills, is the payout stage of a fabricated-transaction scheme.</t>
  </si>
  <si>
    <t xml:space="preserve">(refund_claimed_total_fy / tax_paid_cash_total_fy) &gt; refund_ratio_threshold AND refund_claimed_total_fy &gt; refund_amount_floor AND (shipping_bill_value_fy = 0 OR refund_category = 'ITC accumulation')</t>
  </si>
  <si>
    <t xml:space="preserve">Refund above 100% of cash tax paid; refund floor INR 25 lakh</t>
  </si>
  <si>
    <t xml:space="preserve">refund_claimed_total_fy, tax_paid_cash_total_fy, refund_category, shipping_bill_value_fy, itc_accumulated_balance, refund_sanction_status, exporter_status</t>
  </si>
  <si>
    <t xml:space="preserve">Genuine exporters and SEZ suppliers under LUT structurally accumulate credit and claim large refunds every month — that is the design of zero-rated supply, so suppress where shipping bills, e-BRC realisation and DGFT IEC activity corroborate the exports. Inverted duty structure refunds are legitimate in textiles, fertiliser, footwear and some pharma inputs. The adverse shapes are an export refund with no shipping bill or no foreign inward remittance certificate, an income tax refund driven by TDS credits on receipts never offered as income, and refunds claimed immediately before the registration is surrendered. Sanctioned versus merely claimed matters: repeated claims rejected by the department and re-filed under a related entity is a strong laundering signal.</t>
  </si>
  <si>
    <t xml:space="preserve">Shipping Bill, DGFT IEC Data, Customs / ICEGATE Data, GSTR-2A / 2B</t>
  </si>
  <si>
    <t xml:space="preserve">A genuine exporter operating under LUT accumulates input credit and lawfully claims a refund every period.</t>
  </si>
  <si>
    <t xml:space="preserve">CMP-033, CMP-050, exports with no matching bank realisation</t>
  </si>
  <si>
    <t xml:space="preserve">CGST Act 2017 s.54; Income Tax Act 1961 s.237</t>
  </si>
  <si>
    <t xml:space="preserve">CMP-044</t>
  </si>
  <si>
    <t xml:space="preserve">Labour Registration</t>
  </si>
  <si>
    <t xml:space="preserve">No EPFO or ESIC registration despite claimed workforce above the statutory limit</t>
  </si>
  <si>
    <t xml:space="preserve">An establishment with 20 or more employees must register under the EPF Act and one with 10 or more under the ESI Act. Salary costs or headcount claims that cross those limits with no registration mean the payroll is fictitious or paid outside the books.</t>
  </si>
  <si>
    <t xml:space="preserve">(employee_benefit_expense_fy / average_wage_assumption) &gt; epfo_threshold_employees AND epfo_registration_flag = FALSE AND esic_registration_flag = FALSE AND revenue_from_operations &gt; payroll_reality_floor</t>
  </si>
  <si>
    <t xml:space="preserve">EPFO at 20 employees, ESIC at 10 employees; implied headcount from payroll cost using a state minimum-wage assumption</t>
  </si>
  <si>
    <t xml:space="preserve">employee_benefit_expense_fy, average_wage_assumption, epfo_registration_flag, esic_registration_flag, claimed_headcount, revenue_from_operations, director_remuneration_fy</t>
  </si>
  <si>
    <t xml:space="preserve">Strip director remuneration, gratuity provisions and share-based payments out of employee benefit expense before deriving headcount, or a two-director company paying itself well will look like a 20-person firm. ESIC applies only where wages are within the INR 21,000 monthly ceiling, so a small high-salary consulting or software firm can lawfully have no ESIC at all, and ESIC coverage is area-notified so some districts are outside it. Companies whose entire workforce is on a manpower contractor's rolls have no direct registration and are legitimate — check for contract-labour cost in other expenses. The reverse test is more powerful: an entity claiming a large workforce in a loan application, a tender bid or a Udyam registration while having no EPFO code at all.</t>
  </si>
  <si>
    <t xml:space="preserve">EPFO ECR Filing, ESIC Contribution Record, AOC-4 / AOC-4 XBRL Financial Statements</t>
  </si>
  <si>
    <t xml:space="preserve">Payroll Register, Professional Tax Record, Udyam / MSME Registration</t>
  </si>
  <si>
    <t xml:space="preserve">The entire workforce is supplied by a labour contractor who holds the EPFO and ESIC codes.</t>
  </si>
  <si>
    <t xml:space="preserve">CMP-045, CMP-021, no LinkedIn or directory presence for employees</t>
  </si>
  <si>
    <t xml:space="preserve">EPF Act 1952 s.1(3), ESI Act 1948 s.1(5)</t>
  </si>
  <si>
    <t xml:space="preserve">CMP-045</t>
  </si>
  <si>
    <t xml:space="preserve">EPFO electronic challan filed with zero or token member count while turnover is large</t>
  </si>
  <si>
    <t xml:space="preserve">The monthly electronic challan-cum-return lists every contributing member. An establishment that files ECR with zero members, or with one or two members against crores of turnover, has a registration kept alive for documentation purposes only.</t>
  </si>
  <si>
    <t xml:space="preserve">epfo_registration_flag = TRUE AND (ecr_member_count_avg_12m &lt;= ecr_member_floor OR ecr_zero_member_months &gt;= 6) AND revenue_from_operations &gt; ecr_turnover_floor</t>
  </si>
  <si>
    <t xml:space="preserve">Average ECR member count 2 or fewer, or 6 or more zero-member months in 12; turnover floor INR 5 crore</t>
  </si>
  <si>
    <t xml:space="preserve">epfo_registration_flag, ecr_member_count_avg_12m, ecr_zero_member_months, ecr_wage_total_12m, revenue_from_operations, establishment_status_epfo</t>
  </si>
  <si>
    <t xml:space="preserve">Trading, commodity broking, investment holding and asset-light licensing businesses genuinely run on very few employees against large turnover, so the turnover leg alone proves nothing — the useful comparison is against a peer group on the same NIC code. Establishments that closed operations file zero-member ECR legitimately while winding up, and seasonal units such as sugar mills and cold storage have long zero months. Members who all earn above the INR 15,000 wage ceiling can be excluded voluntarily, which reduces the count without fraud. The compelling pattern is a company that reports significant employee benefit expense in AOC-4 but almost no EPFO wage base, meaning the reported payroll cost has no contributing employees behind it.</t>
  </si>
  <si>
    <t xml:space="preserve">EPFO ECR Filing, AOC-4 / AOC-4 XBRL Financial Statements, ESIC Contribution Record</t>
  </si>
  <si>
    <t xml:space="preserve">Payroll Register, Professional Tax Record, Social Media / Employee Listing (LinkedIn)</t>
  </si>
  <si>
    <t xml:space="preserve">An asset-light trading company genuinely operates with two employees and outsources everything else.</t>
  </si>
  <si>
    <t xml:space="preserve">CMP-044, employee benefit expense to turnover ratio near zero, CMP-021</t>
  </si>
  <si>
    <t xml:space="preserve">EPF Scheme 1952 para 36; FIU-IND red flag</t>
  </si>
  <si>
    <t xml:space="preserve">CMP-046</t>
  </si>
  <si>
    <t xml:space="preserve">Operating Licences</t>
  </si>
  <si>
    <t xml:space="preserve">Shops and Establishment or trade licence absent or expired, or Udyam size band inconsistent with filings</t>
  </si>
  <si>
    <t xml:space="preserve">Every commercial premises needs a state Shops and Establishment registration or municipal trade licence, and Udyam registration records a declared micro, small or medium size band. No valid local licence, or a Udyam band that contradicts the filed turnover and investment, indicates a premises and a size profile that exist only on paper.</t>
  </si>
  <si>
    <t xml:space="preserve">(shops_establishment_licence_status IN ('Absent','Expired') OR trade_licence_status IN ('Absent','Expired')) OR (udyam_declared_band != derived_band_from_turnover_and_investment)</t>
  </si>
  <si>
    <t xml:space="preserve">Udyam bands: micro plant and machinery up to INR 1 crore and turnover up to INR 5 crore; small up to INR 10 crore and INR 50 crore; medium up to INR 50 crore and INR 250 crore</t>
  </si>
  <si>
    <t xml:space="preserve">Point in time plus current FY financials</t>
  </si>
  <si>
    <t xml:space="preserve">shops_establishment_licence_status, trade_licence_status, udyam_declared_band, udyam_declared_turnover, turnover_fy, gross_block_plant_machinery, udyam_registration_date</t>
  </si>
  <si>
    <t xml:space="preserve">Shops and Establishment law is state specific and several states have exempted small establishments or moved to self-certification, so absence is only meaningful in states where registration is actually enforced — maintain a state applicability table. Factories are licensed under the Factories Act rather than Shops and Establishment, and purely digital or work-from-home businesses may have no separate premises licence. Udyam data is self-declared but is now auto-populated from GST and income tax, so a large mismatch between the declared band and filed turnover is either a stale registration or a deliberate misdeclaration to win MSME-reserved tenders or claim MSME payment protection. Tighten when the entity has bid on MSME-reserved procurement while filing turnover above the declared band.</t>
  </si>
  <si>
    <t xml:space="preserve">Shops &amp; Establishment Licence, Udyam / MSME Registration, AOC-4 / AOC-4 XBRL Financial Statements</t>
  </si>
  <si>
    <t xml:space="preserve">Property Tax Record, Site Visit Report, Tender / Procurement Portal</t>
  </si>
  <si>
    <t xml:space="preserve">The state exempts small establishments from Shops and Establishment registration, or the Udyam record is simply outdated.</t>
  </si>
  <si>
    <t xml:space="preserve">CMP-014, CMP-044, tender win in an MSME-reserved category</t>
  </si>
  <si>
    <t xml:space="preserve">MSMED Act 2006, Udyam Notification 26 June 2020</t>
  </si>
  <si>
    <t xml:space="preserve">CMP-047</t>
  </si>
  <si>
    <t xml:space="preserve">Enforcement Standing</t>
  </si>
  <si>
    <t xml:space="preserve">Adjudication or prosecution order under the Companies Act against the company or its officers</t>
  </si>
  <si>
    <t xml:space="preserve">The ROC or Regional Director can impose penalties under s.454 and can prosecute officers in default. A live adjudication order, a compounding application under s.441 or a pending prosecution shows the regulator has already found a proven breach.</t>
  </si>
  <si>
    <t xml:space="preserve">companies_act_adjudication_order_count_36m &gt;= 1 OR compounding_application_count_36m &gt;= 1 OR roc_prosecution_case_count_open &gt; 0</t>
  </si>
  <si>
    <t xml:space="preserve">1 or more orders in 36 months; escalate when the penalty relates to s.447 fraud, s.90 SBO or s.12 registered office</t>
  </si>
  <si>
    <t xml:space="preserve">36 months, with full history retained</t>
  </si>
  <si>
    <t xml:space="preserve">companies_act_adjudication_order_count_36m, adjudication_penalty_amount_total, adjudicated_section_list, compounding_application_count_36m, roc_prosecution_case_count_open, penalty_paid_flag</t>
  </si>
  <si>
    <t xml:space="preserve">Read the adjudicated section, not just the count — the great majority of s.454 orders are for minor procedural lapses such as a late DIR-12, an incorrect Board Report disclosure or a missing MSME-1, and those are noise. Orders under s.12 for a non-existent registered office, under s.90 for undisclosed beneficial ownership, under s.42 for improper private placement, or any proceeding under s.447 for fraud are qualitatively different and should carry most of the weight. Penalties left unpaid, or repeat orders on the same section across years, indicate the company does not respond to the regulator at all. Compounding under s.441 is a voluntary regularisation and is mildly positive behaviourally, though it still evidences the underlying breach.</t>
  </si>
  <si>
    <t xml:space="preserve">NCLT / NCLAT Orders, MCA Company Master Data, Litigation Database</t>
  </si>
  <si>
    <t xml:space="preserve">Board Report, Adverse Media / News Archive</t>
  </si>
  <si>
    <t xml:space="preserve">A single small penalty for a late procedural filing that the company promptly paid.</t>
  </si>
  <si>
    <t xml:space="preserve">CMP-018, CMP-026, repeat orders on the same section</t>
  </si>
  <si>
    <t xml:space="preserve">Companies Act 2013 s.441, s.447, s.454</t>
  </si>
  <si>
    <t xml:space="preserve">CMP-048</t>
  </si>
  <si>
    <t xml:space="preserve">SFIO, ED, DRI, CBI or SEBI action against the entity, its directors or its group</t>
  </si>
  <si>
    <t xml:space="preserve">An investigation ordered under s.212 by the Serious Fraud Investigation Office, a PMLA attachment by the Enforcement Directorate, a DRI customs case or a SEBI order is a formal finding of suspected serious economic offence. This is the highest-grade external corroboration available.</t>
  </si>
  <si>
    <t xml:space="preserve">sfio_investigation_flag = TRUE OR ed_pmla_action_flag = TRUE OR dri_customs_case_flag = TRUE OR sebi_order_flag = TRUE OR cbi_fir_flag = TRUE OR director_din_linked_enforcement_count &gt; 0</t>
  </si>
  <si>
    <t xml:space="preserve">N/A — categorical; any confirmed action against the entity, a director or a group company</t>
  </si>
  <si>
    <t xml:space="preserve">Point in time with full history</t>
  </si>
  <si>
    <t xml:space="preserve">sfio_investigation_flag, ed_pmla_action_flag, dri_customs_case_flag, sebi_order_flag, cbi_fir_flag, director_din_linked_enforcement_count, enforcement_action_date, attachment_order_value</t>
  </si>
  <si>
    <t xml:space="preserve">Verify from primary sources — an order, an FIR number, a press release or a court listing — because media reporting of raids and summons is frequently wrong or names the wrong entity. Distinguish a company that is the target from one that is a witness, a complainant or merely a customer of a targeted entity; summons under s.50 PMLA to give evidence is not an adverse finding. Time matters: a closed matter with an acquittal or a settlement order under the SEBI consent mechanism should be de-weighted but never erased. Extend through the graph to directors and to group companies under common control, because enforcement typically names one entity in a network first. Provisional attachment under s.5 PMLA confirmed by the Adjudicating Authority is the strongest single variant.</t>
  </si>
  <si>
    <t xml:space="preserve">Litigation Database, Adverse Media / News Archive, NCLT / NCLAT Orders</t>
  </si>
  <si>
    <t xml:space="preserve">Sanctions &amp; PEP List, Customs / ICEGATE Data, Derived — cross-entity graph</t>
  </si>
  <si>
    <t xml:space="preserve">The entity was named only as a witness or a downstream customer in a case targeting someone else.</t>
  </si>
  <si>
    <t xml:space="preserve">CMP-004, CMP-049, CMP-050</t>
  </si>
  <si>
    <t xml:space="preserve">Companies Act 2013 s.212; PMLA 2002 s.5; FIU-IND red flag</t>
  </si>
  <si>
    <t xml:space="preserve">CMP-049</t>
  </si>
  <si>
    <t xml:space="preserve">Insolvency petition admitted under IBC or entity listed as a wilful defaulter</t>
  </si>
  <si>
    <t xml:space="preserve">Admission of a s.7 or s.9 petition puts the company into the corporate insolvency resolution process, and a wilful defaulter listing means a bank has formally found that it had the means to repay and did not, or diverted the funds. Both are recorded findings of financial misconduct or failure.</t>
  </si>
  <si>
    <t xml:space="preserve">ibc_cirp_admission_flag = TRUE OR wilful_defaulter_flag = TRUE OR promoter_wilful_defaulter_link_count &gt; 0 OR (loan_account_classification = 'Fraud' AND rbi_fraud_reporting_flag = TRUE)</t>
  </si>
  <si>
    <t xml:space="preserve">N/A — categorical; wilful defaulter reporting applies to outstanding above INR 25 lakh</t>
  </si>
  <si>
    <t xml:space="preserve">Point in time; wilful defaulter and fraud entries persist for years</t>
  </si>
  <si>
    <t xml:space="preserve">ibc_cirp_admission_flag, cirp_admission_date, wilful_defaulter_flag, promoter_wilful_defaulter_link_count, loan_account_classification, rbi_fraud_reporting_flag, irp_appointment_flag</t>
  </si>
  <si>
    <t xml:space="preserve">Business failure is not fraud — a company admitted to CIRP because of a genuine market collapse should be scored much lower than one where the resolution professional has filed avoidance applications under s.43, s.45 or s.66 for preferential, undervalued or fraudulent trading transactions, so read the RP's avoidance filings where available. Section 10 voluntary admissions and pre-packaged insolvency for MSMEs are less adverse than creditor-initiated s.7 admissions. Wilful defaulter listings are frequently challenged and sometimes set aside, so check the current status and whether the entity is in the suit-filed rather than the wilful category. Extend to promoters and their other companies through the graph, since the RBI classification attaches to the promoter as well as the borrower.</t>
  </si>
  <si>
    <t xml:space="preserve">NCLT / NCLAT Orders, Credit Bureau Report (CIBIL / CRIF), Litigation Database</t>
  </si>
  <si>
    <t xml:space="preserve">Adverse Media / News Archive, Loan Sanction / Facility Letter, Derived — cross-entity graph</t>
  </si>
  <si>
    <t xml:space="preserve">An operationally sound company was dragged into CIRP by a single disputed operational creditor and the petition was later withdrawn.</t>
  </si>
  <si>
    <t xml:space="preserve">CMP-048, CMP-005, avoidance applications filed by the resolution professional</t>
  </si>
  <si>
    <t xml:space="preserve">IBC 2016 s.7, s.9, s.66; RBI Master Circular on Wilful Defaulters</t>
  </si>
  <si>
    <t xml:space="preserve">CMP-050</t>
  </si>
  <si>
    <t xml:space="preserve">GST credit blocked under Rule 86A, s.74 show-cause issued, or IEC cancelled by DGFT</t>
  </si>
  <si>
    <t xml:space="preserve">Rule 86A lets an officer block input tax credit where it appears to have come from a non-existent supplier or a fake invoice, and a s.74 notice alleges fraud or suppression. A cancelled or denied-entity-list import-export code means DGFT has withdrawn the entity's right to trade across the border.</t>
  </si>
  <si>
    <t xml:space="preserve">rule_86a_itc_blocked_flag = TRUE OR gst_scn_section_74_count &gt; 0 OR iec_status IN ('Cancelled','Suspended','DEL Listed') OR gst_provisional_attachment_flag = TRUE</t>
  </si>
  <si>
    <t xml:space="preserve">N/A — categorical; escalate when blocked credit exceeds INR 50 lakh or the s.74 demand exceeds INR 5 crore</t>
  </si>
  <si>
    <t xml:space="preserve">Rolling 36 months</t>
  </si>
  <si>
    <t xml:space="preserve">rule_86a_itc_blocked_flag, rule_86a_blocked_amount, gst_scn_section_74_count, gst_demand_amount_total, iec_status, gst_provisional_attachment_flag, drc01_issue_date</t>
  </si>
  <si>
    <t xml:space="preserve">Rule 86A blocks are often applied upstream because a supplier three links away was found non-existent, so an honest buyer can be blocked without any wrongdoing — check whether the block is on the entity's own outward supply or is inherited from a supplier, and whether it was released within the one-year automatic expiry. A s.74 notice is an allegation, not a finding; a s.73 notice for a bona fide short payment is materially milder and should not be scored here. IEC cancellation can follow simple non-updation, since annual IEC updation became mandatory in 2021 and thousands of dormant codes were deactivated for that reason alone, so separate deactivation-for-non-updation from placement on the Denied Entity List, which is a real trade sanction. Provisional attachment of bank accounts under s.83 is the most serious variant.</t>
  </si>
  <si>
    <t xml:space="preserve">GST Cancellation / Suspension Order, GSTR-2A / 2B, DGFT IEC Data</t>
  </si>
  <si>
    <t xml:space="preserve">Litigation Database, Customs / ICEGATE Data, Adverse Media / News Archive</t>
  </si>
  <si>
    <t xml:space="preserve">Credit was blocked because a distant upstream supplier was found non-existent, and the block lapsed after a year.</t>
  </si>
  <si>
    <t xml:space="preserve">CMP-031, CMP-033, CMP-048</t>
  </si>
  <si>
    <t xml:space="preserve">CGST Rules 2017 Rule 86A; CGST Act 2017 s.74, s.83; FTP 2023</t>
  </si>
  <si>
    <t xml:space="preserve">OWN-001</t>
  </si>
  <si>
    <t xml:space="preserve">Ownership, Structure &amp; Governance</t>
  </si>
  <si>
    <t xml:space="preserve">Director load</t>
  </si>
  <si>
    <t xml:space="preserve">Director holds an abnormally high number of live directorships</t>
  </si>
  <si>
    <t xml:space="preserve">One or more directors sit on the boards of many companies at once, close to or beyond the legal cap of 20 (DIN, the Director Identification Number, lets us count this exactly). Professional nominees who lend their name to shells collect directorships the way a real executive never can.</t>
  </si>
  <si>
    <t xml:space="preserve">max_active_directorship_count &gt;= 15 OR (directors_with_10plus_directorships / board_size &gt;= 0.5 AND board_size &gt;= 2) AND independent_director_count == 0</t>
  </si>
  <si>
    <t xml:space="preserve">Any director with &gt;= 15 live directorships (statutory cap 20 total, 10 public co); or &gt;= 50% of the board holding &gt;= 10 each</t>
  </si>
  <si>
    <t xml:space="preserve">director_din, max_active_directorship_count, directors_with_10plus_directorships, board_size, independent_director_count, director_remuneration</t>
  </si>
  <si>
    <t xml:space="preserve">Professional independent directors, PE and VC nominee partners, and promoters of genuinely large groups legitimately cross 10 boards, so suppress or raise to 18 when the director is flagged independent_director, draws board fees from listed companies, or the directorships sit inside one disclosed group with a common promoter. Tighten to 8 when the same director draws zero remuneration everywhere, holds no shares in any of them, and the companies share a registered office or auditor. For LLPs read designated partner count instead. Count only ACTIVE directorships from DIN master data, not lifetime, or every retired executive fires.</t>
  </si>
  <si>
    <t xml:space="preserve">DIN Master Data, MCA Company Master Data, DIR-12 Director Change</t>
  </si>
  <si>
    <t xml:space="preserve">MGT-7 / MGT-7A Annual Return, DIR-3 KYC</t>
  </si>
  <si>
    <t xml:space="preserve">A career independent director or a family patriarch legitimately sits on many boards inside one disclosed group.</t>
  </si>
  <si>
    <t xml:space="preserve">OWN-009 (director holds no shares and no role), OWN-013 (same DINs rotating across a cluster), CMP-004 (annual filings overdue)</t>
  </si>
  <si>
    <t xml:space="preserve">Companies Act 2013 s.165; FIU-IND shell company red flags</t>
  </si>
  <si>
    <t xml:space="preserve">OWN-002</t>
  </si>
  <si>
    <t xml:space="preserve">Board composition</t>
  </si>
  <si>
    <t xml:space="preserve">Board frozen at the bare statutory minimum with no change since incorporation</t>
  </si>
  <si>
    <t xml:space="preserve">The company has run for years on exactly the minimum number of directors the law demands (2 for a private company, 3 for a public one) and has never filed a single DIR-12 to add or change anyone. A business that actually grew would have inducted someone.</t>
  </si>
  <si>
    <t xml:space="preserve">board_size == statutory_minimum_directors AND dir12_event_count_since_incorporation == 0 AND entity_age_years &gt;= 5 AND revenue_from_operations &gt; 100000000</t>
  </si>
  <si>
    <t xml:space="preserve">Board = statutory minimum; zero DIR-12 events; entity age &gt;= 5 FY; turnover floor INR 10 crore</t>
  </si>
  <si>
    <t xml:space="preserve">board_size, statutory_minimum_directors, dir12_event_count_since_incorporation, entity_age_years, revenue_from_operations, entity_type</t>
  </si>
  <si>
    <t xml:space="preserve">A stable two-director husband-and-wife company or a closely held family firm can genuinely run for a decade without a board change, so this is weak alone and must never fire on its own. Suppress entirely for OPC (one director is the design) and for entities below INR 10 crore turnover. Tighten and raise severity when turnover is large but the board is minimal AND there is no KMP appointment (MR-1 / DIR-12 for CEO, CFO, CS) where s.203 mandates one, since a genuine INR 50 crore company must appoint whole-time KMP. Also tighten when the two directors are the same two people who sit on several other minimal-board companies.</t>
  </si>
  <si>
    <t xml:space="preserve">MCA Company Master Data, DIR-12 Director Change, AOC-4 / AOC-4 XBRL Financial Statements</t>
  </si>
  <si>
    <t xml:space="preserve">MGT-7 / MGT-7A Annual Return</t>
  </si>
  <si>
    <t xml:space="preserve">A stable owner-managed family company simply never needed to change its two directors.</t>
  </si>
  <si>
    <t xml:space="preserve">OWN-003 (family-only board), OWN-038 (board met only the bare minimum), FIN-007 (negligible payroll)</t>
  </si>
  <si>
    <t xml:space="preserve">Companies Act 2013 s.149, s.203</t>
  </si>
  <si>
    <t xml:space="preserve">OWN-003</t>
  </si>
  <si>
    <t xml:space="preserve">Board independence</t>
  </si>
  <si>
    <t xml:space="preserve">Entire board shares one surname or one residential address</t>
  </si>
  <si>
    <t xml:space="preserve">Every director carries the same family name or is registered at the same home address in DIR-3 KYC. A board that is one household has no one who can challenge a transaction, and address-sharing is the cheapest way to staff a paper company.</t>
  </si>
  <si>
    <t xml:space="preserve">(max_surname_share_of_board &gt;= 0.99 OR directors_sharing_residential_address / board_size &gt;= 0.67) AND board_size &gt;= 2 AND independent_director_count == 0 AND related_party_transaction_value &gt; 0.25 * revenue_from_operations</t>
  </si>
  <si>
    <t xml:space="preserve">100% surname match or &gt;= 67% address match; zero independent directors; RPT &gt; 25% of turnover</t>
  </si>
  <si>
    <t xml:space="preserve">max_surname_share_of_board, directors_sharing_residential_address, board_size, independent_director_count, related_party_transaction_value, revenue_from_operations</t>
  </si>
  <si>
    <t xml:space="preserve">Family-owned business is the dominant honest form in India, so surname alone is close to useless and MUST be paired with the related-party leg or with a second structural flag. Suppress where surnames are common regional names with no shared address and no shared PAN-linked relationships. Surname matching also breaks for single-name directors and for South Indian initial-first naming, so prefer the address and DIR-3 KYC father-name join over the surname string. Tighten when the family board sits over a company that bids for government tenders, holds a regulated licence, or is a public company where s.149(4) independence is expected.</t>
  </si>
  <si>
    <t xml:space="preserve">DIR-3 KYC, DIR-12 Director Change, MGT-7 / MGT-7A Annual Return, AOC-2 Related Party Annexure</t>
  </si>
  <si>
    <t xml:space="preserve">DIN Master Data, Board Report</t>
  </si>
  <si>
    <t xml:space="preserve">An ordinary family-run private company where the promoters are husband, wife and son.</t>
  </si>
  <si>
    <t xml:space="preserve">OWN-008 (director resident at the registered office), OWN-041 (AOC-2 nil despite related-party flows), OWN-011 (shareholder cannot afford the shareholding)</t>
  </si>
  <si>
    <t xml:space="preserve">Companies Act 2013 s.149(4), s.188</t>
  </si>
  <si>
    <t xml:space="preserve">OWN-004</t>
  </si>
  <si>
    <t xml:space="preserve">Board churn</t>
  </si>
  <si>
    <t xml:space="preserve">Director turnover far above peer norm (DIR-12 and DIR-11 velocity)</t>
  </si>
  <si>
    <t xml:space="preserve">Directors are being appointed and removed at a rate no working board sustains. Rapid churn is how a controller keeps the visible officers disposable while the real owner stays off the record.</t>
  </si>
  <si>
    <t xml:space="preserve">(dir12_appointment_count_3fy + dir11_resignation_count_3fy) / average_board_size &gt;= 2.0 AND entity_age_years &gt;= 3 AND independent_director_count == 0</t>
  </si>
  <si>
    <t xml:space="preserve">&gt;= 2 director changes per board seat over 3 FY; entity age &gt;= 3 FY</t>
  </si>
  <si>
    <t xml:space="preserve">dir12_appointment_count_3fy, dir11_resignation_count_3fy, average_board_size, entity_age_years, independent_director_count, director_median_tenure_days</t>
  </si>
  <si>
    <t xml:space="preserve">Genuine churn happens after a PE or strategic investment (investor nominees rotate), after a merger or demerger scheme, on death or retirement of a promoter, and in professionally managed companies where independent directors rotate on a 5-year term under s.149(10). Suppress when the appointments are of independent or nominee directors and the entity has a live NCLT scheme, a fresh Loan Sanction with lender nominee rights, or a disclosed change of control. Tighten when churn is concentrated in a 90-day window, when the incoming directors are already flagged by OWN-001, or when the churn immediately precedes a large allotment or charge creation. Normalise by peer group: startups and listed subsidiaries churn more than a mature unlisted manufacturer.</t>
  </si>
  <si>
    <t xml:space="preserve">DIR-12 Director Change, DIR-11 Director Resignation, MCA Company Master Data</t>
  </si>
  <si>
    <t xml:space="preserve">A private-equity round or a group restructuring legitimately replaced most of the board within a year.</t>
  </si>
  <si>
    <t xml:space="preserve">OWN-006 (mass resignation in a short window), OWN-005 (appointment and resignation inside 90 days), CMP-011 (auditor resigned via ADT-3)</t>
  </si>
  <si>
    <t xml:space="preserve">Companies Act 2013 s.168, s.170; FIU-IND red flag on frequent management change</t>
  </si>
  <si>
    <t xml:space="preserve">OWN-005</t>
  </si>
  <si>
    <t xml:space="preserve">Directors appointed and resigned within 90 days</t>
  </si>
  <si>
    <t xml:space="preserve">One or more directors joined and left again inside three months. Very short tenures usually mean a stand-in was parked on the board to sign one set of papers, or a nominee refused to stay once he saw what was being signed.</t>
  </si>
  <si>
    <t xml:space="preserve">short_tenure_director_count &gt;= 1 AND min_director_tenure_days &lt; 90 AND (allotment_or_charge_event_within_tenure_flag == true OR short_tenure_director_count &gt;= 2)</t>
  </si>
  <si>
    <t xml:space="preserve">Tenure &lt; 90 days; escalate when &gt;= 2 such directors or when a PAS-3 allotment or CHG-1 charge falls inside the tenure</t>
  </si>
  <si>
    <t xml:space="preserve">short_tenure_director_count, min_director_tenure_days, dir12_appointment_date, dir11_resignation_date, allotment_or_charge_event_within_tenure_flag, board_size</t>
  </si>
  <si>
    <t xml:space="preserve">Legitimate short tenures exist: a director appointed in a casual vacancy who is not regularised at the next AGM, an executive who resigns on a job change, a lender nominee withdrawn when the facility is repaid, and a director appointed only to meet the s.149(3) resident-director requirement while a foreign parent completes hiring. Suppress single instances with no transaction inside the window. Tighten to Critical-adjacent scoring when the departing director filed DIR-11 himself (self-reported resignation, often after refusing to sign) or when the resignation letter cites non-cooperation, and when the same person shows the same 60-90 day pattern across several companies.</t>
  </si>
  <si>
    <t xml:space="preserve">DIR-12 Director Change, DIR-11 Director Resignation, PAS-3 Return of Allotment</t>
  </si>
  <si>
    <t xml:space="preserve">CHG-1 / CHG-4 / CHG-9 Index of Charges, MGT-14 Resolutions</t>
  </si>
  <si>
    <t xml:space="preserve">Pvt Ltd, Public Ltd, OPC, LLP, Foreign Sub</t>
  </si>
  <si>
    <t xml:space="preserve">A director appointed to fill a casual vacancy stepped down when the permanent candidate joined.</t>
  </si>
  <si>
    <t xml:space="preserve">OWN-004 (high director churn), OWN-025 (preferential allotment with no funds trail), OWN-014 (formation-agent staff as first directors)</t>
  </si>
  <si>
    <t xml:space="preserve">Companies Act 2013 s.161, s.168</t>
  </si>
  <si>
    <t xml:space="preserve">OWN-006</t>
  </si>
  <si>
    <t xml:space="preserve">Mass board resignation inside a 30-day window</t>
  </si>
  <si>
    <t xml:space="preserve">Half or more of the board resigned within a month, often filing DIR-11 individually. Directors leave together when they learn the company is about to be investigated, defaulted or exposed, and it strips the entity of anyone answerable.</t>
  </si>
  <si>
    <t xml:space="preserve">resignations_in_30_day_window &gt;= 2 AND resignations_in_30_day_window / board_size &gt;= 0.5 AND (post_resignation_board_size &lt; statutory_minimum_directors OR dir11_self_filed_count &gt;= 1)</t>
  </si>
  <si>
    <t xml:space="preserve">&gt;= 50% of the board and &gt;= 2 directors resigning within 30 days; escalate when residual board falls below statutory minimum</t>
  </si>
  <si>
    <t xml:space="preserve">resignations_in_30_day_window, board_size, post_resignation_board_size, statutory_minimum_directors, dir11_self_filed_count, days_to_replacement_dir12</t>
  </si>
  <si>
    <t xml:space="preserve">Genuine mass exits follow a completed acquisition, a court-approved amalgamation, or an insolvency admission where the RP takes over management, so suppress when an NCLT order, a share purchase agreement or a scheme filing sits within 60 days. Tighten to maximum when no replacement DIR-12 follows within 30 days (the company is left without a lawful board), when the auditor also resigned via ADT-3 in the same quarter, or when the resignations follow a search, a GST cancellation notice or adverse media. DIR-11 filed by the director himself, rather than DIR-12 by the company, is the strongest variant since it means the departing officer wanted the exit on record independently.</t>
  </si>
  <si>
    <t xml:space="preserve">ADT-3 Auditor Resignation, NCLT / NCLAT Orders, Adverse Media / News Archive</t>
  </si>
  <si>
    <t xml:space="preserve">The outgoing promoter board resigned en bloc on completion of a genuine sale of the company.</t>
  </si>
  <si>
    <t xml:space="preserve">CMP-011 (auditor resignation ADT-3), OWN-050 (link to struck-off or defaulter entities), FIN-021 (sudden collapse in turnover)</t>
  </si>
  <si>
    <t xml:space="preserve">Companies Act 2013 s.168; SEBI vanishing companies criteria</t>
  </si>
  <si>
    <t xml:space="preserve">OWN-007</t>
  </si>
  <si>
    <t xml:space="preserve">Director profile</t>
  </si>
  <si>
    <t xml:space="preserve">Director age profile improbable for the claimed scale of business</t>
  </si>
  <si>
    <t xml:space="preserve">The people said to run a large business are barely of age or are very elderly, judged from date of birth in DIN records. Shells are commonly registered on students, dependants and pensioners who lend a name but cannot manage the operation described.</t>
  </si>
  <si>
    <t xml:space="preserve">(min_director_age &lt;= 22 OR max_director_age &gt;= 80) AND revenue_from_operations &gt; 250000000 AND independent_director_count == 0 AND director_shareholding_pct_of_young_or_old &gt;= 0.25</t>
  </si>
  <si>
    <t xml:space="preserve">Any director &lt;= 22 or &gt;= 80 years; turnover floor INR 25 crore; that director holding &gt;= 25% equity or being sole signatory</t>
  </si>
  <si>
    <t xml:space="preserve">min_director_age, max_director_age, director_age_years, revenue_from_operations, independent_director_count, director_shareholding_pct_of_young_or_old</t>
  </si>
  <si>
    <t xml:space="preserve">Age is not by itself suspicious: founder-led startups often have directors in their early twenties, and many honest promoter families keep an elderly patriarch as chairman long past 80 with professional management underneath. Suppress when the entity also has whole-time KMP appointed under s.203, when EPFO records show a real management payroll, or when the young director is a genuine founder with venture funding evidenced by PAS-3 and FC-GPR. Tighten sharply when the young or elderly person is the ONLY director, is the sole bank signatory, and holds the majority of the shares, and when the same date of birth pattern repeats across a cluster. Note s.196 needs special approval for a managing director below 21 or above 70.</t>
  </si>
  <si>
    <t xml:space="preserve">DIN Master Data, DIR-3 KYC, AOC-4 / AOC-4 XBRL Financial Statements</t>
  </si>
  <si>
    <t xml:space="preserve">MGT-7 / MGT-7A Annual Return, EPFO ECR Filing</t>
  </si>
  <si>
    <t xml:space="preserve">A young co-founder or a long-serving elderly chairman genuinely holds the board seat while professionals run the company.</t>
  </si>
  <si>
    <t xml:space="preserve">OWN-011 (shareholder cannot afford the shareholding), OWN-009 (no shares, no role, no pay), OWN-012 (outsider operates the bank account)</t>
  </si>
  <si>
    <t xml:space="preserve">Companies Act 2013 s.196(3); PMLA benami-holding typology</t>
  </si>
  <si>
    <t xml:space="preserve">OWN-008</t>
  </si>
  <si>
    <t xml:space="preserve">Address linkage</t>
  </si>
  <si>
    <t xml:space="preserve">Registered office is a director's home that also hosts several other companies</t>
  </si>
  <si>
    <t xml:space="preserve">The company's registered office in INC-22 is the same as a director's residential address in DIR-3 KYC, and that address is the registered office of several other entities as well. A house is a normal first office, but a house that is the head office of a dozen companies is an incorporation address.</t>
  </si>
  <si>
    <t xml:space="preserve">registered_office_address_normalised == director_residential_address_normalised AND entities_at_registered_office &gt;= 5 AND revenue_from_operations &gt; 50000000 AND employee_count_epfo &lt;= 5</t>
  </si>
  <si>
    <t xml:space="preserve">Address match; &gt;= 5 entities at the same normalised address; turnover floor INR 5 crore; EPFO headcount &lt;= 5</t>
  </si>
  <si>
    <t xml:space="preserve">registered_office_address_normalised, director_residential_address_normalised, entities_at_registered_office, revenue_from_operations, employee_count_epfo, address_is_shared_office_flag</t>
  </si>
  <si>
    <t xml:space="preserve">Home-registered offices are normal and lawful for startups, consultants, OPCs and small service firms, so the rule needs the multi-entity leg plus a size or headcount contradiction to mean anything. Suppress when the address is a known co-working operator, a chartered accountant firm premises, an industrial estate or a mall (address_is_shared_office_flag), because those legitimately host many registrants. Suppress for the first two years of an entity. Tighten when the co-located entities also share directors or auditors, when several of them are struck off, and when the claimed business needs physical space (manufacturing, warehousing, retail) that a flat cannot provide. Address normalisation must strip flat and floor tokens or the count collapses.</t>
  </si>
  <si>
    <t xml:space="preserve">INC-22 Registered Office, DIR-3 KYC, MCA Company Master Data</t>
  </si>
  <si>
    <t xml:space="preserve">Rent Agreement / Lease Deed, Electricity / Utility Bill, Google Maps / Street Imagery</t>
  </si>
  <si>
    <t xml:space="preserve">A genuine small consultancy is registered at the founder's flat, which is also used by his other two small ventures.</t>
  </si>
  <si>
    <t xml:space="preserve">OWN-034 (many entities at one registered office), ADR-002 (no utility or rent evidence at the office), OWN-013 (same DINs rotating across the cluster)</t>
  </si>
  <si>
    <t xml:space="preserve">Companies Act 2013 s.12; MCA INC-22A ACTIVE address verification drive</t>
  </si>
  <si>
    <t xml:space="preserve">OWN-009</t>
  </si>
  <si>
    <t xml:space="preserve">Nominee directors</t>
  </si>
  <si>
    <t xml:space="preserve">Directors hold no shares, draw no pay and hold no executive role</t>
  </si>
  <si>
    <t xml:space="preserve">The people on the board own nothing, are paid nothing and carry no KMP designation such as MD, CEO, CFO or Company Secretary. A director with no stake, no salary and no function is almost always fronting for someone whose name is not on the file.</t>
  </si>
  <si>
    <t xml:space="preserve">non_owning_unpaid_director_count / board_size &gt;= 0.5 AND director_shareholding_pct == 0 AND director_remuneration == 0 AND kmp_designation_flag == false AND independent_director_count == 0</t>
  </si>
  <si>
    <t xml:space="preserve">&gt;= 50% of the board with zero shares, zero remuneration and no KMP designation; exclude declared independent directors</t>
  </si>
  <si>
    <t xml:space="preserve">non_owning_unpaid_director_count, board_size, director_shareholding_pct, director_remuneration, kmp_designation_flag, independent_director_count</t>
  </si>
  <si>
    <t xml:space="preserve">Whole categories of honest directors own nothing and are paid nothing by this entity: independent directors of unlisted companies who take only sitting fees, group executives who serve on subsidiary boards but are paid by the parent, lender and investor nominee directors under s.161(3), and government nominees. Suppress when the director draws salary from an identified parent or group company in Form 26AS, when the appointment traces to a Loan Sanction / Facility Letter or shareholders agreement, or when independent_director_flag is set. Tighten when the same non-owning directors appear across unrelated companies, when they cannot be found in any payroll anywhere (no 26AS, no EPFO), and when the shareholders are themselves body corporates with no disclosed SBO.</t>
  </si>
  <si>
    <t xml:space="preserve">MGT-7 / MGT-7A Annual Return, DIR-12 Director Change, AOC-4 / AOC-4 XBRL Financial Statements</t>
  </si>
  <si>
    <t xml:space="preserve">Form 26AS, Board Report, TDS Returns (24Q / 26Q)</t>
  </si>
  <si>
    <t xml:space="preserve">Pvt Ltd, Public Ltd, Foreign Sub</t>
  </si>
  <si>
    <t xml:space="preserve">Group executives and investor nominees sit on a subsidiary board without holding shares or drawing pay from that subsidiary.</t>
  </si>
  <si>
    <t xml:space="preserve">OWN-001 (multi-directorship load), OWN-015 (no BEN-2 despite corporate shareholding), OWN-012 (bank signatory is not a director)</t>
  </si>
  <si>
    <t xml:space="preserve">Companies Act 2013 s.89, s.90; FATF beneficial ownership typology</t>
  </si>
  <si>
    <t xml:space="preserve">OWN-010</t>
  </si>
  <si>
    <t xml:space="preserve">Director or shareholder has no independent corporate, tax or professional footprint</t>
  </si>
  <si>
    <t xml:space="preserve">The person on the register exists only inside this one company: no other directorship, no income tax record, no verifiable employment history and no professional or public presence. Real business people leave traces; manufactured identities do not.</t>
  </si>
  <si>
    <t xml:space="preserve">other_active_directorship_count == 0 AND itr_filed_flag == false AND epfo_employment_record_flag == false AND public_profile_found_flag == false AND director_shareholding_pct &gt;= 0.2</t>
  </si>
  <si>
    <t xml:space="preserve">All four footprint checks negative for a holder of &gt;= 20% equity or a sole director</t>
  </si>
  <si>
    <t xml:space="preserve">other_active_directorship_count, itr_filed_flag, epfo_employment_record_flag, public_profile_found_flag, director_shareholding_pct, dir3_kyc_status</t>
  </si>
  <si>
    <t xml:space="preserve">Absence of evidence is weak evidence: many honest small proprietors below the taxable limit file no ITR, are self-employed so appear in no EPFO record, and have no online profile at all, so this rule must never score alone and must be gated on a material shareholding or sole-director status. Suppress for agricultural, rural and micro enterprises and for first-generation entrepreneurs in tier-3 towns. Also suppress when Udyam registration or a Shops and Establishment licence exists in the person's name. Tighten when the same absent-footprint person holds large sums in several companies, when DIR-3 KYC is deactivated, or when the declared investment is far above any plausible income, in which case escalate to OWN-011.</t>
  </si>
  <si>
    <t xml:space="preserve">DIN Master Data, DIR-3 KYC, Income Tax Return (ITR-5 / ITR-6)</t>
  </si>
  <si>
    <t xml:space="preserve">EPFO ECR Filing, Social Media / Employee Listing (LinkedIn), Udyam / MSME Registration</t>
  </si>
  <si>
    <t xml:space="preserve">A genuine first-time small entrepreneur below the tax threshold simply has no other corporate or online footprint.</t>
  </si>
  <si>
    <t xml:space="preserve">OWN-011 (investment beyond declared income), OWN-009 (no shares, no pay, no role), OWN-013 (same faces across a cluster)</t>
  </si>
  <si>
    <t xml:space="preserve">PMLA Maintenance of Records Rules, customer due diligence; FATF beneficial ownership typology</t>
  </si>
  <si>
    <t xml:space="preserve">OWN-011</t>
  </si>
  <si>
    <t xml:space="preserve">Benami shareholding</t>
  </si>
  <si>
    <t xml:space="preserve">Shareholder's declared income cannot support the value of the shareholding</t>
  </si>
  <si>
    <t xml:space="preserve">A shareholder has put in far more money than his income tax return, Form 26AS or EPFO wage could ever fund; often the holder is a driver, peon or relative on a modest salary from a group company. This is the classic benami pattern where the money is someone else's.</t>
  </si>
  <si>
    <t xml:space="preserve">shareholder_investment_amount &gt; 10 * shareholder_declared_annual_income AND shareholder_investment_amount &gt; 2500000 AND (shareholder_epfo_wage_annual &lt; 600000 OR shareholder_relation_to_promoter_flag == true)</t>
  </si>
  <si>
    <t xml:space="preserve">Investment &gt; 10x declared annual income AND &gt; INR 25 lakh; corroborate where EPFO wage &lt; INR 6 lakh a year</t>
  </si>
  <si>
    <t xml:space="preserve">shareholder_investment_amount, shareholder_declared_annual_income, shareholder_epfo_wage_annual, shareholder_relation_to_promoter_flag, form_26as_gross_receipts, shareholder_pan</t>
  </si>
  <si>
    <t xml:space="preserve">Income is a poor proxy for wealth, so the rule must allow for inheritance, sale of ancestral property or agricultural land, past accumulated savings, gifts within family recorded in the ITR, and capital gains that appear in a prior year rather than this one, so widen the lookback to 3 FY of ITR plus AIS before firing. Suppress where the shareholder is a genuine ESOP holder (shares issued at a nominal exercise price, SH-3 register), a founder holding sweat equity, or a promoter relative with independent business income visible in 26AS. Tighten to Critical-adjacent when the shareholder is on the promoter group's own payroll, when several such micro-income holders sit just below 25% each, and when the shares were paid for by cash or by a transfer originating from the promoter's account.</t>
  </si>
  <si>
    <t xml:space="preserve">MGT-7 / MGT-7A Annual Return, Income Tax Return (ITR-5 / ITR-6), Form 26AS, AIS / TIS</t>
  </si>
  <si>
    <t xml:space="preserve">EPFO ECR Filing, Bank Statement, PAS-3 Return of Allotment</t>
  </si>
  <si>
    <t xml:space="preserve">The shareholder funded the investment from inherited property or past savings that do not show in the current year's income.</t>
  </si>
  <si>
    <t xml:space="preserve">OWN-019 (holdings stacked just under the 25% SBO line), OWN-025 (allotment with no funds trail), OWN-010 (no independent footprint)</t>
  </si>
  <si>
    <t xml:space="preserve">Benami Transactions (Prohibition) Amendment Act 2016; Income-tax s.68 unexplained credits</t>
  </si>
  <si>
    <t xml:space="preserve">OWN-012</t>
  </si>
  <si>
    <t xml:space="preserve">Proxy control</t>
  </si>
  <si>
    <t xml:space="preserve">Bank and statutory signing power held by someone who is neither director nor KMP</t>
  </si>
  <si>
    <t xml:space="preserve">The person who operates the bank account, signs GST returns or holds a general power of attorney is not on the board and holds no office. Control has been handed to an outsider, which is how the real controller stays off every register.</t>
  </si>
  <si>
    <t xml:space="preserve">authorised_signatory_is_director_or_kmp_flag == false AND (bank_account_operated_by_non_officer_flag == true OR gst_authorised_signatory_is_non_officer_flag == true) AND power_of_attorney_holder_relationship == 'undisclosed'</t>
  </si>
  <si>
    <t xml:space="preserve">N/A — categorical; escalate when the same non-officer signatory operates accounts for &gt;= 3 entities</t>
  </si>
  <si>
    <t xml:space="preserve">authorised_signatory_is_director_or_kmp_flag, bank_account_operated_by_non_officer_flag, gst_authorised_signatory_is_non_officer_flag, power_of_attorney_holder_relationship, signatory_pan, entities_with_same_signatory_count</t>
  </si>
  <si>
    <t xml:space="preserve">Delegated signing is entirely normal in real companies: accountants, finance managers, branch heads and company secretaries routinely operate accounts and sign GST returns under a board resolution, and foreign subsidiaries commonly give a local PoA to a consultant while the parent's officers sit abroad. Suppress when the signatory is on the payroll (EPFO or 24Q) and a board resolution under MGT-14 authorises him, and when the mandate is joint rather than sole. Tighten when the signatory is not an employee anywhere in the group, when he holds sole operating power without limit, when he is a relative of a person disqualified or under investigation, and when the same PAN appears as signatory across unrelated entities, which escalates to OWN-045.</t>
  </si>
  <si>
    <t xml:space="preserve">Bank Account Opening / KYC File, Signatory Details / DSC Register, GST Registration Certificate (REG-06)</t>
  </si>
  <si>
    <t xml:space="preserve">MGT-14 Resolutions, Board Report, EPFO ECR Filing</t>
  </si>
  <si>
    <t xml:space="preserve">The company's finance manager operates the bank account under a proper board resolution.</t>
  </si>
  <si>
    <t xml:space="preserve">OWN-045 (one signatory across every group entity), OWN-009 (nominee-shaped board), CMP-016 (DSC used from a single external IP)</t>
  </si>
  <si>
    <t xml:space="preserve">Companies Act 2013 s.179; RBI KYC Master Direction on account operation mandates</t>
  </si>
  <si>
    <t xml:space="preserve">OWN-013</t>
  </si>
  <si>
    <t xml:space="preserve">Director networks</t>
  </si>
  <si>
    <t xml:space="preserve">The same handful of DINs rotate as directors across a cluster of companies</t>
  </si>
  <si>
    <t xml:space="preserve">A small set of individuals appears as directors of many otherwise unconnected companies, moving in and out of them together. This is a professional nominee pool servicing a shell factory, visible only when you look across entities.</t>
  </si>
  <si>
    <t xml:space="preserve">cluster_entity_count &gt;= 5 AND shared_din_count_with_cluster &gt;= 2 AND cluster_common_address_or_auditor_flag == true AND cluster_struck_off_or_defaulter_share &gt;= 0.2 AND disclosed_group_relationship_flag == false</t>
  </si>
  <si>
    <t xml:space="preserve">Cluster of &gt;= 5 entities sharing &gt;= 2 DINs, with a shared address or auditor, and &gt;= 20% of the cluster struck off, dormant or defaulting</t>
  </si>
  <si>
    <t xml:space="preserve">cluster_entity_count, shared_din_count_with_cluster, cluster_common_address_or_auditor_flag, cluster_struck_off_or_defaulter_share, disclosed_group_relationship_flag, director_din</t>
  </si>
  <si>
    <t xml:space="preserve">Real groups also share directors across dozens of entities, so the rule turns on whether the relationship is DISCLOSED: suppress when the cluster maps to a declared holding-subsidiary structure in AOC-4 CFS, to a single promoter family, or to a fund manager's portfolio companies where the shared directors are investor nominees. Suppress for chartered accountancy and secretarial firms whose partners hold directorships in client SPVs with proper disclosure. Tighten when the cluster's entities were incorporated in a tight window (OWN-033), when directors enter and exit the cluster on the same dates, and when several cluster members are already struck off or on the disqualified-director list. Requires a population of entities, not one company's file.</t>
  </si>
  <si>
    <t xml:space="preserve">Derived — cross-entity graph, DIN Master Data, DIR-12 Director Change</t>
  </si>
  <si>
    <t xml:space="preserve">MCA Struck-Off Company List, ROC Disqualified Director List, MCA Company Master Data</t>
  </si>
  <si>
    <t xml:space="preserve">A disclosed business group or a fund's portfolio legitimately shares two directors across many SPVs.</t>
  </si>
  <si>
    <t xml:space="preserve">OWN-034 (shared registered office), OWN-042 (one professional certifies the whole cluster), OWN-050 (links to struck-off entities)</t>
  </si>
  <si>
    <t xml:space="preserve">FATF corporate vehicles typology; MCA shell company task force criteria</t>
  </si>
  <si>
    <t xml:space="preserve">OWN-014</t>
  </si>
  <si>
    <t xml:space="preserve">Incorporation agents</t>
  </si>
  <si>
    <t xml:space="preserve">First subscribers and directors are a formation agent's own staff</t>
  </si>
  <si>
    <t xml:space="preserve">At incorporation the subscribers, directors or contact details in SPICe+ trace to a company-formation agent: the same email, mobile or digital signature appears across hundreds of new companies, and the first board is replaced within weeks. The company was manufactured for sale, not founded.</t>
  </si>
  <si>
    <t xml:space="preserve">(subscriber_email_reuse_count &gt;= 20 OR subscriber_mobile_reuse_count &gt;= 20 OR dsc_holder_entity_reuse_count &gt;= 20) AND first_board_replaced_within_days &lt;= 180 AND incorporation_professional_filing_count_12m &gt;= 50</t>
  </si>
  <si>
    <t xml:space="preserve">Contact or DSC reused across &gt;= 20 incorporations; first board replaced within 180 days; certifying professional filing &gt;= 50 SPICe+ in 12 months</t>
  </si>
  <si>
    <t xml:space="preserve">Since incorporation, agent activity rolling 12 months</t>
  </si>
  <si>
    <t xml:space="preserve">subscriber_email_reuse_count, subscriber_mobile_reuse_count, dsc_holder_entity_reuse_count, first_board_replaced_within_days, incorporation_professional_filing_count_12m, spice_certifying_professional_id</t>
  </si>
  <si>
    <t xml:space="preserve">Using a CA, CS or an online incorporation platform is legal and extremely common, so volume alone is not the signal; the combination of agent contact details PERSISTING on the file after handover and the first subscribers exiting quickly is. Suppress when the reused email or mobile is replaced by the promoter's own within 90 days and INC-20A plus real business activity follows. Suppress for genuine corporate service providers who incorporate many subsidiaries for one disclosed client group. Tighten when the agent's staff appear as SUBSCRIBERS holding shares (not merely as the professional certifying the form), when the entity is sold on as a shelf company (see OWN-023), and when several companies from the same agent batch are later struck off.</t>
  </si>
  <si>
    <t xml:space="preserve">SPICe+ / INC-32 Incorporation, Signatory Details / DSC Register, DIR-12 Director Change</t>
  </si>
  <si>
    <t xml:space="preserve">DIR-3 KYC, Email Header / MX Record, MCA Company Master Data</t>
  </si>
  <si>
    <t xml:space="preserve">An incorporation service provider's contact details stayed on the MCA record after a genuine startup was registered through it.</t>
  </si>
  <si>
    <t xml:space="preserve">OWN-023 (shelf company handed over soon after incorporation), OWN-013 (rotating director pool), CMP-002 (INC-20A never filed)</t>
  </si>
  <si>
    <t xml:space="preserve">MCA shell company task force; FATF corporate service provider typology</t>
  </si>
  <si>
    <t xml:space="preserve">OWN-015</t>
  </si>
  <si>
    <t xml:space="preserve">Beneficial ownership</t>
  </si>
  <si>
    <t xml:space="preserve">No BEN-2 filed although a body corporate holds 25% or more</t>
  </si>
  <si>
    <t xml:space="preserve">A company or LLP holds a quarter or more of the shares but no significant beneficial owner declaration (BEN-1 by the owner, BEN-2 by the company) has been filed to name the natural person behind it. The law requires the human owner to be named; silence is the point of the structure.</t>
  </si>
  <si>
    <t xml:space="preserve">max_body_corporate_shareholding_pct &gt;= 0.25 AND ben2_filed_flag == false AND sbo_exemption_applicable_flag == false AND entity_age_years &gt;= 1</t>
  </si>
  <si>
    <t xml:space="preserve">Body corporate holding &gt;= 25% (10% for significant influence tests) with zero BEN-2 on record</t>
  </si>
  <si>
    <t xml:space="preserve">Since 2019 BEN filing regime</t>
  </si>
  <si>
    <t xml:space="preserve">max_body_corporate_shareholding_pct, ben2_filed_flag, ben1_declaration_received_flag, sbo_exemption_applicable_flag, shareholder_entity_type, entity_age_years</t>
  </si>
  <si>
    <t xml:space="preserve">Rule 8 of the SBO Rules exempts several holders: shares held by the IEPF Authority, by a holding reporting company that has itself filed BEN-2, by the Central or State Government, and by SEBI, RBI, IRDAI or PFRDA regulated investment vehicles such as mutual funds, AIFs and REITs, so compute sbo_exemption_applicable_flag before firing or you will flag every fund-held company. Also suppress where the corporate shareholder is a listed company with public shareholding. Non-filing is widespread and often mere non-compliance, so score this as structure-risk not fraud unless combined with a foreign or opaque holder. Tighten to Critical when the corporate holder is offshore, when the chain is more than two layers deep, or when BEN-2 names another company rather than a natural person, which is a defective filing.</t>
  </si>
  <si>
    <t xml:space="preserve">BEN-1 / BEN-2 Significant Beneficial Owner, MGT-7 / MGT-7A Annual Return</t>
  </si>
  <si>
    <t xml:space="preserve">A SEBI-registered fund or an exempt holding company holds the stake, so no SBO declaration is legally required.</t>
  </si>
  <si>
    <t xml:space="preserve">OWN-016 (holder sits in a secrecy jurisdiction), OWN-017 (deep chain with no operating entity), OWN-019 (stakes stacked below 25%)</t>
  </si>
  <si>
    <t xml:space="preserve">Companies Act 2013 s.90; Companies (Significant Beneficial Owners) Rules 2018, Rule 8</t>
  </si>
  <si>
    <t xml:space="preserve">OWN-016</t>
  </si>
  <si>
    <t xml:space="preserve">Ownership held through a body corporate in a secrecy or nil-tax jurisdiction</t>
  </si>
  <si>
    <t xml:space="preserve">A material stake is held by a company registered in a place that does not publish ownership or tax it, such as BVI, Cayman, Seychelles, Panama or a UAE free zone. Layering ownership offshore is the standard way to break the trail to the real owner.</t>
  </si>
  <si>
    <t xml:space="preserve">foreign_shareholding_pct &gt;= 0.10 AND secrecy_jurisdiction_flag == true AND ubo_natural_person_disclosed_flag == false AND (fdi_route == 'automatic' OR fcgpr_filed_flag == false)</t>
  </si>
  <si>
    <t xml:space="preserve">Foreign corporate holding &gt;= 10% from a listed secrecy or nil-tax jurisdiction with no natural-person UBO disclosed</t>
  </si>
  <si>
    <t xml:space="preserve">foreign_shareholding_pct, foreign_shareholder_country, secrecy_jurisdiction_flag, ubo_natural_person_disclosed_flag, fcgpr_filed_flag, fdi_route</t>
  </si>
  <si>
    <t xml:space="preserve">Offshore holding is not itself illegal and large parts of honest Indian FDI arrive through Singapore, Mauritius and the Netherlands for treaty and fund-structuring reasons, so the discriminator is disclosure, not geography: suppress when the offshore holder is a SEBI-registered FPI or FVCI, a named global fund with public filings, or the disclosed parent of a well-known multinational, and when FC-GPR and FLA returns are complete. Tighten when the jurisdiction is on the FATF grey or black list or the EU non-cooperative list, when the holder was incorporated within a year of the investment, when the shareholding is held by a nominee-director company typical of BVI and Seychelles, and when funds arrive from a fourth country different from the shareholder's own.</t>
  </si>
  <si>
    <t xml:space="preserve">MGT-7 / MGT-7A Annual Return, BEN-1 / BEN-2 Significant Beneficial Owner, SWIFT / Wire Messages</t>
  </si>
  <si>
    <t xml:space="preserve">AOC-4 / AOC-4 XBRL Financial Statements, Transfer Pricing Report (Form 3CEB), Bank Statement</t>
  </si>
  <si>
    <t xml:space="preserve">A legitimate global fund or multinational holds the Indian company through its usual Singapore or Mauritius holding vehicle.</t>
  </si>
  <si>
    <t xml:space="preserve">OWN-036 (chain crosses three or more jurisdictions), OWN-032 (no FC-GPR for the inflow), TBM-005 (round-tripped export receipts)</t>
  </si>
  <si>
    <t xml:space="preserve">FATF high-risk jurisdictions; FEMA NDI Rules 2019; PMLA</t>
  </si>
  <si>
    <t xml:space="preserve">OWN-017</t>
  </si>
  <si>
    <t xml:space="preserve">Layering</t>
  </si>
  <si>
    <t xml:space="preserve">Ownership chain deeper than the permitted layers with no operating entity in it</t>
  </si>
  <si>
    <t xml:space="preserve">The company sits under three or more stacked holding companies and none of them makes or sells anything. Indian law caps subsidiary layers at two for exactly this reason; an all-holding chain exists only to put distance between the money and its owner.</t>
  </si>
  <si>
    <t xml:space="preserve">ownership_chain_depth &gt; 2 AND operating_entity_count_in_chain == 0 AND layer_restriction_exemption_flag == false AND aggregate_chain_employee_count &lt;= 5</t>
  </si>
  <si>
    <t xml:space="preserve">Chain depth &gt; 2 layers (statutory cap); zero operating entities in the chain; aggregate employees &lt;= 5</t>
  </si>
  <si>
    <t xml:space="preserve">ownership_chain_depth, operating_entity_count_in_chain, layer_restriction_exemption_flag, aggregate_chain_employee_count, intermediate_entity_revenue_sum, chain_entity_ids</t>
  </si>
  <si>
    <t xml:space="preserve">The Companies (Restriction on Number of Layers) Rules 2017 exempt banking companies, NBFCs, insurance companies and government companies, and do not count layers acquired abroad where local law requires them, so read layer_restriction_exemption_flag first. Private equity, venture capital and REIT or InvIT structures legitimately use a general partner, a fund, a holding co and an SPV, and infrastructure concessions often require a ring-fenced SPV under a holdco under a listed parent; suppress where the intermediate entities are SEBI or IFSC regulated or where the ultimate parent is listed and files consolidated accounts naming every layer. Tighten when each layer is a private company with INR 1 lakh capital, a common address, and no employees anywhere in the chain, and when the chain terminates offshore.</t>
  </si>
  <si>
    <t xml:space="preserve">AOC-4 CFS Consolidated, MGT-7 / MGT-7A Annual Return, Derived — cross-entity graph</t>
  </si>
  <si>
    <t xml:space="preserve">BEN-1 / BEN-2 Significant Beneficial Owner, MCA Company Master Data</t>
  </si>
  <si>
    <t xml:space="preserve">A regulated fund or infrastructure group lawfully uses a multi-tier holding structure that is fully disclosed in consolidated accounts.</t>
  </si>
  <si>
    <t xml:space="preserve">OWN-037 (subsidiary with no employees and only investments), OWN-016 (offshore holder), OWN-015 (no SBO declared)</t>
  </si>
  <si>
    <t xml:space="preserve">Companies Act 2013 s.2(87) proviso; Companies (Restriction on Number of Layers) Rules 2017</t>
  </si>
  <si>
    <t xml:space="preserve">OWN-018</t>
  </si>
  <si>
    <t xml:space="preserve">Circular or cross-holding detected in the ownership graph</t>
  </si>
  <si>
    <t xml:space="preserve">Company A owns B, B owns C and C owns A, or two group companies own each other. A subsidiary holding shares in its own holding company is prohibited, and a closed ownership loop means nobody outside the ring can be identified as the owner.</t>
  </si>
  <si>
    <t xml:space="preserve">ownership_cycle_detected_flag == true AND cycle_length &lt;= 5 AND cycle_aggregate_holding_pct &gt;= 0.20 AND cycle_exemption_flag == false</t>
  </si>
  <si>
    <t xml:space="preserve">Any directed cycle of length &lt;= 5 in the shareholding graph carrying &gt;= 20% aggregate holding</t>
  </si>
  <si>
    <t xml:space="preserve">ownership_cycle_detected_flag, cycle_length, cycle_entity_ids, cycle_aggregate_holding_pct, cycle_exemption_flag, capital_infusion_within_cycle_amount</t>
  </si>
  <si>
    <t xml:space="preserve">Section 19 permits narrow exceptions: a subsidiary holding shares of its holding company as legal representative of a deceased member, as trustee, or as a shareholder from before it became a subsidiary, and ESOP or welfare trusts holding parent shares are common and lawful, so set cycle_exemption_flag for trusteeship and legacy holdings. Also allow for small cross-holdings created by mergers pending regularisation. Tighten to maximum when money moves around the loop, that is when capital raised by one ring member is invested in the next and eventually returns to the first, which is round-tripping of the same rupee to inflate net worth. Requires a full shareholding graph, not one MGT-7, and demands careful entity resolution because name variants create false cycles.</t>
  </si>
  <si>
    <t xml:space="preserve">Derived — cross-entity graph, MGT-7 / MGT-7A Annual Return, AOC-4 CFS Consolidated</t>
  </si>
  <si>
    <t xml:space="preserve">PAS-3 Return of Allotment, Bank Statement</t>
  </si>
  <si>
    <t xml:space="preserve">An ESOP or welfare trust inside the group holds parent shares, or a legacy cross-holding survives from a pre-merger structure.</t>
  </si>
  <si>
    <t xml:space="preserve">OWN-025 (allotment with no external funds trail), FIN-030 (investments equal to capital raised), OWN-017 (deep holding chain)</t>
  </si>
  <si>
    <t xml:space="preserve">Companies Act 2013 s.19, s.186; FATF corporate vehicles typology</t>
  </si>
  <si>
    <t xml:space="preserve">OWN-019</t>
  </si>
  <si>
    <t xml:space="preserve">Shareholdings stacked just below the 25% significant beneficial owner threshold</t>
  </si>
  <si>
    <t xml:space="preserve">Several holders each own something like 22 to 24.9% so that nobody crosses the 25% line that would force a beneficial owner declaration. The pattern of near-threshold stakes among connected people is deliberate structuring, not coincidence.</t>
  </si>
  <si>
    <t xml:space="preserve">shareholders_in_20_to_2499_pct_band &gt;= 3 AND sum_holding_in_band &gt;= 0.70 AND ben2_filed_flag == false AND holders_share_address_or_family_flag == true</t>
  </si>
  <si>
    <t xml:space="preserve">&gt;= 3 holders each between 20% and 24.99%, together &gt;= 70%, with no BEN-2 and evidence of connection between them</t>
  </si>
  <si>
    <t xml:space="preserve">3 FY of shareholding</t>
  </si>
  <si>
    <t xml:space="preserve">shareholders_in_20_to_2499_pct_band, sum_holding_in_band, ben2_filed_flag, holders_share_address_or_family_flag, shareholding_change_events_count, shareholder_pan</t>
  </si>
  <si>
    <t xml:space="preserve">Equal or near-equal splits are also the natural outcome of honest arrangements: four founders taking 25% each, a family dividing shares among siblings, or a joint venture of three partners, so the connection leg (shared address, shared PAN family linkage, common bank funding) is essential and the rule should never fire on the band alone. Suppress where the holders are unrelated institutional investors or where BEN-2 has in fact been filed voluntarily. Tighten when a holder was moved from above 25% to just below by a small transfer shortly before or after the SBO rules applied to the entity, when transfers repeatedly restore the sub-threshold pattern, and when the same stack of holders appears in other group entities. Remember SBO can also be triggered below 25% through control or significant influence, so a sub-threshold stack does not extinguish the duty.</t>
  </si>
  <si>
    <t xml:space="preserve">MGT-7 / MGT-7A Annual Return, BEN-1 / BEN-2 Significant Beneficial Owner</t>
  </si>
  <si>
    <t xml:space="preserve">PAS-3 Return of Allotment, Derived — cross-entity graph</t>
  </si>
  <si>
    <t xml:space="preserve">Four unrelated co-founders genuinely hold roughly a quarter of the company each.</t>
  </si>
  <si>
    <t xml:space="preserve">OWN-011 (holders cannot fund their stakes), OWN-015 (no BEN-2 filed), OWN-020 (registered owner is not the beneficial owner)</t>
  </si>
  <si>
    <t xml:space="preserve">Companies Act 2013 s.90; SBO Rules 2018; FATF beneficial ownership structuring typology</t>
  </si>
  <si>
    <t xml:space="preserve">OWN-020</t>
  </si>
  <si>
    <t xml:space="preserve">Ultimate owner is a trust, foundation or declared nominee with no named natural person</t>
  </si>
  <si>
    <t xml:space="preserve">The trail ends at a trust, a private foundation or a declaration that the registered holder holds for someone else, and no human being is named as the person who benefits. Under s.89 the beneficial interest must be declared; a chain that ends in an unnamed beneficiary is designed to end there.</t>
  </si>
  <si>
    <t xml:space="preserve">(ubo_type IN ('trust','foundation','nominee_declaration') AND ubo_named_natural_person_flag == false) OR (registered_owner_vs_beneficial_owner_mismatch_flag == true AND s89_declaration_filed_flag == false)</t>
  </si>
  <si>
    <t xml:space="preserve">N/A — categorical; any terminal trust, foundation or nominee arrangement without a named natural-person beneficiary</t>
  </si>
  <si>
    <t xml:space="preserve">ubo_type, ubo_named_natural_person_flag, registered_owner_vs_beneficial_owner_mismatch_flag, s89_declaration_filed_flag, trust_settlor_name, trust_jurisdiction</t>
  </si>
  <si>
    <t xml:space="preserve">Trusts are used honestly and constantly in India: ESOP trusts, family succession trusts, charitable trusts holding shares of a section 8 company, and offshore discretionary trusts behind legitimate NRI wealth, so the test is whether a natural person can be identified, not whether a trust exists. Suppress when the trust deed names the settlor and a determinate class of beneficiaries, when the trustee is a regulated corporate trustee, and when BEN-2 has been filed naming a controlling natural person. Tighten to maximum when the trust is discretionary, sits in a secrecy jurisdiction, has a protector rather than a beneficiary, or when the arrangement is evidenced by an unregistered declaration of trust or a blank signed transfer deed found on file. A registered-owner versus beneficial-owner mismatch with no s.89 declaration is prima facie benami.</t>
  </si>
  <si>
    <t xml:space="preserve">BEN-1 / BEN-2 Significant Beneficial Owner, MGT-7 / MGT-7A Annual Return, MOA / AOA</t>
  </si>
  <si>
    <t xml:space="preserve">Litigation Database, Adverse Media / News Archive, Document Metadata (PDF / Office)</t>
  </si>
  <si>
    <t xml:space="preserve">Pvt Ltd, Public Ltd, LLP, Trust/Society, Foreign Sub</t>
  </si>
  <si>
    <t xml:space="preserve">An ESOP trust or a properly documented family succession trust holds the shares with beneficiaries named in the deed.</t>
  </si>
  <si>
    <t xml:space="preserve">OWN-016 (secrecy jurisdiction in the chain), OWN-011 (registered holder cannot fund the stake), OWN-015 (no SBO declaration)</t>
  </si>
  <si>
    <t xml:space="preserve">Companies Act 2013 s.89, s.90; Benami Transactions (Prohibition) Amendment Act 2016; FATF R.25</t>
  </si>
  <si>
    <t xml:space="preserve">OWN-021</t>
  </si>
  <si>
    <t xml:space="preserve">Shareholder overlap</t>
  </si>
  <si>
    <t xml:space="preserve">MGT-7 shareholder list near-identical to that of an unconnected company</t>
  </si>
  <si>
    <t xml:space="preserve">Two companies that claim no relationship have almost the same list of members. Identical shareholder sets across supposedly independent entities mean one controller is running both, which matters when they trade with each other or bid against each other.</t>
  </si>
  <si>
    <t xml:space="preserve">max_shareholder_jaccard_overlap &gt;= 0.80 AND shareholder_count &gt;= 3 AND disclosed_group_relationship_flag == false AND inter_entity_transaction_value &gt; 0</t>
  </si>
  <si>
    <t xml:space="preserve">Jaccard overlap of member PAN sets &gt;= 0.80 with &gt;= 3 members; no disclosed relationship</t>
  </si>
  <si>
    <t xml:space="preserve">Latest filed MGT-7 for both entities</t>
  </si>
  <si>
    <t xml:space="preserve">max_shareholder_jaccard_overlap, shareholder_count, shareholder_pan_set, disclosed_group_relationship_flag, inter_entity_transaction_value, counterparty_cin</t>
  </si>
  <si>
    <t xml:space="preserve">Common ownership is not concealment when it is disclosed, so suppress whenever the pair already appears as related parties in AOC-2, as group entities in AOC-4 CFS, or as a promoter group in listed-company filings. Family groups routinely hold several companies with the same five members, which is legal; the harm arises when the two entities transact with each other, bid in the same tender, or one lends to the other, so gate on inter_entity_transaction_value or on tender co-participation. Tighten when the overlap includes identical shareholding PERCENTAGES as well as identical people, which suggests one document was copied to make the other, and when the entities also share an auditor, an address or a bank signatory. Entity resolution must use PAN or DIN, not names.</t>
  </si>
  <si>
    <t xml:space="preserve">MGT-7 / MGT-7A Annual Return, Derived — cross-entity graph</t>
  </si>
  <si>
    <t xml:space="preserve">AOC-2 Related Party Annexure, Tender / Procurement Portal, AOC-4 CFS Consolidated</t>
  </si>
  <si>
    <t xml:space="preserve">A family group holds several companies with the same members and simply has not labelled them as a group.</t>
  </si>
  <si>
    <t xml:space="preserve">OWN-013 (shared director pool), OWN-041 (AOC-2 nil despite related-party dealings), PRC-006 (bid rigging: common bidders in one tender)</t>
  </si>
  <si>
    <t xml:space="preserve">Companies Act 2013 s.2(76) related party; CCI bid-rigging indicators</t>
  </si>
  <si>
    <t xml:space="preserve">OWN-022</t>
  </si>
  <si>
    <t xml:space="preserve">Ownership timing</t>
  </si>
  <si>
    <t xml:space="preserve">Whole shareholding changes hands around a single high-value transaction</t>
  </si>
  <si>
    <t xml:space="preserve">The company was transferred in full shortly before or after the one large deal it ever did, such as a big contract, a property sale or a loan drawdown. Selling the shell around the transaction moves the liability to a new owner while the gain leaves with the old one.</t>
  </si>
  <si>
    <t xml:space="preserve">shareholding_change_pct_12m &gt;= 0.90 AND abs(days_between_ownership_transfer_and_largest_transaction) &lt;= 180 AND largest_transaction_value &gt; 10000000 AND buyer_seller_disclosed_relationship_flag == false</t>
  </si>
  <si>
    <t xml:space="preserve">&gt;= 90% of equity transferred within 180 days either side of a transaction above INR 1 crore</t>
  </si>
  <si>
    <t xml:space="preserve">24 months</t>
  </si>
  <si>
    <t xml:space="preserve">shareholding_change_pct_12m, ownership_transfer_date, largest_transaction_date, largest_transaction_value, days_between_ownership_transfer_and_largest_transaction, buyer_seller_disclosed_relationship_flag</t>
  </si>
  <si>
    <t xml:space="preserve">Ordinary M&amp;A looks exactly like this: a genuine buyer acquires 100% and the company then signs a big contract, or the seller closes a receivable before completion, so the discriminator is documentation. Suppress when there is a share purchase agreement, a valuation report, capital gains reported in the seller's ITR, consideration paid through banking channels, and continuity of employees and premises after the sale. Tighten when the transfer is at or near face value despite the deal value (see OWN-024), when the outgoing directors resign en bloc (OWN-006), when the buyer is newly incorporated, and when the target's GST registration is cancelled or turnover collapses within a year of the transfer, which is the classic tender-fronting or loan-default handover pattern.</t>
  </si>
  <si>
    <t xml:space="preserve">MGT-7 / MGT-7A Annual Return, AOC-4 / AOC-4 XBRL Financial Statements, Bank Statement</t>
  </si>
  <si>
    <t xml:space="preserve">DIR-12 Director Change, Loan Sanction / Facility Letter, GSTR-1</t>
  </si>
  <si>
    <t xml:space="preserve">A genuine sale of the business closed just before the buyer signed a major new contract.</t>
  </si>
  <si>
    <t xml:space="preserve">OWN-006 (board resigned en bloc), OWN-024 (transfer at face value against high book value), CMP-008 (GST cancelled soon after)</t>
  </si>
  <si>
    <t xml:space="preserve">PMLA layering typology; Companies Act 2013 s.56 transfer of securities</t>
  </si>
  <si>
    <t xml:space="preserve">OWN-023</t>
  </si>
  <si>
    <t xml:space="preserve">Shelf companies</t>
  </si>
  <si>
    <t xml:space="preserve">Subscriber shares and the whole board handed over within 90 days of incorporation</t>
  </si>
  <si>
    <t xml:space="preserve">The people who signed the memorandum sold out and the first directors were replaced almost immediately after registration. That is the signature of a shelf company: registered by an agent, kept on the shelf and sold on to whoever needs an aged-looking entity.</t>
  </si>
  <si>
    <t xml:space="preserve">days_from_incorporation_to_first_transfer &lt;= 90 AND subscriber_exit_pct &gt;= 0.75 AND first_board_replaced_within_days &lt;= 90 AND inc20a_filed_flag == false</t>
  </si>
  <si>
    <t xml:space="preserve">First transfer within 90 days of incorporation; &gt;= 75% of subscriber shares exiting; board replaced within 90 days</t>
  </si>
  <si>
    <t xml:space="preserve">First 12 months from incorporation</t>
  </si>
  <si>
    <t xml:space="preserve">days_from_incorporation_to_first_transfer, subscriber_exit_pct, first_board_replaced_within_days, inc20a_filed_flag, incorporation_date, subscriber_pan_set</t>
  </si>
  <si>
    <t xml:space="preserve">Quick post-incorporation changes are sometimes honest: a founder team adds a co-founder or a fund immediately after registration, a foreign parent replaces the temporary resident director required under s.149(3) once the local hire lands, or a name-holder subscriber transfers to the real promoter because of a delay in getting a DIN or a DSC. Suppress when the incoming holders are identifiable founders or an institutional investor with a priced round in PAS-3, and when INC-20A and real operations follow. Tighten when the transfer is at face value with no consideration trail, when the incoming directors have high directorship counts, and when the entity then reports several years of no filings before suddenly showing large turnover, which is the aged-shell resale pattern.</t>
  </si>
  <si>
    <t xml:space="preserve">SPICe+ / INC-32 Incorporation, MGT-7 / MGT-7A Annual Return, DIR-12 Director Change</t>
  </si>
  <si>
    <t xml:space="preserve">PAS-3 Return of Allotment, INC-20A Commencement</t>
  </si>
  <si>
    <t xml:space="preserve">A newly registered startup restructured its founding cap table and board within weeks of incorporation.</t>
  </si>
  <si>
    <t xml:space="preserve">OWN-014 (formation-agent fingerprints at incorporation), CMP-002 (INC-20A not filed), FIN-003 (dormant years followed by sudden turnover)</t>
  </si>
  <si>
    <t xml:space="preserve">Companies Act 2013 s.10A; MCA shell company task force</t>
  </si>
  <si>
    <t xml:space="preserve">OWN-024</t>
  </si>
  <si>
    <t xml:space="preserve">Share valuation</t>
  </si>
  <si>
    <t xml:space="preserve">Shares transferred at face value when book value per share is far higher</t>
  </si>
  <si>
    <t xml:space="preserve">A block of shares moved at par, say INR 10, while the company's own accounts show a book value many times that. Nobody sells value for nothing, so the price is not the real consideration and the transfer is likely a transfer of nominal title only.</t>
  </si>
  <si>
    <t xml:space="preserve">transfer_price_per_share &lt;= 1.1 * face_value_per_share AND book_value_per_share &gt;= 5 * transfer_price_per_share AND transferred_shares_pct &gt;= 0.10 AND valuation_report_flag == false</t>
  </si>
  <si>
    <t xml:space="preserve">Transfer at &lt;= 1.1x face value while book value &gt;= 5x the price; block &gt;= 10% of equity; no valuation report</t>
  </si>
  <si>
    <t xml:space="preserve">transfer_price_per_share, face_value_per_share, book_value_per_share, transferred_shares_pct, valuation_report_flag, transferee_relationship_flag</t>
  </si>
  <si>
    <t xml:space="preserve">Par-value transfers are legitimate in several settings: transfers between family members as gift or on succession (recorded as such and exempt under Income-tax s.56(2)(x) proviso), transfers to and from an ESOP trust, buy-back of unvested founder shares, and transfers of companies with negative net worth where book value is genuinely below par. Suppress where a gift deed, a family arrangement or a registered valuer report justifies the price, and where the entity's net worth is actually negative. Tighten when the transferee is an unrelated third party, when the same shares are re-transferred at a high price soon after, and when the company holds land or licences whose fair value dwarfs book value. Income-tax s.50CA and Rule 11UA make fair value the tax base, so a par transfer with no valuation is also a tax exposure worth flagging.</t>
  </si>
  <si>
    <t xml:space="preserve">MGT-7 / MGT-7A Annual Return, AOC-4 / AOC-4 XBRL Financial Statements</t>
  </si>
  <si>
    <t xml:space="preserve">Income Tax Return (ITR-5 / ITR-6), Tax Audit Report (Form 3CD), Bank Statement</t>
  </si>
  <si>
    <t xml:space="preserve">Shares moved between family members as a gift or succession at par, which is normal and documented.</t>
  </si>
  <si>
    <t xml:space="preserve">OWN-022 (whole company changing hands around a deal), OWN-020 (nominee or trust arrangement), FIN-018 (asset values understated)</t>
  </si>
  <si>
    <t xml:space="preserve">Income-tax Act s.50CA, s.56(2)(x), Rule 11UA; Companies Act 2013 s.56</t>
  </si>
  <si>
    <t xml:space="preserve">OWN-025</t>
  </si>
  <si>
    <t xml:space="preserve">Capital infusion</t>
  </si>
  <si>
    <t xml:space="preserve">Preferential allotment recorded in PAS-3 with no matching money in the bank</t>
  </si>
  <si>
    <t xml:space="preserve">The company filed a return of allotment for shares issued for cash, but the bank statements show no corresponding credit around that date. Section 42 requires subscription money to come through banking channels into a separate account; paper capital with no cash is fabricated net worth.</t>
  </si>
  <si>
    <t xml:space="preserve">pas3_allotment_amount &gt; 1000000 AND (bank_credits_matched_to_allotment_amount / pas3_allotment_amount) &lt; 0.5 AND allotment_consideration_type == 'cash' AND separate_bank_account_flag == false</t>
  </si>
  <si>
    <t xml:space="preserve">Allotment above INR 10 lakh with &lt; 50% of the amount traceable to bank credits within +/- 30 days of allotment</t>
  </si>
  <si>
    <t xml:space="preserve">Allotment date +/- 90 days, 3 FY of allotments</t>
  </si>
  <si>
    <t xml:space="preserve">pas3_allotment_amount, bank_credits_matched_to_allotment_amount, allotment_consideration_type, separate_bank_account_flag, allotment_date, allottee_pan_set</t>
  </si>
  <si>
    <t xml:space="preserve">Allotments for consideration other than cash are lawful and common, so read allotment_consideration_type first and exempt shares issued for a business acquisition, on conversion of loans or CCDs, on ESOP exercise, on a bonus or rights issue against existing dues, and swaps in a scheme of arrangement, all of which legitimately show no bank credit. Suppress where money arrived earlier as share application money and the credit sits outside the window, so widen matching to 180 days before checking. Tighten to maximum when the credits that do appear come from the allottees' accounts only hours before allotment and leave the next day, when the allottees are the entities flagged by OWN-011, and when net worth so created is used to bid for a tender or support a loan application.</t>
  </si>
  <si>
    <t xml:space="preserve">PAS-3 Return of Allotment, Bank Statement, MGT-14 Resolutions</t>
  </si>
  <si>
    <t xml:space="preserve">AOC-4 / AOC-4 XBRL Financial Statements, MGT-7 / MGT-7A Annual Return</t>
  </si>
  <si>
    <t xml:space="preserve">The shares were issued for consideration other than cash, such as conversion of a loan or an acquisition, so no bank credit exists.</t>
  </si>
  <si>
    <t xml:space="preserve">OWN-029 (premium with no valuation), OWN-018 (money circling within a cross-holding loop), FIN-033 (net worth inflated before a tender)</t>
  </si>
  <si>
    <t xml:space="preserve">Companies Act 2013 s.42, s.62; Income-tax s.68 unexplained share capital</t>
  </si>
  <si>
    <t xml:space="preserve">OWN-026</t>
  </si>
  <si>
    <t xml:space="preserve">Subscription money never actually received though INC-20A declares it was</t>
  </si>
  <si>
    <t xml:space="preserve">The promoters promised to pay for their subscribed shares at incorporation and the company filed INC-20A to say the money is in, but the bank shows no such credit. A company that never received its founding capital has no genuine owner-funded start.</t>
  </si>
  <si>
    <t xml:space="preserve">inc20a_filed_flag == true AND bank_credit_towards_subscription_amount &lt; 0.5 * subscribed_capital_amount AND days_from_incorporation_to_inc20a &lt;= 180 AND paid_up_capital_reported &gt; bank_credit_towards_subscription_amount</t>
  </si>
  <si>
    <t xml:space="preserve">Less than 50% of subscribed capital traceable as bank credit within 180 days of incorporation</t>
  </si>
  <si>
    <t xml:space="preserve">inc20a_filed_flag, bank_credit_towards_subscription_amount, subscribed_capital_amount, days_from_incorporation_to_inc20a, paid_up_capital_reported, first_bank_account_opening_date</t>
  </si>
  <si>
    <t xml:space="preserve">Timing artefacts cause most false hits: the bank account may have been opened late, subscription may have been paid in cash into a pre-existing proprietorship account later transferred, or paid in instalments across the year, so match across all known accounts and allow a 180-day window before firing. Suppress for entities with tiny subscribed capital (INR 1 lakh and below) where the amount is immaterial and for entities where the subscriber remitted from abroad and the credit sits in a NRE or FDI account not yet mapped. Tighten when INC-20A was certified by the same professional flagged in OWN-042, when the declared capital is large, and when the first credit into the account is instead a customer receipt or a loan, meaning the company started trading on someone else's money. Non-receipt makes the s.10A declaration false and also blocks lawful commencement of business.</t>
  </si>
  <si>
    <t xml:space="preserve">INC-20A Commencement, Bank Statement, SPICe+ / INC-32 Incorporation</t>
  </si>
  <si>
    <t xml:space="preserve">Subscription money was paid into an account opened late or remitted from abroad and simply falls outside the matching window.</t>
  </si>
  <si>
    <t xml:space="preserve">OWN-025 (allotment with no funds trail), CMP-002 (INC-20A late or absent), OWN-023 (shelf company handed over)</t>
  </si>
  <si>
    <t xml:space="preserve">Companies Act 2013 s.10A; Companies (Incorporation) Rules Rule 23A</t>
  </si>
  <si>
    <t xml:space="preserve">OWN-027</t>
  </si>
  <si>
    <t xml:space="preserve">Capital adequacy</t>
  </si>
  <si>
    <t xml:space="preserve">Paid-up capital negligible against the turnover and exposures being run</t>
  </si>
  <si>
    <t xml:space="preserve">The owners have INR 1 lakh of their own money in a company that reports crores of sales or borrowings. Real owners fund their working capital; a shell keeps owner money at zero so there is nothing to lose if the entity is abandoned.</t>
  </si>
  <si>
    <t xml:space="preserve">paid_up_capital &lt;= 500000 AND revenue_from_operations &gt; 100000000 AND (net_worth &lt; 0.02 * revenue_from_operations OR unsecured_loans_total &gt; 20 * paid_up_capital) AND entity_age_years &gt;= 2</t>
  </si>
  <si>
    <t xml:space="preserve">Paid-up capital &lt;= INR 5 lakh with turnover &gt; INR 10 crore, or net worth below 2% of turnover</t>
  </si>
  <si>
    <t xml:space="preserve">paid_up_capital, revenue_from_operations, net_worth, unsecured_loans_total, entity_age_years, nic_code</t>
  </si>
  <si>
    <t xml:space="preserve">Thin capitalisation is normal in several honest models: commission agents, brokers, logistics and freight forwarders, and pure services firms turn over large gross values on almost no capital, and many family companies keep capital at INR 1 lakh and fund growth through retained earnings, so use net worth rather than capital alone and suppress when reserves are healthy. Suppress for agency and pass-through models by NIC code and for companies funded by genuine bank limits with charges registered. Tighten for manufacturing, construction and EPC where fixed assets require owner funding, for entities bidding on tenders with net-worth criteria, and when the gap is filled by unsecured loans from unidentified parties rather than by banks. First and second year entities should be exempt.</t>
  </si>
  <si>
    <t xml:space="preserve">MGT-7 / MGT-7A Annual Return, Income Tax Return (ITR-5 / ITR-6)</t>
  </si>
  <si>
    <t xml:space="preserve">A genuine agency or services business runs large gross turnover on minimal capital and healthy retained earnings.</t>
  </si>
  <si>
    <t xml:space="preserve">OWN-031 (funded entirely by related-party unsecured loans), OWN-046 (no charges despite large turnover), FIN-005 (no fixed assets)</t>
  </si>
  <si>
    <t xml:space="preserve">CARO 2020 clause 3(ix); FIU-IND shell company red flags</t>
  </si>
  <si>
    <t xml:space="preserve">OWN-028</t>
  </si>
  <si>
    <t xml:space="preserve">Authorised capital never increased despite years of claimed growth</t>
  </si>
  <si>
    <t xml:space="preserve">The company has never filed SH-7 to raise its authorised capital, which is still at the incorporation figure, even though it reports a much larger business. A genuinely growing company eventually needs headroom to issue shares; a paper business never does.</t>
  </si>
  <si>
    <t xml:space="preserve">sh7_filing_count == 0 AND authorised_capital &lt;= 1000000 AND revenue_from_operations &gt; 250000000 AND entity_age_years &gt;= 7 AND paid_up_capital / authorised_capital &gt;= 0.9</t>
  </si>
  <si>
    <t xml:space="preserve">Zero SH-7 filings; authorised capital &lt;= INR 10 lakh; turnover &gt; INR 25 crore; age &gt;= 7 FY</t>
  </si>
  <si>
    <t xml:space="preserve">sh7_filing_count, authorised_capital, paid_up_capital, revenue_from_operations, entity_age_years, reserves_and_surplus</t>
  </si>
  <si>
    <t xml:space="preserve">Plenty of profitable unlisted companies never raise authorised capital because they grow on retained earnings and bank debt, which is a legitimate choice, so this is a weak background signal and must not score alone. Suppress when reserves_and_surplus is substantial (real retained profit), when bank facilities with registered charges fund the growth, and for LLPs where the concept does not apply. Tighten only when the same company also shows large unsecured loans and share application money parked for years, since that combination suggests money is entering the company without ever being converted to equity because the parties do not want their names on the shareholder register.</t>
  </si>
  <si>
    <t xml:space="preserve">SH-7 Capital Increase, MCA Company Master Data, AOC-4 / AOC-4 XBRL Financial Statements</t>
  </si>
  <si>
    <t xml:space="preserve">A profitable company simply grew on retained earnings and bank credit and never needed more authorised capital.</t>
  </si>
  <si>
    <t xml:space="preserve">OWN-030 (share application money parked for years), OWN-031 (related-party loans instead of equity), OWN-027 (negligible paid-up capital)</t>
  </si>
  <si>
    <t xml:space="preserve">Companies Act 2013 s.61, s.64</t>
  </si>
  <si>
    <t xml:space="preserve">OWN-029</t>
  </si>
  <si>
    <t xml:space="preserve">Share premium</t>
  </si>
  <si>
    <t xml:space="preserve">Large share premium collected with no registered valuer report on record</t>
  </si>
  <si>
    <t xml:space="preserve">Shares with a face value of INR 10 were issued at many times that price, but no valuation supports the price. Unjustified premium is the standard route for bringing unaccounted money in as capital, and is exactly what s.56(2)(viib) was written to catch.</t>
  </si>
  <si>
    <t xml:space="preserve">securities_premium_received &gt; 5000000 AND valuation_report_flag == false AND premium_per_share / max(book_value_per_share, 1) &gt; 5 AND allottee_is_unrelated_institution_flag == false</t>
  </si>
  <si>
    <t xml:space="preserve">Premium above INR 50 lakh with no valuation report and issue price &gt; 5x book value per share</t>
  </si>
  <si>
    <t xml:space="preserve">securities_premium_received, valuation_report_flag, premium_per_share, book_value_per_share, allottee_is_unrelated_institution_flag, allottee_pan_set</t>
  </si>
  <si>
    <t xml:space="preserve">High premium over book value is completely normal for genuine startups and growth companies, where price reflects DCF or a negotiated round rather than net assets, so the missing valuation, not the multiple, is the trigger. Suppress where a registered valuer report or merchant banker DCF exists, where the allottee is a SEBI-registered AIF, FVCI or FPI, where the company holds a DPIIT startup recognition (which exempts it from angel tax), and where the same price was paid by an arms-length lead investor. Tighten when the allottees are private individuals or small unlisted companies with no visible income, when the premium money leaves the company as loans or advances within weeks, and when the same allottees appear across several companies paying identical premiums, which is the accommodation-entry pattern.</t>
  </si>
  <si>
    <t xml:space="preserve">PAS-3 Return of Allotment, AOC-4 / AOC-4 XBRL Financial Statements, MGT-14 Resolutions</t>
  </si>
  <si>
    <t xml:space="preserve">Income Tax Return (ITR-5 / ITR-6), Bank Statement, Tax Audit Report (Form 3CD)</t>
  </si>
  <si>
    <t xml:space="preserve">A genuine venture round priced the shares well above book value and the valuation sits with the investor rather than on the MCA file.</t>
  </si>
  <si>
    <t xml:space="preserve">OWN-025 (no funds trail for the allotment), OWN-011 (allottees cannot fund the investment), FIN-027 (funds exit as advances immediately)</t>
  </si>
  <si>
    <t xml:space="preserve">Income-tax s.56(2)(viib), Rule 11UA; Companies Act 2013 s.52, s.62(1)(c)</t>
  </si>
  <si>
    <t xml:space="preserve">OWN-030</t>
  </si>
  <si>
    <t xml:space="preserve">Capital structure</t>
  </si>
  <si>
    <t xml:space="preserve">Share application money pending allotment far beyond the 60-day limit</t>
  </si>
  <si>
    <t xml:space="preserve">Money received for shares is still sitting as application money years later without shares being issued or the money refunded. Section 42 gives 60 days to allot and 15 more to refund, after which it becomes a deposit; long-parked application money is usually a placeholder for funds nobody wants to own.</t>
  </si>
  <si>
    <t xml:space="preserve">share_application_money_pending &gt; 1000000 AND share_application_money_pending_days &gt; 60 AND dpt3_filed_flag == false AND share_application_money_pending_prior_fy &gt; 0</t>
  </si>
  <si>
    <t xml:space="preserve">Pending above INR 10 lakh for more than 60 days, and still outstanding at the previous year end</t>
  </si>
  <si>
    <t xml:space="preserve">share_application_money_pending, share_application_money_pending_days, dpt3_filed_flag, share_application_money_pending_prior_fy, applicant_pan_set, pas3_allotment_amount</t>
  </si>
  <si>
    <t xml:space="preserve">Short overhangs at year end are ordinary: money received in the last week of March and allotted in April will show as pending, so require the balance to persist across two balance sheet dates before firing. Suppress where the delay is caused by a pending regulatory approval such as RBI or FIPB clearance for foreign money, an unresolved valuation, or where the amount has since been refunded with interest. Tighten when the applicant is a related party, when the balance grows every year while turnover stays flat, when no DPT-3 has been filed even though the sum is now a deemed deposit under s.73, and when the auditor or CARO reporting is silent about it. Read together with unsecured loans since the two are often used interchangeably to park the same money.</t>
  </si>
  <si>
    <t xml:space="preserve">AOC-4 / AOC-4 XBRL Financial Statements, DPT-3 Return of Deposits, PAS-3 Return of Allotment</t>
  </si>
  <si>
    <t xml:space="preserve">CARO Annexure, Auditor Report, Bank Statement</t>
  </si>
  <si>
    <t xml:space="preserve">Money received just before the year end was allotted in the following weeks, or allotment awaits a regulatory approval.</t>
  </si>
  <si>
    <t xml:space="preserve">OWN-025 (allotments with no funds trail), OWN-031 (related-party funding without equity), CMP-014 (DPT-3 not filed)</t>
  </si>
  <si>
    <t xml:space="preserve">Companies Act 2013 s.42(6), s.73; Companies (Acceptance of Deposits) Rules 2014</t>
  </si>
  <si>
    <t xml:space="preserve">OWN-031</t>
  </si>
  <si>
    <t xml:space="preserve">Director and related-party unsecured loans dwarf the equity base</t>
  </si>
  <si>
    <t xml:space="preserve">The company runs almost entirely on interest-free unsecured loans from its directors, their relatives and group entities rather than on share capital or bank credit. Funding a business this way keeps control and repayment outside the shareholder register and makes the money easy to withdraw.</t>
  </si>
  <si>
    <t xml:space="preserve">unsecured_loans_from_directors_and_related / max(net_worth, 1) &gt; 3 AND interest_expense_on_related_loans / unsecured_loans_from_directors_and_related &lt; 0.02 AND secured_borrowings == 0 AND unsecured_loans_from_directors_and_related &gt; 5000000</t>
  </si>
  <si>
    <t xml:space="preserve">Related-party unsecured loans &gt; 3x net worth, effectively interest-free (&lt; 2%), with no bank borrowing; floor INR 50 lakh</t>
  </si>
  <si>
    <t xml:space="preserve">unsecured_loans_from_directors_and_related, net_worth, interest_expense_on_related_loans, secured_borrowings, related_party_loan_counterparty_count, dpt3_filed_flag</t>
  </si>
  <si>
    <t xml:space="preserve">Promoter funding by unsecured loan is the normal way Indian private companies bridge working capital, is expressly permitted from directors under Rule 2(1)(c)(viii) of the Deposit Rules when accompanied by a declaration that the money is the director's own funds, and is often insisted on by banks as quasi-equity, so the ratio alone is not adverse. Suppress where the lender is a director who has filed the own-funds declaration, where the loans are subordinated under a bank sanction letter, and for startups pre-revenue. Tighten when the lenders are relatives with no visible income (link to OWN-011), when loans come from companies rather than directors (which needs s.185 and s.186 scrutiny), when the balance churns in and out within the year suggesting circulation rather than funding, and when no DPT-3 has been filed.</t>
  </si>
  <si>
    <t xml:space="preserve">AOC-4 / AOC-4 XBRL Financial Statements, AOC-2 Related Party Annexure, DPT-3 Return of Deposits</t>
  </si>
  <si>
    <t xml:space="preserve">CARO Annexure, Bank Statement, Tax Audit Report (Form 3CD)</t>
  </si>
  <si>
    <t xml:space="preserve">Promoters routinely fund private companies with interest-free unsecured loans instead of raising capital.</t>
  </si>
  <si>
    <t xml:space="preserve">OWN-027 (negligible paid-up capital), OWN-011 (lenders cannot fund the amounts), FIN-024 (loans circulate in and out within days)</t>
  </si>
  <si>
    <t xml:space="preserve">Companies Act 2013 s.73, s.185, s.186; Companies (Acceptance of Deposits) Rules 2014</t>
  </si>
  <si>
    <t xml:space="preserve">OWN-032</t>
  </si>
  <si>
    <t xml:space="preserve">Foreign investment</t>
  </si>
  <si>
    <t xml:space="preserve">Foreign shareholding on record with no FC-GPR reporting of the inflow</t>
  </si>
  <si>
    <t xml:space="preserve">Non-resident holders appear in the shareholder list but the company never reported the share issue to the RBI in Form FC-GPR, nor filed the annual FLA return. Unreported foreign money in the capital account is a FEMA breach and a common way to bring funds back into India disguised as investment.</t>
  </si>
  <si>
    <t xml:space="preserve">foreign_shareholding_pct &gt; 0 AND fcgpr_filed_flag == false AND foreign_inflow_amount &gt; 0 AND fla_return_filed_flag == false AND sectoral_approval_required_flag == false</t>
  </si>
  <si>
    <t xml:space="preserve">Any foreign allotment with no FC-GPR within 30 days of issue and no FLA return for the year</t>
  </si>
  <si>
    <t xml:space="preserve">foreign_shareholding_pct, fcgpr_filed_flag, foreign_inflow_amount, fla_return_filed_flag, sectoral_approval_required_flag, remitter_country</t>
  </si>
  <si>
    <t xml:space="preserve">Not every foreign name needs FC-GPR: shares held by non-resident Indians on a non-repatriation basis are treated as domestic investment, secondary transfers between residents and non-residents are reported in FC-TRS rather than FC-GPR, and shares issued under an ESOP to foreign employees follow a separate route, so classify the transaction type before firing. Suppress where the entity is an LLP (Form FDI-LLP applies) or where reporting was made late but made. Tighten when the remitter country differs from the shareholder's country of incorporation, when the inflow arrives through multiple small remittances below reporting thresholds, when the sector needs government approval and none exists, and when the shareholding is later transferred back offshore at par, which is the round-tripping shape.</t>
  </si>
  <si>
    <t xml:space="preserve">PAS-3 Return of Allotment, MGT-7 / MGT-7A Annual Return, SWIFT / Wire Messages</t>
  </si>
  <si>
    <t xml:space="preserve">Bank Statement, AOC-4 / AOC-4 XBRL Financial Statements, Auditor Report</t>
  </si>
  <si>
    <t xml:space="preserve">The holder is an NRI investing on a non-repatriation basis, or the transaction was reported in FC-TRS rather than FC-GPR.</t>
  </si>
  <si>
    <t xml:space="preserve">OWN-016 (secrecy jurisdiction holder), OWN-025 (allotment with no funds trail), TBM-011 (inbound remittance unmatched to any trade)</t>
  </si>
  <si>
    <t xml:space="preserve">FEMA Non-Debt Instruments Rules 2019; RBI Master Direction on Reporting (FC-GPR, FLA)</t>
  </si>
  <si>
    <t xml:space="preserve">OWN-033</t>
  </si>
  <si>
    <t xml:space="preserve">Group architecture</t>
  </si>
  <si>
    <t xml:space="preserve">A cluster of related entities all incorporated within one short window</t>
  </si>
  <si>
    <t xml:space="preserve">Five or more companies sharing directors, address or auditor were registered within a few weeks of each other. Batch incorporation is how a network is built in advance of a scheme, whereas a real group accretes entities over years as the business needs them.</t>
  </si>
  <si>
    <t xml:space="preserve">cluster_entity_count &gt;= 5 AND incorporation_date_spread_days &lt;= 90 AND shared_director_or_address_or_auditor_flag == true AND cluster_median_turnover &lt; 10000000 AND cluster_common_object_clause_flag == true</t>
  </si>
  <si>
    <t xml:space="preserve">&gt;= 5 linked entities incorporated within a 90-day spread with a shared director, address or auditor</t>
  </si>
  <si>
    <t xml:space="preserve">Since incorporation of the cluster</t>
  </si>
  <si>
    <t xml:space="preserve">cluster_entity_count, incorporation_date_spread_days, shared_director_or_address_or_auditor_flag, cluster_median_turnover, cluster_common_object_clause_flag, cluster_entity_ids</t>
  </si>
  <si>
    <t xml:space="preserve">Legitimate batch incorporation happens constantly: infrastructure and renewable-energy developers register one SPV per project before a bid round, real-estate groups create one company per tower, franchise and retail chains create one entity per state for licensing, and a restructuring may spawn several resulting companies on the same date under an NCLT scheme. Suppress when the cluster's entities have distinct real operations, employees on EPFO, and distinct addresses, or when a scheme order explains the batch. Tighten when the MOA object clauses are identical boilerplate, when capital is identical to the rupee across the batch, when the same professional certified all the SPICe+ forms, and when several members of the batch later go dormant or are struck off. Needs a cross-entity population.</t>
  </si>
  <si>
    <t xml:space="preserve">Derived — cross-entity graph, MCA Company Master Data, SPICe+ / INC-32 Incorporation</t>
  </si>
  <si>
    <t xml:space="preserve">MOA / AOA, INC-22 Registered Office, MCA Struck-Off Company List</t>
  </si>
  <si>
    <t xml:space="preserve">A developer or franchisor registered several project SPVs at once ahead of a bid or launch.</t>
  </si>
  <si>
    <t xml:space="preserve">OWN-014 (formation-agent fingerprints), OWN-034 (all at one address), OWN-042 (one professional certifies all of them)</t>
  </si>
  <si>
    <t xml:space="preserve">MCA shell company task force; FATF corporate vehicles typology</t>
  </si>
  <si>
    <t xml:space="preserve">OWN-034</t>
  </si>
  <si>
    <t xml:space="preserve">Many unconnected entities share a single registered office address</t>
  </si>
  <si>
    <t xml:space="preserve">Ten or more companies show the same registered office in INC-22 without any disclosed relationship between them. Address concentration is the cheapest and most visible marker of an incorporation mill or a corporate services front.</t>
  </si>
  <si>
    <t xml:space="preserve">entities_at_registered_office &gt;= 10 AND address_is_known_serviced_office_flag == false AND disclosed_group_relationship_share &lt; 0.3 AND struck_off_share_at_address &gt;= 0.2</t>
  </si>
  <si>
    <t xml:space="preserve">&gt;= 10 entities at one normalised address, fewer than 30% of them disclosed as a group, &gt;= 20% struck off or dormant</t>
  </si>
  <si>
    <t xml:space="preserve">Point in time, with 5 FY status history</t>
  </si>
  <si>
    <t xml:space="preserve">entities_at_registered_office, registered_office_address_normalised, address_is_known_serviced_office_flag, disclosed_group_relationship_share, struck_off_share_at_address, address_pincode</t>
  </si>
  <si>
    <t xml:space="preserve">Whole categories of address share honestly: co-working operators such as WeWork and Regus, virtual-office and registered-agent providers, chartered accountant and law firm premises, SEZ and IT park units, and large group head offices that host fifty subsidiaries, so address_is_known_serviced_office_flag and the disclosed-group share must both be checked. Suppress industrial estates and commercial towers where the address string lacks a unit number, since normalisation collapses distinct offices into one. Tighten when the co-located entities also share directors, auditors or bank signatories, when a high proportion of them are struck off, dormant or GST-cancelled, and when the address on a site visit turns out to be a residence or a tea shop. The signal is concentration plus decay, not concentration alone.</t>
  </si>
  <si>
    <t xml:space="preserve">INC-22 Registered Office, Derived — cross-entity graph, MCA Company Master Data</t>
  </si>
  <si>
    <t xml:space="preserve">MCA Struck-Off Company List, Site Visit Report, Google Maps / Street Imagery</t>
  </si>
  <si>
    <t xml:space="preserve">The address is a co-working space, a CA firm or a group head office that legitimately hosts many registrations.</t>
  </si>
  <si>
    <t xml:space="preserve">OWN-008 (registered office is a director's home), OWN-013 (shared director pool), ADR-003 (no utility connection at the address)</t>
  </si>
  <si>
    <t xml:space="preserve">Companies Act 2013 s.12; MCA INC-22A ACTIVE verification drive</t>
  </si>
  <si>
    <t xml:space="preserve">OWN-035</t>
  </si>
  <si>
    <t xml:space="preserve">Consolidation</t>
  </si>
  <si>
    <t xml:space="preserve">Subsidiary or associate omitted from the consolidated financial statements</t>
  </si>
  <si>
    <t xml:space="preserve">MCA records or the shareholding chain show a subsidiary that does not appear in the parent's consolidated accounts or in the list of subsidiaries in the Board Report. Leaving an entity out of consolidation is the standard way to keep losses, borrowings or related-party flows off the group's face.</t>
  </si>
  <si>
    <t xml:space="preserve">subsidiary_count_from_ownership_graph &gt; subsidiary_count_in_cfs AND aoc4_cfs_filed_flag == true AND omitted_subsidiary_total_assets &gt; 0.05 * consolidated_total_assets AND consolidation_exemption_flag == false</t>
  </si>
  <si>
    <t xml:space="preserve">Any omitted subsidiary whose assets exceed 5% of consolidated assets; or &gt;= 2 omitted entities of any size</t>
  </si>
  <si>
    <t xml:space="preserve">subsidiary_count_from_ownership_graph, subsidiary_count_in_cfs, aoc4_cfs_filed_flag, omitted_subsidiary_total_assets, consolidated_total_assets, consolidation_exemption_flag</t>
  </si>
  <si>
    <t xml:space="preserve">Genuine exclusions exist and must be coded into consolidation_exemption_flag: a wholly owned intermediate company exempt under s.129(3) proviso, a subsidiary acquired with a view to resale, a subsidiary under severe long-term restrictions, one placed in liquidation or under a resolution professional, and entities exempt under Rule 6 of the Companies (Accounts) Rules where the ultimate parent files consolidated accounts elsewhere. Suppress for subsidiaries incorporated after the reporting date. Tighten when the omitted entity is loss-making, carries the group's borrowings, is located offshore, or is the counterparty to large related-party purchases in AOC-2, and when the auditor gave a clean report without listing the exclusion, which raises an audit-quality question too.</t>
  </si>
  <si>
    <t xml:space="preserve">AOC-4 CFS Consolidated, Board Report, Derived — cross-entity graph</t>
  </si>
  <si>
    <t xml:space="preserve">AOC-4 / AOC-4 XBRL Financial Statements, Auditor Report, MGT-7 / MGT-7A Annual Return</t>
  </si>
  <si>
    <t xml:space="preserve">The subsidiary was lawfully excluded, for example it was held for sale or is in liquidation, and the exclusion is disclosed in the notes.</t>
  </si>
  <si>
    <t xml:space="preserve">OWN-037 (dormant-shaped subsidiary), OWN-041 (related-party dealings not in AOC-2), FIN-036 (group borrowings not visible in standalone accounts)</t>
  </si>
  <si>
    <t xml:space="preserve">Companies Act 2013 s.129(3); Ind AS 110 / AS 21; Companies (Accounts) Rules Rule 6</t>
  </si>
  <si>
    <t xml:space="preserve">OWN-036</t>
  </si>
  <si>
    <t xml:space="preserve">Cross-border structure</t>
  </si>
  <si>
    <t xml:space="preserve">Ownership chain crosses three or more jurisdictions to reach the ultimate owner</t>
  </si>
  <si>
    <t xml:space="preserve">Tracing the owner runs through companies in three or more countries before reaching a person. Each border adds a place where records stop, and multi-hop chains are typically built for concealment or treaty shopping rather than for business reasons.</t>
  </si>
  <si>
    <t xml:space="preserve">jurisdiction_count_in_ownership_chain &gt;= 3 AND ubo_country != operating_country AND intermediate_entity_substance_score &lt; 0.3 AND ownership_chain_depth &gt;= 3</t>
  </si>
  <si>
    <t xml:space="preserve">&gt;= 3 jurisdictions in the chain and intermediate entities with a substance score below 0.3 (no employees, no premises, no local revenue)</t>
  </si>
  <si>
    <t xml:space="preserve">jurisdiction_count_in_ownership_chain, ubo_country, operating_country, intermediate_entity_substance_score, ownership_chain_depth, treaty_jurisdiction_flag</t>
  </si>
  <si>
    <t xml:space="preserve">Multinationals routinely hold Indian subsidiaries through two or three genuine regional holding companies, and funds hold through a GP, a fund and a feeder in different countries entirely lawfully, so the discriminator is substance in the intermediates, not the number of borders. Suppress when the intermediate entities file audited accounts, employ people and have their own operations, when the ultimate parent is listed on a recognised exchange, or when the structure is disclosed in Form 3CEB and a master file under s.286. Tighten when an intermediate is in a nil-tax jurisdiction with a local nominee director, when the chain was reorganised shortly before a large transaction, and when GAAR or principal-purpose-test exposure is evident from the absence of any commercial rationale.</t>
  </si>
  <si>
    <t xml:space="preserve">BEN-1 / BEN-2 Significant Beneficial Owner, Transfer Pricing Report (Form 3CEB), Derived — cross-entity graph</t>
  </si>
  <si>
    <t xml:space="preserve">AOC-4 CFS Consolidated, MGT-7 / MGT-7A Annual Return, SWIFT / Wire Messages</t>
  </si>
  <si>
    <t xml:space="preserve">A multinational or a regulated fund holds the Indian company through its normal regional holding structure.</t>
  </si>
  <si>
    <t xml:space="preserve">OWN-016 (secrecy jurisdiction), OWN-017 (layering beyond permitted depth), OWN-020 (chain ends at an unnamed trust)</t>
  </si>
  <si>
    <t xml:space="preserve">FATF R.24 and R.25; Income-tax GAAR Chapter X-A; FEMA NDI Rules</t>
  </si>
  <si>
    <t xml:space="preserve">OWN-037</t>
  </si>
  <si>
    <t xml:space="preserve">Subsidiary with no employees, no revenue and only intra-group investments as assets</t>
  </si>
  <si>
    <t xml:space="preserve">The entity's entire balance sheet is shares of other group companies, it employs nobody and it sells nothing. Such a step-down company adds a layer of separation without adding any activity, which is what makes it useful for hiding ownership.</t>
  </si>
  <si>
    <t xml:space="preserve">revenue_from_operations == 0 AND employee_count_epfo == 0 AND intra_group_investments / max(total_assets,1) &gt; 0.9 AND entity_age_years &gt;= 3 AND fixed_assets_net_block &lt; 100000</t>
  </si>
  <si>
    <t xml:space="preserve">Nil revenue, nil EPFO headcount, &gt;90% of assets being group investments, age &gt;= 3 FY</t>
  </si>
  <si>
    <t xml:space="preserve">revenue_from_operations, employee_count_epfo, intra_group_investments, total_assets, entity_age_years, fixed_assets_net_block</t>
  </si>
  <si>
    <t xml:space="preserve">Pure holding companies are perfectly legal and this shape is their normal shape, so the rule is a structural marker, not an accusation, and should feed the layering rules rather than score heavily alone. Suppress for registered core investment companies and NBFC-CICs, for ESOP and welfare trust vehicles, for entities whose only role is to hold a licence pending transfer, and for holding companies that receive dividends and file complete accounts. Tighten when the holding entity has NO dividend income across three years (so the investments earn nothing), when its investments are carried at cost far above the investee's net worth, when it also carries large unsecured loans, and when it sits in a chain that already breaches the layer restriction. Combine with OWN-017 rather than reading it in isolation.</t>
  </si>
  <si>
    <t xml:space="preserve">AOC-4 / AOC-4 XBRL Financial Statements, EPFO ECR Filing, MCA Company Master Data</t>
  </si>
  <si>
    <t xml:space="preserve">AOC-4 CFS Consolidated, Income Tax Return (ITR-5 / ITR-6)</t>
  </si>
  <si>
    <t xml:space="preserve">A genuine holding company legitimately has no employees and holds only investments in its subsidiaries.</t>
  </si>
  <si>
    <t xml:space="preserve">OWN-017 (chain deeper than permitted with no operating entity), OWN-035 (entity omitted from consolidation), FIN-005 (no fixed assets)</t>
  </si>
  <si>
    <t xml:space="preserve">Companies Act 2013 s.2(87); Companies (Restriction on Number of Layers) Rules 2017</t>
  </si>
  <si>
    <t xml:space="preserve">OWN-038</t>
  </si>
  <si>
    <t xml:space="preserve">Board process</t>
  </si>
  <si>
    <t xml:space="preserve">Board met below the statutory count or with gaps beyond 120 days</t>
  </si>
  <si>
    <t xml:space="preserve">The board held fewer than the four meetings a year the law requires, or let more than 120 days pass between two meetings. A board that does not meet is not governing, and in shells the meetings exist only on paper when a document needs signing.</t>
  </si>
  <si>
    <t xml:space="preserve">(board_meetings_held_fy &lt; statutory_minimum_board_meetings OR max_gap_between_board_meetings_days &gt; 120) AND entity_age_years &gt;= 2 AND independent_director_count == 0</t>
  </si>
  <si>
    <t xml:space="preserve">Fewer than 4 meetings a FY (2 for small, OPC and dormant companies) or any gap &gt; 120 days</t>
  </si>
  <si>
    <t xml:space="preserve">board_meetings_held_fy, statutory_minimum_board_meetings, max_gap_between_board_meetings_days, entity_age_years, independent_director_count, entity_size_category</t>
  </si>
  <si>
    <t xml:space="preserve">The statutory minimum itself varies, so compute statutory_minimum_board_meetings from entity class: 4 a year with no gap over 120 days for ordinary companies, 2 a year with a 90-day gap for small companies, OPCs with one director, and dormant companies, and no meeting requirement at all for an OPC with a single director beyond a signed resolution. Meeting COUNT is also self-reported in the Board Report and is easily inflated, so a company that reports exactly four meetings on suspiciously regular dates deserves the sister rule OWN-039 rather than this one. Suppress for first-year entities. Tighten when the shortfall coincides with major transactions that needed board approval under s.179, or when the company is required to have an audit committee and none met.</t>
  </si>
  <si>
    <t xml:space="preserve">Board Report, MGT-7 / MGT-7A Annual Return</t>
  </si>
  <si>
    <t xml:space="preserve">MGT-14 Resolutions, Auditor Report</t>
  </si>
  <si>
    <t xml:space="preserve">A small owner-managed company holds fewer formal board meetings than the Act contemplates, a widespread technical lapse.</t>
  </si>
  <si>
    <t xml:space="preserve">OWN-039 (all resolutions dated on one day), OWN-040 (statutory registers missing), CMP-006 (annual return filed late)</t>
  </si>
  <si>
    <t xml:space="preserve">Companies Act 2013 s.173; Secretarial Standard SS-1</t>
  </si>
  <si>
    <t xml:space="preserve">OWN-039</t>
  </si>
  <si>
    <t xml:space="preserve">Board minutes and resolutions all created or filed on a single date</t>
  </si>
  <si>
    <t xml:space="preserve">A whole year of supposedly separate board meetings was signed, printed or filed on one day, or the PDF metadata shows every minute created within minutes of the others. The governance record was manufactured after the fact, usually just before an audit, a loan or an inspection.</t>
  </si>
  <si>
    <t xml:space="preserve">(distinct_resolution_dates / max(resolution_count,1) &lt; 0.3 OR mgt14_filings_on_single_date &gt;= 4 OR minutes_document_creation_date_spread_days &lt;= 2) AND resolution_count &gt;= 4</t>
  </si>
  <si>
    <t xml:space="preserve">Fewer than 30% distinct dates across resolutions, or &gt;= 4 MGT-14 filings on one date, or all minutes files created within 2 days</t>
  </si>
  <si>
    <t xml:space="preserve">resolution_count, distinct_resolution_dates, mgt14_filings_on_single_date, minutes_document_creation_date_spread_days, document_metadata_author, board_meeting_dates</t>
  </si>
  <si>
    <t xml:space="preserve">Bulk filing on one date is often innocent compliance catch-up: companies frequently file several pending MGT-14s together after a professional review, and secretarial firms print a full year of minutes in one sitting for signature, which is poor practice but not fraud. So separate the FILING date (weak) from the document CREATION metadata and the signature date (strong). Suppress where the underlying meeting dates are distinct and evidenced by attendance registers and travel. Tighten when the minutes across several group companies share the same author, template and creation timestamp (boilerplate governance across a cluster), when the creation date post-dates the audit report, and when the resolutions being backdated are the ones authorising borrowings, allotments or related-party contracts.</t>
  </si>
  <si>
    <t xml:space="preserve">MGT-14 Resolutions, Board Report, Document Metadata (PDF / Office)</t>
  </si>
  <si>
    <t xml:space="preserve">MGT-7 / MGT-7A Annual Return, Auditor Report</t>
  </si>
  <si>
    <t xml:space="preserve">A company cleared a backlog of pending resolutions and filed them together after a compliance review.</t>
  </si>
  <si>
    <t xml:space="preserve">OWN-038 (board barely met), OWN-040 (registers reconstructed), OWN-042 (one professional produced the whole group's records)</t>
  </si>
  <si>
    <t xml:space="preserve">Companies Act 2013 s.117, s.118; Secretarial Standard SS-1</t>
  </si>
  <si>
    <t xml:space="preserve">OWN-040</t>
  </si>
  <si>
    <t xml:space="preserve">Statutory records</t>
  </si>
  <si>
    <t xml:space="preserve">Statutory registers missing, or produced freshly reconstructed</t>
  </si>
  <si>
    <t xml:space="preserve">The register of members, register of directors, register of charges or register of contracts cannot be produced, or is produced in one uniform hand and ink covering years of entries. Registers are the primary ownership record; a company that cannot show them has no reliable ownership history.</t>
  </si>
  <si>
    <t xml:space="preserve">statutory_register_produced_flag == false OR (register_uniform_ink_or_font_flag == true AND register_covers_years &gt;= 3) OR register_matches_mgt7_flag == false</t>
  </si>
  <si>
    <t xml:space="preserve">N/A — categorical; any of registers not produced, visibly reconstructed, or inconsistent with the filed MGT-7</t>
  </si>
  <si>
    <t xml:space="preserve">statutory_register_produced_flag, register_uniform_ink_or_font_flag, register_covers_years, register_matches_mgt7_flag, register_maintenance_form, document_metadata_creation_date</t>
  </si>
  <si>
    <t xml:space="preserve">Electronic maintenance of registers is expressly permitted under s.120 and Rule 27, so a printed or database register is not itself suspicious and register_maintenance_form must be checked before applying the ink-uniformity test. Genuine loss of records happens in floods, fire and office moves and is usually accompanied by a police complaint and a board resolution for reconstruction; suppress where that documentation exists. This rule needs a human to look at the record, so it belongs to on-site or file-review workflows rather than automated scoring. Tighten decisively when the reconstructed register CONTRADICTS the filed MGT-7 or PAS-3 on who held shares and when, since that establishes that either the filing or the register is false, and when the register of contracts under s.189 is empty although AOC-2 or the notes disclose related-party dealings.</t>
  </si>
  <si>
    <t xml:space="preserve">MGT-7 / MGT-7A Annual Return, Site Visit Report, Document Metadata (PDF / Office)</t>
  </si>
  <si>
    <t xml:space="preserve">AOC-2 Related Party Annexure, CHG-1 / CHG-4 / CHG-9 Index of Charges, Auditor Report</t>
  </si>
  <si>
    <t xml:space="preserve">The company keeps its registers electronically or reprinted them after a genuine loss of records.</t>
  </si>
  <si>
    <t xml:space="preserve">OWN-039 (bulk-dated minutes), OWN-021 (shareholder list matches another company's), CMP-009 (filings inconsistent across forms)</t>
  </si>
  <si>
    <t xml:space="preserve">Companies Act 2013 s.85, s.88, s.170, s.189, s.120</t>
  </si>
  <si>
    <t xml:space="preserve">OWN-041</t>
  </si>
  <si>
    <t xml:space="preserve">Related-party governance</t>
  </si>
  <si>
    <t xml:space="preserve">AOC-2 nil although the accounts disclose large related-party transactions</t>
  </si>
  <si>
    <t xml:space="preserve">The annexure that must list contracts with related parties is blank or absent, yet the notes to accounts, the tax audit report or the ledgers show substantial dealings with group entities. Omitting them means the transactions were never approved by the board or members as s.188 requires.</t>
  </si>
  <si>
    <t xml:space="preserve">aoc2_contract_count == 0 AND related_party_transaction_value_in_notes &gt; 0.10 * revenue_from_operations AND related_party_transaction_value_in_notes &gt; 5000000 AND board_approval_resolution_flag == false</t>
  </si>
  <si>
    <t xml:space="preserve">Nil AOC-2 entries while disclosed RPT exceeds 10% of turnover and INR 50 lakh</t>
  </si>
  <si>
    <t xml:space="preserve">aoc2_contract_count, related_party_transaction_value_in_notes, revenue_from_operations, board_approval_resolution_flag, form_3cd_clause23_value, related_party_count</t>
  </si>
  <si>
    <t xml:space="preserve">AOC-2 legitimately reports only contracts that are NOT at arms length or are not in the ordinary course of business, so an honest company with large but arms-length group sales will correctly file a nil AOC-2, which makes this rule dependent on evidence that the pricing was not arms length. Use Form 3CD clause 23 and 3CEB values as the disclosure baseline and suppress where a transfer pricing study or an audit committee approval under s.177(4)(iv) exists. Tighten when the counterparties are entities the company does not name as related at all (undisclosed relatedness proven by common directors or shareholders), when the transactions are loans or guarantees requiring s.185 and s.186 compliance, and when margins on the group leg are materially different from the third-party leg.</t>
  </si>
  <si>
    <t xml:space="preserve">AOC-2 Related Party Annexure, AOC-4 / AOC-4 XBRL Financial Statements, Tax Audit Report (Form 3CD)</t>
  </si>
  <si>
    <t xml:space="preserve">Transfer Pricing Report (Form 3CEB), Board Report, MGT-14 Resolutions</t>
  </si>
  <si>
    <t xml:space="preserve">All the related-party dealings were at arms length and in the ordinary course, so AOC-2 is correctly nil.</t>
  </si>
  <si>
    <t xml:space="preserve">OWN-021 (undisclosed common ownership with the counterparty), OWN-044 (control handed over by agreement), FIN-041 (margins differ between group and third-party sales)</t>
  </si>
  <si>
    <t xml:space="preserve">Companies Act 2013 s.188, s.177(4)(iv); Ind AS 24 / AS 18</t>
  </si>
  <si>
    <t xml:space="preserve">OWN-042</t>
  </si>
  <si>
    <t xml:space="preserve">Gatekeepers</t>
  </si>
  <si>
    <t xml:space="preserve">One practising professional or audit firm certifies every entity in the cluster</t>
  </si>
  <si>
    <t xml:space="preserve">The same chartered accountant, company secretary or audit firm signs the incorporation forms, the annual returns and the accounts of every company in a linked group of entities. A single gatekeeper across an entire network removes any independent check and often means one back office is producing all the paperwork.</t>
  </si>
  <si>
    <t xml:space="preserve">entities_certified_by_same_professional / cluster_entity_count &gt;= 0.8 AND cluster_entity_count &gt;= 5 AND auditor_firm_frn_shared_flag == true AND disclosed_group_relationship_flag == false</t>
  </si>
  <si>
    <t xml:space="preserve">&gt;= 80% of a &gt;= 5 entity cluster certified or audited by one membership number or FRN, with no disclosed group relationship</t>
  </si>
  <si>
    <t xml:space="preserve">entities_certified_by_same_professional, cluster_entity_count, certifying_professional_membership_no, auditor_firm_frn_shared_flag, disclosed_group_relationship_flag, professional_disciplinary_flag</t>
  </si>
  <si>
    <t xml:space="preserve">Using one auditor across a disclosed group is normal and often required for consolidation efficiency, and a single CA firm serving many clients in one town or industrial cluster is ordinary practice, so suppress whenever the entities are a declared group or the professional simply has a large local client base with visible diversity. The signal sharpens when the entities are NOT declared as related yet share the gatekeeper, and when the same firm certifies the SPICe+ incorporation, the MGT-7 annual return and the accounts, removing every layer of independent verification. Tighten when the auditor exceeds the 20-company ceiling under s.141(3)(g), when the professional is on an ICAI or ICSI disciplinary list, or when several cluster entities were struck off while under that professional's certification.</t>
  </si>
  <si>
    <t xml:space="preserve">Derived — cross-entity graph, ADT-1 Auditor Appointment, MGT-7 / MGT-7A Annual Return</t>
  </si>
  <si>
    <t xml:space="preserve">SPICe+ / INC-32 Incorporation, Auditor Report, Signatory Details / DSC Register</t>
  </si>
  <si>
    <t xml:space="preserve">One audit firm serves an entire disclosed group or a cluster of clients in the same locality, which is normal practice.</t>
  </si>
  <si>
    <t xml:space="preserve">OWN-013 (rotating director pool in the same cluster), OWN-033 (batch incorporation), OWN-039 (identical minutes across the group)</t>
  </si>
  <si>
    <t xml:space="preserve">Companies Act 2013 s.141(3)(g), s.143; ICAI / ICSI certification norms</t>
  </si>
  <si>
    <t xml:space="preserve">OWN-043</t>
  </si>
  <si>
    <t xml:space="preserve">Control without ownership</t>
  </si>
  <si>
    <t xml:space="preserve">Veto, affirmative-vote or board-nomination rights held by a party with no equity</t>
  </si>
  <si>
    <t xml:space="preserve">The articles or a side agreement give someone who owns no shares the power to block decisions or appoint directors. Legal control sitting away from the shareholding is precisely how an undisclosed owner keeps command while staying off the register.</t>
  </si>
  <si>
    <t xml:space="preserve">aoa_affirmative_vote_or_veto_clause_flag == true AND veto_holder_shareholding_pct &lt; 0.05 AND veto_holder_is_disclosed_lender_or_investor_flag == false AND ben2_filed_flag == false</t>
  </si>
  <si>
    <t xml:space="preserve">N/A — categorical; any veto, golden share or nomination right held by a party with &lt; 5% equity and no disclosed lender or investor status</t>
  </si>
  <si>
    <t xml:space="preserve">aoa_affirmative_vote_or_veto_clause_flag, veto_holder_shareholding_pct, veto_holder_is_disclosed_lender_or_investor_flag, board_nomination_right_without_equity_flag, ben2_filed_flag, aoa_amendment_date</t>
  </si>
  <si>
    <t xml:space="preserve">Affirmative-vote lists are standard in every venture and private-equity shareholders agreement, and lenders routinely take nominee-director and veto rights under a facility agreement, both entirely legitimate, so suppress when the holder is an identified investor with a priced round in PAS-3 or a lender with a registered charge. Government golden shares in disinvested entities and special rights of a franchisor are also normal. Tighten when the right holder is an individual or an unlisted company with no equity, no loan and no charge, when the AOA was amended to insert the clause shortly before a transaction, and when no BEN-2 names that person as an SBO even though control-based significant beneficial ownership arises regardless of shareholding percentage. Reading the AOA and any shareholders agreement is a human task.</t>
  </si>
  <si>
    <t xml:space="preserve">MOA / AOA, MGT-14 Resolutions, BEN-1 / BEN-2 Significant Beneficial Owner</t>
  </si>
  <si>
    <t xml:space="preserve">Loan Sanction / Facility Letter, Board Report, AOC-2 Related Party Annexure</t>
  </si>
  <si>
    <t xml:space="preserve">A venture investor or a lender holds customary veto and nomination rights under a disclosed agreement.</t>
  </si>
  <si>
    <t xml:space="preserve">OWN-015 (no SBO declared), OWN-044 (management agreement transferring control), OWN-012 (outsider operates the bank account)</t>
  </si>
  <si>
    <t xml:space="preserve">Companies Act 2013 s.2(27) control, s.90 SBO through control; SEBI SAST definition of control</t>
  </si>
  <si>
    <t xml:space="preserve">OWN-044</t>
  </si>
  <si>
    <t xml:space="preserve">Management or brand-licence fees hand control to an undisclosed related party</t>
  </si>
  <si>
    <t xml:space="preserve">An outside party runs the business or owns the brand under an agreement, taking a large fee or royalty, and is not declared as a related party. The economic owner is the fee taker, not the shareholder, and the company itself is a husk that carries the liabilities.</t>
  </si>
  <si>
    <t xml:space="preserve">(management_fee_expense + royalty_expense) / max(revenue_from_operations,1) &gt; 0.10 AND counterparty_disclosed_as_related_party_flag == false AND (trademark_registrant_is_counterparty_flag == true OR counterparty_shares_director_or_address_flag == true)</t>
  </si>
  <si>
    <t xml:space="preserve">Management fee plus royalty above 10% of turnover paid to an undeclared party linked by trademark ownership, directors or address</t>
  </si>
  <si>
    <t xml:space="preserve">management_fee_expense, royalty_expense, revenue_from_operations, counterparty_disclosed_as_related_party_flag, trademark_registrant_is_counterparty_flag, counterparty_shares_director_or_address_flag</t>
  </si>
  <si>
    <t xml:space="preserve">Genuine franchise, hotel-operator, hospital-operator and technology-licence arrangements charge exactly these fees at exactly these rates to genuinely unrelated parties, so the whole weight rests on the hidden-relatedness leg: prove it through the Trademark Registry showing the brand registered to a promoter or promoter entity, or through shared directors, addresses or bank signatories. Suppress where the counterparty is an unconnected international brand owner, where Form 3CEB covers the payment, or where the fee is approved by an audit committee. Tighten when the fee rises as profit rises so that the company is always left near breakeven, when the agreement is terminable at will by the operator, when it lets the operator assign the contract freely, and when the same operator has similar agreements across several thinly capitalised entities.</t>
  </si>
  <si>
    <t xml:space="preserve">AOC-4 / AOC-4 XBRL Financial Statements, AOC-2 Related Party Annexure, Trademark / IP Registry</t>
  </si>
  <si>
    <t xml:space="preserve">Tax Audit Report (Form 3CD), Transfer Pricing Report (Form 3CEB), Company Website Content</t>
  </si>
  <si>
    <t xml:space="preserve">A legitimate franchise or operator agreement with an unrelated brand owner carries a normal management fee.</t>
  </si>
  <si>
    <t xml:space="preserve">OWN-041 (AOC-2 nil despite related-party flows), OWN-043 (veto rights without equity), FIN-044 (profit consistently near zero after fees)</t>
  </si>
  <si>
    <t xml:space="preserve">Companies Act 2013 s.2(76), s.188; Ind AS 24; Income-tax s.40A(2)(b)</t>
  </si>
  <si>
    <t xml:space="preserve">OWN-045</t>
  </si>
  <si>
    <t xml:space="preserve">One signatory operates the bank accounts of every entity in the group</t>
  </si>
  <si>
    <t xml:space="preserve">The same individual, unrelated to most of the companies on paper, is the operating signatory or digital-banking user for all of them, often from one IP address or device. Whoever moves the money controls the network, whatever the shareholder registers say.</t>
  </si>
  <si>
    <t xml:space="preserve">entities_with_same_bank_signatory_count &gt;= 4 AND signatory_is_director_or_kmp_of_entity_flag == false AND (shared_ip_device_entity_count &gt;= 4 OR shared_mobile_or_email_entity_count &gt;= 4) AND disclosed_group_relationship_flag == false</t>
  </si>
  <si>
    <t xml:space="preserve">&gt;= 4 entities sharing one non-officer signatory, plus a shared device, IP, mobile or email footprint</t>
  </si>
  <si>
    <t xml:space="preserve">entities_with_same_bank_signatory_count, signatory_is_director_or_kmp_of_entity_flag, shared_ip_device_entity_count, shared_mobile_or_email_entity_count, disclosed_group_relationship_flag, signatory_pan</t>
  </si>
  <si>
    <t xml:space="preserve">Shared treasury is normal in real groups: a group CFO or a shared-services centre operates every subsidiary's account from one office and one IP range, and outsourced accounting firms legitimately file returns for many clients from one machine, so disclosed_group_relationship_flag and payroll evidence for the signatory are the key suppressors. Suppress where the signatory is an employee of the parent shown in 24Q or EPFO and the entities consolidate together. Tighten to maximum when the entities are NOT a declared group, when the signatory has no employment relationship with any of them, when funds move between the entities in rapid same-day chains, and when the same device also files the GST returns and MCA forms for all of them. This rule requires banking or session telemetry, so it usually sits with the bank rather than in public data.</t>
  </si>
  <si>
    <t xml:space="preserve">Bank Account Opening / KYC File, IP &amp; Device Fingerprint Log, Derived — cross-entity graph</t>
  </si>
  <si>
    <t xml:space="preserve">Signatory Details / DSC Register, UPI / IMPS / NEFT Transaction Log, GST Registration Certificate (REG-06)</t>
  </si>
  <si>
    <t xml:space="preserve">A group shared-services team or an outsourced accountant legitimately operates several entities' accounts from one office.</t>
  </si>
  <si>
    <t xml:space="preserve">OWN-012 (signatory is not an officer), OWN-013 (rotating director pool), FIN-052 (same-day pass-through fund chains)</t>
  </si>
  <si>
    <t xml:space="preserve">RBI KYC Master Direction; FIU-IND red flags on common account operation</t>
  </si>
  <si>
    <t xml:space="preserve">OWN-046</t>
  </si>
  <si>
    <t xml:space="preserve">Charges as ownership signal</t>
  </si>
  <si>
    <t xml:space="preserve">Index of Charges completely empty despite large turnover and reported borrowings</t>
  </si>
  <si>
    <t xml:space="preserve">The company shows crores of sales and borrowings in its accounts but has never registered a single charge with the ROC. Banks always take security and always register it, so an empty charge index means no real lender ever underwrote this business.</t>
  </si>
  <si>
    <t xml:space="preserve">charge_count_total == 0 AND (secured_borrowings &gt; 10000000 OR revenue_from_operations &gt; 500000000) AND entity_age_years &gt;= 3 AND inventory_plus_receivables &gt; 20000000</t>
  </si>
  <si>
    <t xml:space="preserve">Zero charges ever filed while secured borrowings &gt; INR 1 crore or turnover &gt; INR 50 crore; age &gt;= 3 FY</t>
  </si>
  <si>
    <t xml:space="preserve">charge_count_total, secured_borrowings, revenue_from_operations, entity_age_years, inventory_plus_receivables, unsecured_loans_total</t>
  </si>
  <si>
    <t xml:space="preserve">Many genuine businesses are debt-free by choice, and asset-light services, IT, consulting and professional firms often never borrow, so an empty index is only meaningful against a balance sheet that CLAIMS secured borrowing or against a working-capital-heavy model that could not run unfunded. Suppress when secured_borrowings is nil and the business is asset-light or funded by promoter equity, and for companies financed by unsecured NBFC or fintech term loans below the security threshold. Tighten when the accounts show secured loans but no CHG-1 exists (the accounts are then unreliable), when large inventory and receivables sit unfunded, when the company nonetheless claims bank limits in a tender or loan application, and when there is also no CERSAI record. Cross-check both MCA and CERSAI since one may carry what the other misses.</t>
  </si>
  <si>
    <t xml:space="preserve">CHG-1 / CHG-4 / CHG-9 Index of Charges, AOC-4 / AOC-4 XBRL Financial Statements</t>
  </si>
  <si>
    <t xml:space="preserve">CERSAI Charge Registry, Credit Bureau Report (CIBIL / CRIF), Bank Statement</t>
  </si>
  <si>
    <t xml:space="preserve">A genuinely debt-free, asset-light company has never needed to borrow against security.</t>
  </si>
  <si>
    <t xml:space="preserve">OWN-027 (negligible capital), FIN-002 (zero-margin pass-through turnover), BNK-007 (no working capital account activity)</t>
  </si>
  <si>
    <t xml:space="preserve">Companies Act 2013 s.77, s.85; CARO 2020 clause 3(ix)</t>
  </si>
  <si>
    <t xml:space="preserve">OWN-047</t>
  </si>
  <si>
    <t xml:space="preserve">All charges satisfied and no new charge created for years</t>
  </si>
  <si>
    <t xml:space="preserve">Every registered charge has been closed with CHG-4 and nothing new has been filed since, even though the business supposedly continues. Lenders exiting and not being replaced usually means banks stopped underwriting the entity or the operating business moved elsewhere.</t>
  </si>
  <si>
    <t xml:space="preserve">open_charge_count == 0 AND satisfied_charge_count &gt; 0 AND years_since_last_charge_creation &gt;= 3 AND revenue_from_operations &gt; 100000000 AND cibil_active_facility_count == 0</t>
  </si>
  <si>
    <t xml:space="preserve">All charges satisfied, none created for &gt;= 3 years, turnover still above INR 10 crore</t>
  </si>
  <si>
    <t xml:space="preserve">open_charge_count, satisfied_charge_count, years_since_last_charge_creation, revenue_from_operations, cibil_active_facility_count, secured_borrowings</t>
  </si>
  <si>
    <t xml:space="preserve">Repaying all debt and going unlevered is a perfectly good outcome and many mature profitable companies do it, so this is a background lifecycle signal only. Suppress where the balance sheet shows strong cash and reserves consistent with genuine deleveraging, or where funding shifted to a disclosed parent or to lease and factoring arrangements that do not create registrable charges. Note also that satisfaction is often filed late or never, so an empty open-charge list can be a filing artefact rather than a real repayment. Tighten when the deleveraging coincides with a change of ownership, when turnover is unchanged but the entity now runs entirely on unsecured related-party loans, and when the credit bureau shows the facilities were closed as settled or written off rather than repaid.</t>
  </si>
  <si>
    <t xml:space="preserve">Credit Bureau Report (CIBIL / CRIF), CERSAI Charge Registry</t>
  </si>
  <si>
    <t xml:space="preserve">The company genuinely repaid its loans and now runs debt-free on internal accruals.</t>
  </si>
  <si>
    <t xml:space="preserve">OWN-022 (ownership changed hands around the same time), OWN-031 (now funded by related-party loans), FIN-021 (turnover quality deteriorating)</t>
  </si>
  <si>
    <t xml:space="preserve">Companies Act 2013 s.82; RBI wilful defaulter and settlement reporting</t>
  </si>
  <si>
    <t xml:space="preserve">OWN-048</t>
  </si>
  <si>
    <t xml:space="preserve">Charge to a non-lender or related party, or out of scale with the asset base</t>
  </si>
  <si>
    <t xml:space="preserve">The company's assets are pledged to an individual, an unregulated company or a group entity rather than a bank, or the charge amount is many times the assets that exist. Such charges are used to fabricate a prior claim so that real creditors recover nothing.</t>
  </si>
  <si>
    <t xml:space="preserve">(chargeholder_is_regulated_lender_flag == false OR chargeholder_is_related_party_flag == true) AND (charge_amount &gt; 5 * (fixed_assets_net_block + inventory_plus_receivables) OR charge_amount &gt; 3 * total_assets) AND charge_amount &gt; 5000000</t>
  </si>
  <si>
    <t xml:space="preserve">Non-bank or related-party chargeholder; charge value &gt; 5x chargeable asset base or &gt; 3x total assets; floor INR 50 lakh</t>
  </si>
  <si>
    <t xml:space="preserve">chargeholder_name, chargeholder_is_regulated_lender_flag, chargeholder_is_related_party_flag, charge_amount, fixed_assets_net_block, inventory_plus_receivables, total_assets</t>
  </si>
  <si>
    <t xml:space="preserve">Non-bank charges are frequently legitimate: registered NBFCs, HFCs, debenture trustees, equipment lessors, foreign lenders under ECB, and vendors taking hypothecation over supplied goods all appear as chargeholders, so maintain a regulated-lender reference list before flagging. Charge value also legitimately exceeds current assets where the security covers future assets, a whole project under construction, or a consortium limit shared across borrowers, so compare against project cost rather than book assets for EPC and real estate. Tighten when the chargeholder is an individual or a company with no lending business, when the charge was created shortly before a default, insolvency filing or asset sale (a preferential or fraudulent transaction under IBC s.43 and s.66), and when MCA and CERSAI records disagree about the holder, amount or date, which suggests one of them was manufactured.</t>
  </si>
  <si>
    <t xml:space="preserve">CHG-1 / CHG-4 / CHG-9 Index of Charges, CERSAI Charge Registry, AOC-4 / AOC-4 XBRL Financial Statements</t>
  </si>
  <si>
    <t xml:space="preserve">Loan Sanction / Facility Letter, NCLT / NCLAT Orders, AOC-2 Related Party Annexure</t>
  </si>
  <si>
    <t xml:space="preserve">A genuine NBFC, lessor or debenture trustee holds the charge, and the amount covers future and project assets.</t>
  </si>
  <si>
    <t xml:space="preserve">OWN-031 (related-party lending dominates funding), OWN-046 (no bank charges at all), FIN-047 (assets sold shortly before insolvency)</t>
  </si>
  <si>
    <t xml:space="preserve">Companies Act 2013 s.77, s.86; IBC s.43 preferential transactions, s.66 fraudulent trading</t>
  </si>
  <si>
    <t xml:space="preserve">OWN-049</t>
  </si>
  <si>
    <t xml:space="preserve">Connected-party exposure</t>
  </si>
  <si>
    <t xml:space="preserve">Politically exposed, sanctioned or investigated person in the ownership or control chain</t>
  </si>
  <si>
    <t xml:space="preserve">A beneficial owner, director or their close relative matches a politically exposed persons list, a sanctions list, or credible reporting of an ongoing investigation. Such ownership sharply raises the risk that the entity exists to hold or move proceeds, and demands enhanced due diligence by law.</t>
  </si>
  <si>
    <t xml:space="preserve">(pep_list_match_flag == true OR pep_relative_or_close_associate_flag == true OR sanctions_list_match_flag == true OR adverse_media_investigation_flag == true) AND match_confidence_score &gt;= 0.85 AND (ubo_shareholding_pct &gt;= 0.10 OR control_position_flag == true)</t>
  </si>
  <si>
    <t xml:space="preserve">Confirmed match at &gt;= 0.85 confidence on a holder of &gt;= 10% or any person in a control position</t>
  </si>
  <si>
    <t xml:space="preserve">Point in time, media rolling 5 years</t>
  </si>
  <si>
    <t xml:space="preserve">ubo_name, pep_list_match_flag, pep_relative_or_close_associate_flag, sanctions_list_match_flag, adverse_media_investigation_flag, match_confidence_score, ubo_shareholding_pct, control_position_flag</t>
  </si>
  <si>
    <t xml:space="preserve">Name matching is the weak point: Indian names collide heavily, so require date of birth, PAN, DIN or address corroboration before scoring, and treat anything below 0.85 confidence as a review item rather than a hit. PEP status is not an allegation of wrongdoing and PEP-owned businesses are lawful, so the correct output is enhanced due diligence, not refusal; sanctions matches are different and are hard stops. Suppress historical adverse media where the matter ended in acquittal, closure or a settled civil dispute, and distinguish a party to a commercial suit from a person named in a criminal or regulatory investigation. Tighten when the PEP link is concealed behind a nominee or a trust, when the entity wins government contracts in the PEP's area of influence, and when the ownership was transferred to relatives shortly after the person took office.</t>
  </si>
  <si>
    <t xml:space="preserve">Sanctions &amp; PEP List, BEN-1 / BEN-2 Significant Beneficial Owner, Adverse Media / News Archive</t>
  </si>
  <si>
    <t xml:space="preserve">Litigation Database, DIN Master Data, Tender / Procurement Portal</t>
  </si>
  <si>
    <t xml:space="preserve">A common-name false match, or a legitimate business owned by a public figure with no allegation attached.</t>
  </si>
  <si>
    <t xml:space="preserve">OWN-020 (ownership sits behind a trust or nominee), OWN-050 (links to struck-off or defaulter entities), PRC-002 (tender awards concentrated with one authority)</t>
  </si>
  <si>
    <t xml:space="preserve">PMLA Maintenance of Records Rules; RBI KYC Master Direction PEP norms; FATF R.12</t>
  </si>
  <si>
    <t xml:space="preserve">OWN-050</t>
  </si>
  <si>
    <t xml:space="preserve">Shared ownership or directors with struck-off, disqualified or wilful-defaulter entities</t>
  </si>
  <si>
    <t xml:space="preserve">The same people who own or run this company also own or ran companies that were struck off by the ROC, whose directors were disqualified under s.164(2), or that are on a wilful defaulter or fraud list. Repeat use of disposable companies by the same hands is the core pattern of a shell network.</t>
  </si>
  <si>
    <t xml:space="preserve">(linked_struck_off_entity_count &gt;= 2 OR director_in_roc_disqualified_list_flag == true OR linked_wilful_defaulter_or_fraud_flag == true) AND shared_person_count &gt;= 1 AND linked_entity_failure_share &gt;= 0.3</t>
  </si>
  <si>
    <t xml:space="preserve">&gt;= 2 linked struck-off entities, or any disqualified director or wilful-defaulter link, with &gt;= 30% of linked entities failed</t>
  </si>
  <si>
    <t xml:space="preserve">7 FY</t>
  </si>
  <si>
    <t xml:space="preserve">linked_struck_off_entity_count, director_in_roc_disqualified_list_flag, linked_wilful_defaulter_or_fraud_flag, shared_person_count, linked_entity_failure_share, linked_entity_ids</t>
  </si>
  <si>
    <t xml:space="preserve">Business failure is not fraud and a serial entrepreneur will accumulate closed companies, so use the failure SHARE and the manner of closure rather than the raw count: voluntary strike-off under STK-2 after genuine closure, and dissolution after a completed liquidation, should score far below suo-motu removal by the ROC for non-filing. Suppress where the person resigned from the failed entity years before its removal, since DIR-11 timing matters. Tighten to maximum when the linked failures cluster in time, when the same registered office or bank signatory recurs, when a director sits on the disqualified list yet continues to sign forms (which is itself an offence), and when a wilful defaulter or fraud classification attaches to a group entity, because banking exposure to any connected entity is then restricted by RBI directions.</t>
  </si>
  <si>
    <t xml:space="preserve">MCA Struck-Off Company List, ROC Disqualified Director List, Derived — cross-entity graph</t>
  </si>
  <si>
    <t xml:space="preserve">Credit Bureau Report (CIBIL / CRIF), NCLT / NCLAT Orders, MCA Company Master Data</t>
  </si>
  <si>
    <t xml:space="preserve">A serial entrepreneur has genuinely closed earlier ventures that were struck off for non-filing after they stopped trading.</t>
  </si>
  <si>
    <t xml:space="preserve">OWN-013 (rotating director pool), OWN-034 (shared registered office), OWN-049 (investigated person in the chain)</t>
  </si>
  <si>
    <t xml:space="preserve">Companies Act 2013 s.164(2), s.248; RBI Master Directions on Wilful Defaulters and Frauds</t>
  </si>
  <si>
    <t xml:space="preserve">BNK-001</t>
  </si>
  <si>
    <t xml:space="preserve">Banking &amp; Transaction Behaviour</t>
  </si>
  <si>
    <t xml:space="preserve">Pass-Through Matching</t>
  </si>
  <si>
    <t xml:space="preserve">Credits reversed by near-equal debits within 72 hours (mirror pairs)</t>
  </si>
  <si>
    <t xml:space="preserve">Money arrives and an almost identical amount leaves within three days to a different party. A real trading business holds receipts for weeks to fund stock, wages and tax; a conduit only forwards them.</t>
  </si>
  <si>
    <t xml:space="preserve">(mirror_pair_value / total_credit_value) &gt; 0.60 AND mirror_pair_count &gt;= 12 AND avg_fund_holding_period_days &lt;= 3 AND total_credit_value &gt; 50000000</t>
  </si>
  <si>
    <t xml:space="preserve">Amount match tolerance +/- 2% or +/- INR 25,000, whichever is larger; holding period &lt;= 72 hours; &gt;= 60% of annual credit value in mirror pairs; &gt;= 12 pairs; annual credits floor INR 5 crore</t>
  </si>
  <si>
    <t xml:space="preserve">mirror_pair_value, mirror_pair_count, total_credit_value, avg_fund_holding_period_days, distinct_payer_payee_flag</t>
  </si>
  <si>
    <t xml:space="preserve">Pass-through is the business model for payroll bureaux, travel consolidators, freight forwarders, clearing agents, insurance brokers and RBI-licensed payment aggregators — for these suppress unless the funds move through a current account instead of a designated escrow or nodal account, or unless the payee set has no logical link to the payer set. Distributors and commodity traders (steel, bullion, agri, pharma stockists) legitimately turn stock in 3-7 days on 0.5-2% margin, so raise the mirror-value threshold to 80% and require the counterparty legs to be commercially unrelated. Tighten to 40% mirror value for entities under three years old, for entities with employee_count &lt; 5, and where the paying and receiving counterparties are themselves newly incorporated. Ignore genuine sweep and cash-management arrangements where the counterparty is the entity's own account at another bank or a group treasury account already disclosed in AOC-2.</t>
  </si>
  <si>
    <t xml:space="preserve">Bank Statement, UPI / IMPS / NEFT Transaction Log</t>
  </si>
  <si>
    <t xml:space="preserve">AIS / TIS, Form 26AS</t>
  </si>
  <si>
    <t xml:space="preserve">Payroll processors, travel consolidators and freight forwarders genuinely collect client funds and remit them onward within days.</t>
  </si>
  <si>
    <t xml:space="preserve">BNK-005 (constant retention percentage), BNK-010 (many-to-one funnel), FIN-002 (near-zero net margin)</t>
  </si>
  <si>
    <t xml:space="preserve">FATF TBML typology; FIU-IND red flag indicators</t>
  </si>
  <si>
    <t xml:space="preserve">BNK-002</t>
  </si>
  <si>
    <t xml:space="preserve">Balance Behaviour</t>
  </si>
  <si>
    <t xml:space="preserve">End-of-day balance decays to near zero after every credit cycle</t>
  </si>
  <si>
    <t xml:space="preserve">The account holds large sums during the day but closes almost empty, cycle after cycle. A trading business carries working-capital float; a conduit account is drained the moment funds land.</t>
  </si>
  <si>
    <t xml:space="preserve">(avg_end_of_day_balance / monthly_credit_value) &lt; 0.005 AND near_zero_eod_days_pct &gt; 0.70 AND monthly_credit_value &gt; 5000000 AND months_meeting_condition &gt;= 6</t>
  </si>
  <si>
    <t xml:space="preserve">Average EOD balance &lt; 0.5% of monthly credits; &gt; 70% of banking days with EOD balance &lt; INR 25,000; monthly credits floor INR 50 lakh; pattern in &gt;= 6 of 12 months</t>
  </si>
  <si>
    <t xml:space="preserve">avg_end_of_day_balance, monthly_credit_value, near_zero_eod_days_pct, months_meeting_condition, overdraft_facility_flag</t>
  </si>
  <si>
    <t xml:space="preserve">Suppress entirely where the entity runs a cash-credit or overdraft account, because a sweep-to-limit arrangement mathematically produces a near-zero or negative EOD balance and is prudent treasury, not layering — check overdraft_facility_flag and the Loan Sanction / Facility Letter first. Also suppress where the account is a collection account swept nightly to a main current account of the same entity or the same group, evidenced by a matching self-transfer narration. Genuinely thin-float businesses include commodity brokers, sub-distributors and labour contractors; for them require a second flag before scoring. Tighten to a 0.2% cut-off and drop the months requirement to three where the entity reports large receivables and inventory on the balance sheet, since claimed working capital should show up as bank float and its absence contradicts the books.</t>
  </si>
  <si>
    <t xml:space="preserve">Bank Statement</t>
  </si>
  <si>
    <t xml:space="preserve">Loan Sanction / Facility Letter, AOC-4 / AOC-4 XBRL Financial Statements</t>
  </si>
  <si>
    <t xml:space="preserve">A borrower with a cash-credit limit legitimately sweeps every rupee against the limit each night to save interest.</t>
  </si>
  <si>
    <t xml:space="preserve">BNK-003 (velocity outlier), BNK-004 (same-day in and out), FIN-019 (implausible debtor days)</t>
  </si>
  <si>
    <t xml:space="preserve">FIU-IND red flag indicators; RBI Master Direction on KYC</t>
  </si>
  <si>
    <t xml:space="preserve">BNK-003</t>
  </si>
  <si>
    <t xml:space="preserve">Velocity Metrics</t>
  </si>
  <si>
    <t xml:space="preserve">Turnover-to-average-balance velocity above sector 95th percentile</t>
  </si>
  <si>
    <t xml:space="preserve">Total money through the account divided by the average balance held (velocity) is far above what peers in the same line of business need. Very high velocity means the account is being used to move money, not to run a business.</t>
  </si>
  <si>
    <t xml:space="preserve">account_velocity_ratio &gt; sector_velocity_p95 AND account_velocity_ratio &gt; 60 AND annual_credit_value &gt; 30000000 AND account_age_months &gt;= 6</t>
  </si>
  <si>
    <t xml:space="preserve">Velocity = annual throughput / average daily balance; absolute floor 60x and above sector p95 (peer group by 2-digit NIC code and turnover band); annual credits floor INR 3 crore</t>
  </si>
  <si>
    <t xml:space="preserve">Rolling 12 months, peer distribution over same period</t>
  </si>
  <si>
    <t xml:space="preserve">account_velocity_ratio, sector_velocity_p95, annual_credit_value, average_daily_balance, account_age_months, nic_code</t>
  </si>
  <si>
    <t xml:space="preserve">Velocity is business-model determined, so a raw threshold is meaningless without a peer group — build the distribution on 2-digit NIC code crossed with turnover band, not on the whole population. Wholesale traders, bullion and agri-commodity dealers, petrol pumps, ticketing agents and CFA agents routinely run 50-150x and are not suspicious at that level alone. Capital-intensive manufacturers, real estate SPVs, NBFCs and holding companies run 2-10x, so for them tighten the absolute floor to 25x. Suppress for the first six months after account opening, when the denominator is unstable, and for accounts that carry a cash-credit limit where the average balance is artificially near zero. Escalate when high velocity coexists with a low declared gross margin and no fixed assets, which is the classic invoice-conduit shape.</t>
  </si>
  <si>
    <t xml:space="preserve">Bank Statement, Derived — cross-entity graph</t>
  </si>
  <si>
    <t xml:space="preserve">AOC-4 / AOC-4 XBRL Financial Statements, GSTR-3B</t>
  </si>
  <si>
    <t xml:space="preserve">High-turnover low-margin distributors and commodity traders genuinely cycle their working capital dozens of times a year.</t>
  </si>
  <si>
    <t xml:space="preserve">BNK-002 (balance decay), BNK-001 (mirror pairs), FIN-030 (implausible asset turnover)</t>
  </si>
  <si>
    <t xml:space="preserve">FATF layering typology; FIU-IND red flag indicators</t>
  </si>
  <si>
    <t xml:space="preserve">BNK-004</t>
  </si>
  <si>
    <t xml:space="preserve">Same-day in and out: funds resident under 24 hours for most credit value</t>
  </si>
  <si>
    <t xml:space="preserve">Large sums are received and paid away the same banking day. Same-day turnaround leaves no room for goods to be received, checked or invoiced, which is what a genuine trade cycle needs.</t>
  </si>
  <si>
    <t xml:space="preserve">(same_day_out_value / total_credit_value) &gt; 0.50 AND same_day_out_event_count &gt;= 20 AND total_credit_value &gt; 20000000</t>
  </si>
  <si>
    <t xml:space="preserve">&gt; 50% of credit value paid out on the same value date; &gt;= 20 such events; annual credits floor INR 2 crore; treat T+0 by value date, not posting date</t>
  </si>
  <si>
    <t xml:space="preserve">same_day_out_value, total_credit_value, same_day_out_event_count, same_day_out_beneficiary_count, value_date</t>
  </si>
  <si>
    <t xml:space="preserve">Suppress for RBI-authorised payment aggregators, business correspondents, e-commerce settlement accounts, stock brokers' client accounts and insurance intermediaries, where same-day settlement is regulated behaviour and funds sit in nodal or client accounts by law. Also suppress for group treasury or cash-pooling accounts where the same-day beneficiary is a disclosed group entity. Legitimate same-day movement appears in bill-discounting and factoring chains and in bullion and forex dealing, so require the beneficiary to be commercially unconnected to the payer before scoring. Tighten to a 30% cut-off when the same-day beneficiary count is under three (a dedicated conduit) or when the same-day out leg goes to cash withdrawal, a prepaid instrument or an overseas remittance rather than another business account.</t>
  </si>
  <si>
    <t xml:space="preserve">SWIFT / Wire Messages</t>
  </si>
  <si>
    <t xml:space="preserve">Payment aggregators and broker client accounts are required to settle collections onward the same or next day.</t>
  </si>
  <si>
    <t xml:space="preserve">BNK-001 (mirror pairs), BNK-018 (cash withdrawal after credit), BNK-011 (fan-out)</t>
  </si>
  <si>
    <t xml:space="preserve">FIU-IND red flag indicators; FATF layering typology</t>
  </si>
  <si>
    <t xml:space="preserve">BNK-005</t>
  </si>
  <si>
    <t xml:space="preserve">Commission Skim</t>
  </si>
  <si>
    <t xml:space="preserve">Constant percentage retained on each pass-through (commission-style skim)</t>
  </si>
  <si>
    <t xml:space="preserve">On every cycle the account keeps almost exactly the same small slice, typically 0.2% to 2%, and forwards the rest. A fixed retention rate across unrelated counterparties is a fee for moving money, not a trading margin.</t>
  </si>
  <si>
    <t xml:space="preserve">retention_pct_median BETWEEN 0.002 AND 0.03 AND retention_pct_stdev &lt; 0.004 AND matched_cycle_count &gt;= 15 AND distinct_counterparty_pairs &gt;= 5 AND total_credit_value &gt; 30000000</t>
  </si>
  <si>
    <t xml:space="preserve">Median retention 0.2%-3% of each inflow; standard deviation of retention &lt; 0.4 percentage points; &gt;= 15 cycles across &gt;= 5 distinct counterparty pairs; annual credits floor INR 3 crore</t>
  </si>
  <si>
    <t xml:space="preserve">retention_pct_median, retention_pct_stdev, matched_cycle_count, distinct_counterparty_pairs, total_credit_value</t>
  </si>
  <si>
    <t xml:space="preserve">The diagnostic power is in the low variance, not the level — genuine traders vary margin by product, lot size, customer and season, so a standard deviation under 0.4 points across five or more different counterparties is very hard to explain commercially. Suppress for entities that are contractually commission agents and declare it, that is where the AOC-4 shows commission income rather than sale of goods, where GSTR-1 uses SAC 9961/9962 intermediary codes, or where TDS under section 194H appears in Form 26AS. Relax the variance band for freight forwarders and CHAs whose fee is a fixed slab. Tighten to Critical when the entity's GST filings show sale of goods (an invoice trail) while the bank shows a fixed fee behaviour, because that mismatch means the goods leg is fictitious. Also tighten where retention is under 0.5%, which is below any real distribution margin.</t>
  </si>
  <si>
    <t xml:space="preserve">Bank Statement, GSTR-1, Form 26AS</t>
  </si>
  <si>
    <t xml:space="preserve">A declared commission agent or C&amp;F agent earns a contracted fixed percentage on every consignment it handles.</t>
  </si>
  <si>
    <t xml:space="preserve">BNK-001 (mirror pairs), GST-014 (goods invoiced with no e-way bill), FIN-002 (near-zero net margin)</t>
  </si>
  <si>
    <t xml:space="preserve">FATF TBML typology; FIU-IND STR indicator - accommodation entry</t>
  </si>
  <si>
    <t xml:space="preserve">BNK-006</t>
  </si>
  <si>
    <t xml:space="preserve">Threshold Structuring</t>
  </si>
  <si>
    <t xml:space="preserve">Cash deposits clustered just below the INR 10 lakh CTR reporting threshold</t>
  </si>
  <si>
    <t xml:space="preserve">Cash goes in repeatedly at amounts like INR 9.5 lakh, just under the level at which the bank must file a Cash Transaction Report to FIU-IND. Deliberately staying under a reporting line is structuring and is itself a reportable offence.</t>
  </si>
  <si>
    <t xml:space="preserve">sub_threshold_cash_deposit_count &gt;= 6 AND (sub_threshold_cash_deposit_value / total_cash_deposit_value) &gt; 0.60 AND monthly_aggregate_cash_deposit &gt; 1000000 AND ctr_filed_count = 0</t>
  </si>
  <si>
    <t xml:space="preserve">Deposits in the INR 8,00,000-9,99,999 band; &gt;= 6 such deposits in 90 days; &gt; 60% of cash deposit value in the band; monthly aggregate cash above INR 10 lakh while no single transaction crosses it</t>
  </si>
  <si>
    <t xml:space="preserve">Rolling 90 days, evaluated monthly</t>
  </si>
  <si>
    <t xml:space="preserve">sub_threshold_cash_deposit_count, sub_threshold_cash_deposit_value, total_cash_deposit_value, monthly_aggregate_cash_deposit, ctr_filed_count, deposit_branch_code</t>
  </si>
  <si>
    <t xml:space="preserve">PMLA Rule 3 requires reporting of cash transactions above INR 10 lakh and, separately, of a series of integrally connected cash transactions below that limit aggregating above it in a month — so the aggregate leg matters as much as the band leg and both should be computed. Calibrate the band width to 15-20% below the limit rather than a fixed rupee gap so it survives threshold changes. Suppress where deposits are made by different named depositors at different branches for a genuinely retail business (petrol pumps, jewellery retail below 269ST limits, hospitals, education trusts) that also shows matching B2C outward supply in GSTR-1. Tighten to Critical with immediate escalation when the sub-threshold band clustering coexists with same-day deposits at multiple branches, with round amounts, or with the depositor being a person unconnected to the entity. Note that section 269ST separately caps cash receipts at INR 2 lakh per person per transaction, so a business claiming 9 lakh cash sales receipts is already in tax breach.</t>
  </si>
  <si>
    <t xml:space="preserve">Bank Statement, Form 26AS</t>
  </si>
  <si>
    <t xml:space="preserve">AIS / TIS, GSTR-1</t>
  </si>
  <si>
    <t xml:space="preserve">A genuinely cash-heavy retailer banks each day's collection separately and the daily takings happen to sit below the limit.</t>
  </si>
  <si>
    <t xml:space="preserve">BNK-016 (cash ratio above sector norm), BNK-017 (multi-branch same-day deposits), GST-006 (B2C turnover inconsistent with cash)</t>
  </si>
  <si>
    <t xml:space="preserve">PMLA Rule 3 / FIU-IND CTR; Income Tax Act s.269ST</t>
  </si>
  <si>
    <t xml:space="preserve">BNK-007</t>
  </si>
  <si>
    <t xml:space="preserve">Burst of transfers priced just below an internal approval or rail limit</t>
  </si>
  <si>
    <t xml:space="preserve">Many payments sit just under a known control line, such as INR 2 lakh (the RTGS floor and the section 269ST cash cap), INR 5 lakh (IMPS cap) or an internal maker-checker limit. Payments engineered to avoid a second pair of eyes suggest the payer wants no scrutiny.</t>
  </si>
  <si>
    <t xml:space="preserve">sub_limit_transfer_count &gt;= 10 AND (sub_limit_transfer_value / total_debit_value) &gt; 0.40 AND sub_limit_band_concentration &gt; 0.5 AND distinct_beneficiary_count &lt;= 5</t>
  </si>
  <si>
    <t xml:space="preserve">Amounts within 10% below a control limit (INR 1.80-2.00 lakh, INR 4.50-5.00 lakh, INR 9.00-10.00 lakh); &gt;= 10 such transfers in 30 days; &gt; 40% of debit value; &lt;= 5 beneficiaries</t>
  </si>
  <si>
    <t xml:space="preserve">Rolling 30 days, reviewed over 12 months</t>
  </si>
  <si>
    <t xml:space="preserve">sub_limit_transfer_count, sub_limit_transfer_value, total_debit_value, sub_limit_band_concentration, distinct_beneficiary_count, payment_rail_code</t>
  </si>
  <si>
    <t xml:space="preserve">Rail limits create honest clustering: an entity whose net-banking IMPS cap is INR 5 lakh will naturally send 4.9 lakh chunks, and a payer avoiding RTGS charges will keep to NEFT. So the rule is only meaningful when the same beneficiary receives several sub-limit tranches on the same or consecutive days that together exceed the limit, which is the true structuring signature — implement that aggregation leg rather than the band leg alone. Suppress for salary and vendor batch files, EMI mandates and utility payments, which are naturally uniform and below limits. Tighten where the sub-limit tranches to one beneficiary aggregate above INR 50 lakh in a month, where beneficiaries were added to the payee list days earlier, or where the entity has RTGS capability and clearly chose not to use it.</t>
  </si>
  <si>
    <t xml:space="preserve">None</t>
  </si>
  <si>
    <t xml:space="preserve">The entity's net-banking channel caps single transfers, so genuine large payments are naturally split into sub-limit tranches.</t>
  </si>
  <si>
    <t xml:space="preserve">BNK-008 (single obligation split), BNK-006 (cash structuring), BNK-024 (common-control cluster)</t>
  </si>
  <si>
    <t xml:space="preserve">FIU-IND structuring red flag; PMLA Rule 3</t>
  </si>
  <si>
    <t xml:space="preserve">BNK-008</t>
  </si>
  <si>
    <t xml:space="preserve">One invoice or obligation settled across several instruments or dates</t>
  </si>
  <si>
    <t xml:space="preserve">A single invoice is paid in many pieces across different dates, accounts or instruments even though funds were available. Splitting a payment breaks the audit trail between the money and the paperwork.</t>
  </si>
  <si>
    <t xml:space="preserve">split_settled_invoice_count &gt;= 5 AND avg_tranches_per_invoice &gt;= 3 AND split_settlement_value &gt; 10000000 AND available_balance_at_first_tranche &gt; invoice_value</t>
  </si>
  <si>
    <t xml:space="preserve">&gt;= 5 invoices settled in &gt;= 3 tranches each within 15 days; split value floor INR 1 crore; only count where balance on the first tranche date already covered the full invoice</t>
  </si>
  <si>
    <t xml:space="preserve">split_settled_invoice_count, avg_tranches_per_invoice, split_settlement_value, available_balance_at_first_tranche, invoice_value, instrument_type_count</t>
  </si>
  <si>
    <t xml:space="preserve">The balance test is what separates fraud from cash-flow reality — a business that pays in pieces because it did not have the money is normal and must be suppressed, so never fire this without available_balance_at_first_tranche exceeding the invoice. Milestone and retention payments in EPC, construction and capital-goods contracts are contractually staged, so suppress where the underlying contract or purchase order shows a payment schedule. Suppress for MSME vendors paid under statutory 45-day rules and for advance-plus-balance patterns which are standard trade practice. Tighten where tranches use different instruments (part NEFT, part cheque, part cash, part prepaid or aggregator), where they run through more than one of the entity's bank accounts, or where each tranche sits just below a control limit, since deliberate instrument diversity has no commercial purpose.</t>
  </si>
  <si>
    <t xml:space="preserve">Bank Statement, Packing List / Commercial Invoice, GSTR-2A / 2B</t>
  </si>
  <si>
    <t xml:space="preserve">Tax Audit Report (Form 3CD), MSME-1 Return</t>
  </si>
  <si>
    <t xml:space="preserve">Genuine cash-flow constraints or contractual milestone schedules cause a large invoice to be settled in instalments.</t>
  </si>
  <si>
    <t xml:space="preserve">BNK-007 (sub-limit bursts), BNK-030 (undisclosed bank accounts), GST-009 (payment not matching GSTR-2B)</t>
  </si>
  <si>
    <t xml:space="preserve">FIU-IND structuring red flag; FATF TBML typology</t>
  </si>
  <si>
    <t xml:space="preserve">BNK-009</t>
  </si>
  <si>
    <t xml:space="preserve">Numeric Anomaly</t>
  </si>
  <si>
    <t xml:space="preserve">Round-figure density and Benford deviation in bank debit amounts</t>
  </si>
  <si>
    <t xml:space="preserve">Real trade payments carry odd amounts because of quantities, rates and GST. A high share of perfectly round transfers, and first digits that do not follow Benford's law (the natural frequency of leading digits), points to invented rather than traded numbers.</t>
  </si>
  <si>
    <t xml:space="preserve">(round_lakh_debit_count / total_debit_count) &gt; 0.45 AND benford_chi_square_stat &gt; 20.09 AND total_debit_count &gt;= 100 AND gst_registered_flag = TRUE</t>
  </si>
  <si>
    <t xml:space="preserve">&gt; 45% of debits are exact multiples of INR 1,00,000; Benford first-digit chi-square &gt; 20.09 (p &lt; 0.01, 8 df); minimum 100 transactions; entity is GST registered so amounts should carry tax</t>
  </si>
  <si>
    <t xml:space="preserve">round_lakh_debit_count, total_debit_count, benford_chi_square_stat, round_amount_value_share, gst_registered_flag, transaction_amount</t>
  </si>
  <si>
    <t xml:space="preserve">Round amounts are innocent for whole classes of payment — loans and repayments, capital infusion, inter-company funding, advances, statutory deposits, fixed retainers and rent — so exclude those narration classes before computing, or the rule fires on every honest treasury. GST-bearing trade payments should almost never be round, which is why the gst_registered_flag and a goods-supply NIC code sharpen it considerably. Benford is unreliable below about 100 observations and on amount ranges with hard caps or contractual slabs, so do not run it on salary or EMI streams. Suppress for holding companies, investment vehicles and NBFCs whose transactions are naturally lump-sum. Tighten where round amounts also repeat exactly the same value to the same beneficiary, which is the accommodation-entry pattern rather than mere rounding.</t>
  </si>
  <si>
    <t xml:space="preserve">GSTR-1, Tax Audit Report (Form 3CD)</t>
  </si>
  <si>
    <t xml:space="preserve">Loan, advance and inter-company funding transfers are legitimately made in round lakh amounts.</t>
  </si>
  <si>
    <t xml:space="preserve">BNK-005 (fixed retention), BNK-044 (generic narration), FIN-041 (circular sales and purchases)</t>
  </si>
  <si>
    <t xml:space="preserve">Benford's law; FATF TBML typology</t>
  </si>
  <si>
    <t xml:space="preserve">BNK-010</t>
  </si>
  <si>
    <t xml:space="preserve">Counterparty Topology</t>
  </si>
  <si>
    <t xml:space="preserve">Many-to-one funnel: numerous small credits aggregated into one large outflow</t>
  </si>
  <si>
    <t xml:space="preserve">Dozens of parties pay in small amounts and the pooled money leaves in one or two big payments soon after. This collection-and-consolidation shape is the standard money-mule and accommodation-entry structure.</t>
  </si>
  <si>
    <t xml:space="preserve">inbound_counterparty_count &gt;= 20 AND outbound_counterparty_count &lt;= 3 AND (top1_outflow_value / period_credit_value) &gt; 0.70 AND funnel_cycle_days &lt;= 7 AND period_credit_value &gt; 10000000</t>
  </si>
  <si>
    <t xml:space="preserve">&gt;= 20 distinct payers versus &lt;= 3 payees in the window; largest single outflow &gt; 70% of credits pooled in that window; pooling-to-payout cycle &lt;= 7 days; window credits floor INR 1 crore</t>
  </si>
  <si>
    <t xml:space="preserve">Rolling 30-day windows over 12 months</t>
  </si>
  <si>
    <t xml:space="preserve">inbound_counterparty_count, outbound_counterparty_count, top1_outflow_value, period_credit_value, funnel_cycle_days, inbound_avg_ticket_size</t>
  </si>
  <si>
    <t xml:space="preserve">Legitimate funnels exist: distributors collecting from retailers and remitting to one principal, franchisees remitting to a brand owner, societies and RWAs collecting member dues, education trusts collecting fees, and NBFC agents collecting EMIs. Suppress when the single outflow beneficiary is a large established principal, a government treasury (tax and duty payments), a lender against a sanctioned facility, or the entity's own account. The signal is strong when the payers are unrelated to each other and to the entity's stated line of business, when inbound ticket sizes are uniform, and when the payout beneficiary is newly incorporated or shares a director or address with the entity. Tighten to immediate escalation where the outflow leg is cash, an overseas remittance or a crypto exchange. Raise the inbound counterparty threshold to 50 for B2C-facing entities that genuinely have many small customers.</t>
  </si>
  <si>
    <t xml:space="preserve">UPI / IMPS / NEFT Transaction Log</t>
  </si>
  <si>
    <t xml:space="preserve">A distributor or franchisee genuinely collects many small retail payments and remits the pool to one principal each week.</t>
  </si>
  <si>
    <t xml:space="preserve">BNK-011 (fan-out), BNK-013 (counterparty shares identifiers), BNK-015 (counterparty absent from books)</t>
  </si>
  <si>
    <t xml:space="preserve">FIU-IND money mule typology; FATF layering typology</t>
  </si>
  <si>
    <t xml:space="preserve">BNK-011</t>
  </si>
  <si>
    <t xml:space="preserve">One-to-many fan-out: single large credit dispersed to many payees within 48 hours</t>
  </si>
  <si>
    <t xml:space="preserve">One big credit arrives and is immediately broken into many smaller payments to unrelated parties. Breaking value into pieces and spreading it is the textbook layering step that hides the source of funds.</t>
  </si>
  <si>
    <t xml:space="preserve">single_credit_value &gt; 5000000 AND dispersal_beneficiary_count &gt;= 10 AND (dispersal_value / single_credit_value) &gt; 0.80 AND dispersal_window_hours &lt;= 48 AND fanout_event_count &gt;= 3</t>
  </si>
  <si>
    <t xml:space="preserve">Seed credit &gt;= INR 50 lakh; &gt;= 10 beneficiaries; &gt; 80% of the credit dispersed; within 48 hours; &gt;= 3 such events in 12 months</t>
  </si>
  <si>
    <t xml:space="preserve">single_credit_value, dispersal_beneficiary_count, dispersal_value, dispersal_window_hours, fanout_event_count, beneficiary_first_seen_date</t>
  </si>
  <si>
    <t xml:space="preserve">Payroll, dividend, statutory refund and vendor-batch runs are structurally identical to fan-out, so exclude beneficiaries that appear in the Payroll Register, EPFO ECR Filing or TDS Returns (24Q / 26Q), and exclude government and utility payees. Loan disbursement to sub-borrowers by an NBFC and claim settlement by an insurer are also legitimate fan-outs — suppress by NIC code and regulator registration. The pattern becomes meaningful when beneficiaries were added to the payee list within 30 days of the transfer, when amounts to them are near-identical, when several beneficiaries share a bank branch IFSC, address or director, or when beneficiaries have no GST registration. Tighten for entities under two years old and where the seed credit itself came from an unrelated single payer, which makes the account a simple relay.</t>
  </si>
  <si>
    <t xml:space="preserve">UPI / IMPS / NEFT Transaction Log, Payroll Register</t>
  </si>
  <si>
    <t xml:space="preserve">A monthly payroll or vendor batch run naturally disperses one funding credit to many payees within a day.</t>
  </si>
  <si>
    <t xml:space="preserve">BNK-010 (funnel), BNK-004 (same-day in and out), BNK-024 (shared device across payees)</t>
  </si>
  <si>
    <t xml:space="preserve">BNK-012</t>
  </si>
  <si>
    <t xml:space="preserve">Counterparty entropy far outside sector norm (concentration or artificial diversity)</t>
  </si>
  <si>
    <t xml:space="preserve">Entropy measures how evenly money is spread across counterparties. Very low entropy means two or three parties are the whole business; suspiciously high, flat entropy means value was deliberately spread evenly, which real trade never does.</t>
  </si>
  <si>
    <t xml:space="preserve">(counterparty_entropy &lt; sector_entropy_p05 OR (counterparty_entropy &gt; sector_entropy_p95 AND value_gini &lt; 0.25)) AND distinct_counterparty_count &gt;= 8 AND annual_credit_value &gt; 20000000</t>
  </si>
  <si>
    <t xml:space="preserve">Shannon entropy of counterparty value shares outside the sector 5th/95th percentile; flat-diversity leg requires Gini of counterparty values &lt; 0.25; &gt;= 8 counterparties; annual credits floor INR 2 crore</t>
  </si>
  <si>
    <t xml:space="preserve">Rolling 12 months against peer distribution</t>
  </si>
  <si>
    <t xml:space="preserve">counterparty_entropy, sector_entropy_p05, sector_entropy_p95, value_gini, distinct_counterparty_count, annual_credit_value, nic_code</t>
  </si>
  <si>
    <t xml:space="preserve">Real commercial relationships are Pareto-shaped, so a Gini below 0.25 across eight or more counterparties is the stronger and rarer signal — a synthetic counterparty list built to look diversified. Suppress the low-entropy leg for tier-1 auto and electronics suppliers, contract manufacturers, captive service exporters and single-concession SPVs, which are single-customer by design and often by contract. Suppress the high-entropy leg for retail, hospitality, e-commerce sellers and logistics operators with genuinely fragmented books. Build peer percentiles on 2-digit NIC crossed with turnover band and require at least 30 peers, otherwise fall back to the absolute Gini test. Tighten where the counterparty set changes almost completely year on year, which combines artificial diversity with no durable relationships.</t>
  </si>
  <si>
    <t xml:space="preserve">Tier-1 suppliers and single-project SPVs legitimately bank with only one or two counterparties.</t>
  </si>
  <si>
    <t xml:space="preserve">BNK-015 (counterparty absent from books), FIN-004 (customer concentration), BNK-045 (identical narration across payers)</t>
  </si>
  <si>
    <t xml:space="preserve">FATF TBML typology; network analysis red flag</t>
  </si>
  <si>
    <t xml:space="preserve">BNK-013</t>
  </si>
  <si>
    <t xml:space="preserve">Counterparty Linkage</t>
  </si>
  <si>
    <t xml:space="preserve">High-value counterparties share address, director, mobile, email or IP with the subject</t>
  </si>
  <si>
    <t xml:space="preserve">The parties paying or being paid are not independent — they share a registered address, a director, a phone number, an email domain or a login IP with the subject. Money moving inside a hidden common-control group is not trade.</t>
  </si>
  <si>
    <t xml:space="preserve">linked_counterparty_share_of_value &gt; 0.40 AND linked_counterparty_count &gt;= 3 AND shared_identifier_type_count &gt;= 2 AND aoc2_related_party_disclosed_flag = FALSE</t>
  </si>
  <si>
    <t xml:space="preserve">&gt; 40% of throughput with counterparties sharing &gt;= 1 identifier; &gt;= 3 such counterparties; &gt;= 2 distinct identifier types across the set; and not disclosed as related parties in AOC-2</t>
  </si>
  <si>
    <t xml:space="preserve">Rolling 12 months; identifiers point in time</t>
  </si>
  <si>
    <t xml:space="preserve">linked_counterparty_share_of_value, linked_counterparty_count, shared_identifier_type_count, shared_identifier_class, aoc2_related_party_disclosed_flag, counterparty_pan</t>
  </si>
  <si>
    <t xml:space="preserve">The non-disclosure leg carries the weight: group companies transacting with each other is lawful and routine, but section 188 and AS-18/Ind AS 24 require disclosure, so an undisclosed link is the fraud, not the link itself. Suppress where the counterparties appear in AOC-2 Related Party Annexure or the consolidated AOC-4 CFS, and where a shared address is a genuine shared corporate park, business centre, co-working address or a common company-secretary office used by hundreds of unrelated firms — maintain a mass-address exclusion list or the rule will drown in false positives. Similarly discount shared IP where it is a bank branch, a CA firm doing filings for many clients, or a shared broadband range. Tighten to Critical where the shared identifier is a director, a DSC or authorised signatory, or a bank account beneficiary list, and where the linked counterparty was incorporated within 12 months of the transaction stream starting.</t>
  </si>
  <si>
    <t xml:space="preserve">Derived — cross-entity graph, Bank Statement, MCA Company Master Data</t>
  </si>
  <si>
    <t xml:space="preserve">AOC-2 Related Party Annexure, IP &amp; Device Fingerprint Log, DIN Master Data</t>
  </si>
  <si>
    <t xml:space="preserve">Group companies sharing a head office and directors trade with each other openly and the link is disclosed elsewhere.</t>
  </si>
  <si>
    <t xml:space="preserve">BNK-014 (round-trip loop), BNK-024 (shared device or signatory), FIN-040 (related-party share of turnover)</t>
  </si>
  <si>
    <t xml:space="preserve">Companies Act 2013 s.188; Ind AS 24; FATF beneficial-ownership typology</t>
  </si>
  <si>
    <t xml:space="preserve">BNK-014</t>
  </si>
  <si>
    <t xml:space="preserve">Circular Flows</t>
  </si>
  <si>
    <t xml:space="preserve">Round-trip loop: funds paid out return from the same or linked party in 30 days</t>
  </si>
  <si>
    <t xml:space="preserve">Money leaves for a counterparty and comes back, in whole or large part, within a few weeks. Round-tripping inflates turnover, creates fake purchases or returns diverted funds to the promoter.</t>
  </si>
  <si>
    <t xml:space="preserve">roundtrip_pair_count &gt;= 3 AND (returned_value / outbound_value_to_pair) &gt; 0.70 AND roundtrip_lag_days &lt;= 30 AND roundtrip_total_value &gt; 5000000</t>
  </si>
  <si>
    <t xml:space="preserve">&gt;= 3 loop events; return leg &gt; 70% of the outbound leg; lag &lt;= 30 days; loop value floor INR 50 lakh; count 2-hop loops via an intermediary as well as direct returns</t>
  </si>
  <si>
    <t xml:space="preserve">roundtrip_pair_count, returned_value, outbound_value_to_pair, roundtrip_lag_days, roundtrip_total_value, loop_hop_count</t>
  </si>
  <si>
    <t xml:space="preserve">Two-way trading is normal in several industries — job-work and processing (material out, finished goods back), scrap and recycling, back-to-back distribution, media barter, and any relationship where the same party is both customer and supplier. Suppress where GSTR-1 and GSTR-2A both show substantive invoices with matching e-way bills in both directions, and where the value ratio departs materially from 1:1 as it would in a real processing margin. Advances refunded on cancelled orders and security deposits returned are also innocent, so exclude narrations flagged as refund or deposit return where a credit note exists. Tighten sharply when the return value is within 2% of the outbound value, when the loop closes through a third entity sharing a director or address (2-hop), or when it repeats at quarter ends, which is turnover inflation for lender or investor optics.</t>
  </si>
  <si>
    <t xml:space="preserve">GSTR-1, GSTR-2A / 2B, E-Way Bill Data</t>
  </si>
  <si>
    <t xml:space="preserve">Job-work and back-to-back trading relationships genuinely see money and goods flow both ways with the same party.</t>
  </si>
  <si>
    <t xml:space="preserve">BNK-013 (shared identifiers), BNK-019 (quarter-end concentration), FIN-041 (circular sales and purchases)</t>
  </si>
  <si>
    <t xml:space="preserve">FATF TBML typology; SEBI circular trading typology</t>
  </si>
  <si>
    <t xml:space="preserve">BNK-015</t>
  </si>
  <si>
    <t xml:space="preserve">Major bank counterparties absent from the books or settling a third party's obligation</t>
  </si>
  <si>
    <t xml:space="preserve">Large sums are received from or paid to parties who appear nowhere in the sales ledger, purchase ledger or GST returns, or the payment settles a bill owed by someone else. Money without a matching commercial relationship means the account is being lent out.</t>
  </si>
  <si>
    <t xml:space="preserve">(unbooked_counterparty_value / total_throughput_value) &gt; 0.25 AND unbooked_counterparty_count &gt;= 5 AND third_party_settlement_count &gt;= 2 AND total_throughput_value &gt; 20000000</t>
  </si>
  <si>
    <t xml:space="preserve">&gt; 25% of throughput with counterparties absent from GSTR-1/GSTR-2A and the ledgers; &gt;= 5 such counterparties; &gt;= 2 payments where the invoice party differs from the paid party; throughput floor INR 2 crore</t>
  </si>
  <si>
    <t xml:space="preserve">unbooked_counterparty_value, total_throughput_value, unbooked_counterparty_count, third_party_settlement_count, gstr_counterparty_gstin_set, ledger_counterparty_set</t>
  </si>
  <si>
    <t xml:space="preserve">Many legitimate bank counterparties never appear in GST returns — banks, lenders, tax authorities, employees, directors, insurers, landlords under threshold, and exempt or unregistered small suppliers — so build an exclusion list by narration class and by PAN type before computing, otherwise this fires on everyone. Third-party settlement is common and lawful in group structures and in factoring, bill-discounting, escrow and TReDS arrangements; suppress where a tri-party agreement or a disclosed group arrangement exists. The rule bites when a supposed goods supplier is paid by an entity that never issued an invoice, or when receipts come from parties for whom no outward supply was ever declared. Tighten where the unbooked counterparty is itself struck off, GST-cancelled or newly incorporated, and where the value share exceeds 50%.</t>
  </si>
  <si>
    <t xml:space="preserve">Bank Statement, GSTR-1, GSTR-2A / 2B</t>
  </si>
  <si>
    <t xml:space="preserve">AOC-4 / AOC-4 XBRL Financial Statements, Tax Audit Report (Form 3CD), AOC-2 Related Party Annexure</t>
  </si>
  <si>
    <t xml:space="preserve">Payments to unregistered small suppliers, employees and statutory bodies legitimately never appear in GST counterparty data.</t>
  </si>
  <si>
    <t xml:space="preserve">BNK-013 (shared identifiers), BNK-027 (credits exceed declared turnover), GST-009 (ITC without matching supplier)</t>
  </si>
  <si>
    <t xml:space="preserve">FIU-IND red flag indicators; CGST Act s.16 credit chain</t>
  </si>
  <si>
    <t xml:space="preserve">BNK-016</t>
  </si>
  <si>
    <t xml:space="preserve">Cash Intensity</t>
  </si>
  <si>
    <t xml:space="preserve">Cash deposit ratio above sector norm and inconsistent with declared B2B supply mix</t>
  </si>
  <si>
    <t xml:space="preserve">A large share of credits is cash even though the entity's GST returns show it sells mostly to registered businesses, which pay by bank. Cash arriving where the paperwork says B2B means the cash has a different source than the declared sales.</t>
  </si>
  <si>
    <t xml:space="preserve">(cash_deposit_value / total_credit_value) &gt; 0.35 AND cash_deposit_ratio &gt; sector_cash_ratio_p90 AND (b2c_outward_supply_value / total_outward_supply_value) &lt; 0.30 AND cash_deposit_value &gt; 5000000</t>
  </si>
  <si>
    <t xml:space="preserve">Cash &gt; 35% of credits and above sector 90th percentile; B2C share of GSTR-1 outward supply &lt; 30%; annual cash deposits floor INR 50 lakh</t>
  </si>
  <si>
    <t xml:space="preserve">Current FY, compared with sector distribution</t>
  </si>
  <si>
    <t xml:space="preserve">cash_deposit_value, total_credit_value, cash_deposit_ratio, sector_cash_ratio_p90, b2c_outward_supply_value, total_outward_supply_value, nic_code</t>
  </si>
  <si>
    <t xml:space="preserve">India is legitimately cash-heavy in retail trade, petrol pumps, restaurants and QSR, transport and trucking, jewellery, agri-mandi trade, hospitals and diagnostics, and small construction — for these the sector percentile does the work and the absolute ratio should be raised to 70% or the rule suppressed. The discriminating leg is the B2B/B2C mismatch: a wholesaler or industrial supplier filing almost entirely B2B invoices has no honest reason to bank large cash, and section 269ST caps any single cash receipt at INR 2 lakh per person per day per transaction, so claimed cash sales above that are already unlawful. Cross-check SFT-004 in AIS / TIS, which reports current-account cash deposits aggregating INR 50 lakh or more in a year. Tighten where cash deposits rise while GST outward supply is flat, where the depositor names are not employees, and where cash is followed within days by transfers out.</t>
  </si>
  <si>
    <t xml:space="preserve">Bank Statement, GSTR-1, AIS / TIS</t>
  </si>
  <si>
    <t xml:space="preserve">GSTR-3B, Tax Audit Report (Form 3CD), Form 26AS</t>
  </si>
  <si>
    <t xml:space="preserve">Retail, petrol pump and transport businesses genuinely collect most of their receipts in cash.</t>
  </si>
  <si>
    <t xml:space="preserve">BNK-006 (cash structuring below CTR), BNK-018 (withdrawal after credit), GST-006 (B2C supply inconsistent with cash)</t>
  </si>
  <si>
    <t xml:space="preserve">FIU-IND CTR / STR practice; Income Tax Act s.269ST; Rule 114E SFT-004</t>
  </si>
  <si>
    <t xml:space="preserve">BNK-017</t>
  </si>
  <si>
    <t xml:space="preserve">Cash Geography</t>
  </si>
  <si>
    <t xml:space="preserve">Cash deposited at branches far from base or in multiple cities the same day</t>
  </si>
  <si>
    <t xml:space="preserve">Cash is paid in at branches hundreds of kilometres from where the business operates, sometimes in several cities on the same day. Physically impossible or unexplained deposit geography means someone else is feeding the account.</t>
  </si>
  <si>
    <t xml:space="preserve">(remote_branch_cash_value / total_cash_deposit_value) &gt; 0.30 AND max_deposit_distance_km &gt; 250 AND distinct_deposit_city_count_same_day &gt;= 3 AND total_cash_deposit_value &gt; 2000000</t>
  </si>
  <si>
    <t xml:space="preserve">&gt; 30% of cash deposited at branches &gt; 250 km from registered office or any declared place of business; or &gt;= 3 distinct cities on one day; annual cash floor INR 20 lakh</t>
  </si>
  <si>
    <t xml:space="preserve">Rolling 12 months, same-day leg evaluated daily</t>
  </si>
  <si>
    <t xml:space="preserve">remote_branch_cash_value, total_cash_deposit_value, max_deposit_distance_km, distinct_deposit_city_count_same_day, deposit_branch_ifsc, gst_additional_place_of_business</t>
  </si>
  <si>
    <t xml:space="preserve">Distance must be measured against every declared premises, not just the registered office — pull additional places of business from the GST Registration Certificate (REG-06) and branch or depot addresses from the Board Report, or a genuine multi-state distributor will fire on every deposit. Transport operators, courier and logistics firms, field-collection NBFCs, FMCG distributors with upcountry sales staff and construction contractors with site offices legitimately deposit far from head office. Cash-in-transit and franchise collection models do the same. The same-day multi-city leg is the strong one because a single set of hands cannot be in three cities at once, so keep it even when the distance leg is suppressed. Tighten where deposits are made by third-party individuals whose names do not appear in the Payroll Register or EPFO ECR Filing, and where deposit locations cluster in known hawala corridors or border districts.</t>
  </si>
  <si>
    <t xml:space="preserve">Bank Statement, GST Registration Certificate (REG-06), MCA Company Master Data</t>
  </si>
  <si>
    <t xml:space="preserve">INC-22 Registered Office, Board Report, Payroll Register</t>
  </si>
  <si>
    <t xml:space="preserve">Distributors and transport operators legitimately let field staff bank collections at whichever branch is nearest.</t>
  </si>
  <si>
    <t xml:space="preserve">BNK-006 (cash structuring), BNK-023 (account operated by non-signatory), ADR-002 (no physical presence at registered office)</t>
  </si>
  <si>
    <t xml:space="preserve">FIU-IND red flag indicators; PMLA Rule 3</t>
  </si>
  <si>
    <t xml:space="preserve">BNK-018</t>
  </si>
  <si>
    <t xml:space="preserve">Cash Extraction</t>
  </si>
  <si>
    <t xml:space="preserve">Large cash withdrawals within 48 hours of matching non-cash credits</t>
  </si>
  <si>
    <t xml:space="preserve">Big transfers come in and are taken out as cash almost immediately. Converting bank money to cash right after receipt ends the audit trail and is the classic final step of an accommodation-entry chain.</t>
  </si>
  <si>
    <t xml:space="preserve">post_credit_cash_withdrawal_value &gt; 2000000 AND (post_credit_cash_withdrawal_value / linked_credit_value) &gt; 0.50 AND withdrawal_lag_days &lt;= 2 AND post_credit_withdrawal_event_count &gt;= 4</t>
  </si>
  <si>
    <t xml:space="preserve">Cash out &gt; 50% of the linked credit within 48 hours; &gt;= 4 events in 12 months; aggregate cash withdrawn floor INR 20 lakh; also flag any FY where section 194N TDS appears in Form 26AS</t>
  </si>
  <si>
    <t xml:space="preserve">post_credit_cash_withdrawal_value, linked_credit_value, withdrawal_lag_days, post_credit_withdrawal_event_count, tds_194n_amount, cash_withdrawal_mode</t>
  </si>
  <si>
    <t xml:space="preserve">Section 194N gives a free corroborating feed: TDS is deducted on aggregate cash withdrawals above INR 1 crore in a financial year, or above INR 20 lakh for a non-filer, so a 194N entry in Form 26AS proves heavy cash extraction even without the statement. Legitimate heavy withdrawers are labour contractors and staffing firms paying daily wages, mandi and agri-procurement agents buying from farmers, transport operators funding drivers, and film and event producers — for these check whether the withdrawal is matched by payroll, EPFO or ESIC records and by section 40A(3) disallowances in the Tax Audit Report. Suppress where the entity is a bank-appointed business correspondent or an ATM cash-replenishment agency. Tighten where withdrawal is by bearer cheque or self-cheque signed by a non-director, where it happens at a remote branch, or where the preceding credit came from a party with no GST registration.</t>
  </si>
  <si>
    <t xml:space="preserve">Tax Audit Report (Form 3CD), Payroll Register, AIS / TIS</t>
  </si>
  <si>
    <t xml:space="preserve">Labour contractors and agri-procurement agents genuinely draw cash to pay daily wages and farmer suppliers.</t>
  </si>
  <si>
    <t xml:space="preserve">BNK-001 (mirror pairs), BNK-043 (bearer and sequential cheques), FIN-007 (negligible declared payroll)</t>
  </si>
  <si>
    <t xml:space="preserve">FIU-IND red flag indicators; Income Tax Act s.194N and s.40A(3)</t>
  </si>
  <si>
    <t xml:space="preserve">BNK-019</t>
  </si>
  <si>
    <t xml:space="preserve">Timing Concentration</t>
  </si>
  <si>
    <t xml:space="preserve">Transaction value concentrated in the last days of month, quarter or financial year</t>
  </si>
  <si>
    <t xml:space="preserve">A disproportionate share of the year's money moves in the closing days of reporting periods, especially the last week of March. Period-end bunching suggests transactions created for the accounts rather than for the business.</t>
  </si>
  <si>
    <t xml:space="preserve">(period_end_window_value / annual_throughput_value) &gt; 0.35 AND march_last_week_value_share &gt; 0.15 AND period_end_window_txn_share &lt; period_end_window_value_share AND annual_throughput_value &gt; 20000000</t>
  </si>
  <si>
    <t xml:space="preserve">&gt; 35% of annual value in the last 3 working days of months, quarters and the FY; &gt; 15% in the last 7 days of March alone; value share materially exceeding transaction-count share; throughput floor INR 2 crore</t>
  </si>
  <si>
    <t xml:space="preserve">period_end_window_value, annual_throughput_value, march_last_week_value_share, period_end_window_txn_share, period_end_window_value_share, transaction_date</t>
  </si>
  <si>
    <t xml:space="preserve">Month-end bunching is normal wherever credit terms are calendar-based — most B2B businesses collect on 30/60/90-day cycles that mature at month end, EPC and infrastructure entities bill on certified milestones that clear at quarter end, and government suppliers are paid in the March budget-exhaustion rush, which alone can explain a large March share. Suppress or heavily discount for entities whose main customers are government departments or PSUs, for project and EPC entities, and for seasonal sectors (agri at harvest, retail at festivals) where seasonality should be modelled separately from period-end. The sharper signal is value concentration without transaction-count concentration, that is a handful of very large entries at period end, and a March-end pattern that reverses in the first week of April. Tighten where these entries are round amounts, are with related or newly incorporated parties, or coincide with lender covenant testing dates.</t>
  </si>
  <si>
    <t xml:space="preserve">GSTR-1, AOC-4 / AOC-4 XBRL Financial Statements</t>
  </si>
  <si>
    <t xml:space="preserve">Standard 30 to 90 day credit terms and government March budget spending naturally bunch collections at period ends.</t>
  </si>
  <si>
    <t xml:space="preserve">BNK-014 (round-trip loop), BNK-009 (round-figure density), FIN-020 (revenue concentrated in Q4)</t>
  </si>
  <si>
    <t xml:space="preserve">FATF TBML typology; window-dressing red flag</t>
  </si>
  <si>
    <t xml:space="preserve">BNK-020</t>
  </si>
  <si>
    <t xml:space="preserve">Timing Anomaly</t>
  </si>
  <si>
    <t xml:space="preserve">High share of value moved after hours, on weekends or on public holidays</t>
  </si>
  <si>
    <t xml:space="preserve">Large transfers are initiated outside business hours or on days when the company's offices are shut. Odd-hour activity suggests the account is operated by someone other than the stated staff, or is being used when oversight is low.</t>
  </si>
  <si>
    <t xml:space="preserve">(off_hours_debit_value / total_debit_value) &gt; 0.30 AND off_hours_txn_count &gt;= 25 AND holiday_weekend_value_share &gt; 0.15 AND avg_off_hours_ticket_size &gt; 500000</t>
  </si>
  <si>
    <t xml:space="preserve">&gt; 30% of debit value initiated between 21:00 and 06:00 IST, or on Sundays and gazetted holidays; &gt;= 25 such transactions; average off-hours ticket &gt; INR 5 lakh</t>
  </si>
  <si>
    <t xml:space="preserve">off_hours_debit_value, total_debit_value, off_hours_txn_count, holiday_weekend_value_share, avg_off_hours_ticket_size, transaction_timestamp</t>
  </si>
  <si>
    <t xml:space="preserve">This indicator has weakened a great deal since NEFT went 24x7 in December 2019 and RTGS in December 2020, and UPI has always been round-the-clock, so timing alone now proves very little — keep the weight low and use it only as a corroborator. Suppress entirely for e-commerce, gaming, food delivery, aggregator and any consumer-facing business with genuine night trade, and for entities with export operations timed to US or European hours. Standing instructions, auto-sweeps, EMI debits and scheduled bulk files often post at night without any human involvement, so exclude system-initiated narrations and count only channel-initiated transactions with a session record. It becomes meaningful when off-hours transfers correlate with a login IP or device that differs from the daytime pattern, or when they cluster in the hours immediately after a large credit.</t>
  </si>
  <si>
    <t xml:space="preserve">Bank Statement, IP &amp; Device Fingerprint Log</t>
  </si>
  <si>
    <t xml:space="preserve">NEFT, RTGS and UPI operate 24x7 and scheduled or automated payments legitimately post outside office hours.</t>
  </si>
  <si>
    <t xml:space="preserve">BNK-024 (shared device or signatory), BNK-025 (session geolocation mismatch), BNK-023 (non-signatory operator)</t>
  </si>
  <si>
    <t xml:space="preserve">FIU-IND red flag indicators; RBI 24x7 NEFT/RTGS circulars</t>
  </si>
  <si>
    <t xml:space="preserve">BNK-021</t>
  </si>
  <si>
    <t xml:space="preserve">Account Lifecycle</t>
  </si>
  <si>
    <t xml:space="preserve">Dormant or inoperative account reactivated with immediate high-value throughput</t>
  </si>
  <si>
    <t xml:space="preserve">An account with no activity for years suddenly moves crores within weeks of waking up. Dormant accounts with clean histories are bought or borrowed precisely because they look established.</t>
  </si>
  <si>
    <t xml:space="preserve">dormancy_days_before_reactivation &gt;= 365 AND throughput_30d_after_reactivation &gt; 5000000 AND (throughput_30d_after_reactivation / prior_year_throughput_value) &gt; 10 AND reactivation_kyc_update_flag = FALSE</t>
  </si>
  <si>
    <t xml:space="preserve">Dormancy &gt;= 12 months (RBI treats 24 months without customer-induced activity as inoperative); &gt; INR 50 lakh in the first 30 days after revival; &gt; 10x the prior year's throughput</t>
  </si>
  <si>
    <t xml:space="preserve">36 months history, 90-day post-revival window</t>
  </si>
  <si>
    <t xml:space="preserve">dormancy_days_before_reactivation, throughput_30d_after_reactivation, prior_year_throughput_value, reactivation_kyc_update_flag, signatory_change_date, mca_company_status</t>
  </si>
  <si>
    <t xml:space="preserve">Genuine revivals happen: seasonal and project entities go quiet between contracts, entities in litigation or under NCLT resolution stop trading and restart, startups sit idle until funding closes, and dormant status under section 455 can be lawfully reversed by filing MSC-4. Suppress where the revival coincides with a documented event — a fresh Loan Sanction / Facility Letter, a PAS-3 allotment showing new funding, a tender award, or a resolution plan approval. The signal is severe when revival is preceded by a change of directors (DIR-12) or authorised signatory, when KYC was not refreshed, when the registered office moved shortly before, or when the entity is a shelf company acquired off the shelf. Tighten to Critical where the revived account's counterparties are all new and the throughput is passed on within days.</t>
  </si>
  <si>
    <t xml:space="preserve">Bank Statement, MCA Company Master Data</t>
  </si>
  <si>
    <t xml:space="preserve">MSC-1 / MSC-3 Dormant Status, DIR-12 Director Change, Bank Account Opening / KYC File</t>
  </si>
  <si>
    <t xml:space="preserve">A seasonal or project company genuinely restarts banking when it wins a new contract after an idle year.</t>
  </si>
  <si>
    <t xml:space="preserve">BNK-026 (signatory change before burst), BNK-022 (burst and die shape), CMP-002 (dormant status with live activity)</t>
  </si>
  <si>
    <t xml:space="preserve">RBI inoperative account norms; FIU-IND red flag indicators</t>
  </si>
  <si>
    <t xml:space="preserve">BNK-022</t>
  </si>
  <si>
    <t xml:space="preserve">Burst-and-die shape: near-total throughput inside a short window of the account's life</t>
  </si>
  <si>
    <t xml:space="preserve">The account is opened, runs enormous volumes for a few weeks or months, then goes silent for good. Shell accounts are used hard for one purpose and abandoned before anyone asks questions.</t>
  </si>
  <si>
    <t xml:space="preserve">(peak_window_throughput_value / lifetime_throughput_value) &gt; 0.80 AND peak_window_days &lt;= 90 AND days_since_last_transaction &gt;= 120 AND lifetime_throughput_value &gt; 10000000 AND account_age_days &gt;= 270</t>
  </si>
  <si>
    <t xml:space="preserve">&gt; 80% of lifetime throughput inside any 90-day window; silent for &gt;= 120 days since; lifetime throughput floor INR 1 crore; account at least 9 months old so the shape is observable</t>
  </si>
  <si>
    <t xml:space="preserve">Full account life, minimum 9 months</t>
  </si>
  <si>
    <t xml:space="preserve">peak_window_throughput_value, lifetime_throughput_value, peak_window_days, days_since_last_transaction, account_age_days, account_open_date</t>
  </si>
  <si>
    <t xml:space="preserve">Legitimate short-burst accounts are common: escrow and designated accounts for a single transaction, IPO and rights-issue collection accounts, project SPV accounts for one milestone, event and exhibition entities, and accounts opened for a one-off government tender. Suppress where the account is contractually purpose-bound (escrow, TRA, nodal, dividend or refund account) or where the entity itself is an SPV incorporated for one concession. First-year entities can show a lopsided shape simply because the denominator is short, so enforce the minimum account age. Tighten when the burst window ends immediately before a GST return due date or an assessment notice, when GST registration was cancelled shortly after, when the entity stopped filing with the ROC in the same period, or when the same directors appear on other accounts showing the identical shape at a later date, which indicates serial account cycling.</t>
  </si>
  <si>
    <t xml:space="preserve">Bank Statement, Bank Account Opening / KYC File</t>
  </si>
  <si>
    <t xml:space="preserve">GST Cancellation / Suspension Order, MCA Company Master Data</t>
  </si>
  <si>
    <t xml:space="preserve">Escrow, IPO collection and single-project SPV accounts are designed to be busy once and then idle.</t>
  </si>
  <si>
    <t xml:space="preserve">BNK-021 (dormant revival), BNK-023 (non-signatory operator), CMP-009 (GST cancelled after burst)</t>
  </si>
  <si>
    <t xml:space="preserve">FIU-IND money mule typology; SEBI vanishing companies</t>
  </si>
  <si>
    <t xml:space="preserve">BNK-023</t>
  </si>
  <si>
    <t xml:space="preserve">Account Control</t>
  </si>
  <si>
    <t xml:space="preserve">Account operated by a person who is not a director, partner or authorised signatory</t>
  </si>
  <si>
    <t xml:space="preserve">The person actually initiating and authorising payments is not named in the board resolution, the bank mandate or the MCA records. When an outsider runs the account, the registered owners are nominees and the entity is being used as a front.</t>
  </si>
  <si>
    <t xml:space="preserve">operator_identity_not_in_authorised_set = TRUE AND (operator_initiated_value / total_debit_value) &gt; 0.50 AND board_resolution_authorisation_flag = FALSE AND total_debit_value &gt; 5000000</t>
  </si>
  <si>
    <t xml:space="preserve">N/A — categorical; escalate when the unauthorised operator initiates &gt; 50% of debit value or any single debit above INR 25 lakh</t>
  </si>
  <si>
    <t xml:space="preserve">Rolling 12 months; identity records point in time</t>
  </si>
  <si>
    <t xml:space="preserve">operator_identity_not_in_authorised_set, operator_initiated_value, total_debit_value, board_resolution_authorisation_flag, mandate_signatory_list, director_din_list</t>
  </si>
  <si>
    <t xml:space="preserve">Delegation is normal and lawful: accountants, CFOs, company secretaries and outsourced accounting firms routinely operate corporate net banking as makers, and family businesses let a relative operate. So the rule must compare the operator against the full authorised set — mandate holders, board-resolution authorisations under MGT-14, power-of-attorney holders and DSC holders in the Signatory Details register — not merely against the director list, or it fires on every professionally run company. It becomes serious when the operator is not an employee (absent from Payroll Register, EPFO ECR Filing and TDS Returns), when the same individual operates accounts of several unrelated entities, when directors are of modest means or are employees of the operator, or when the operator holds the DSC and the OTP device. Tighten to immediate STR-grade escalation where the operator is a known entry provider, an adverse-media subject or a person on a Sanctions &amp; PEP List.</t>
  </si>
  <si>
    <t xml:space="preserve">Bank Account Opening / KYC File, IP &amp; Device Fingerprint Log, Signatory Details / DSC Register</t>
  </si>
  <si>
    <t xml:space="preserve">MGT-14 Resolutions, DIR-12 Director Change, Payroll Register</t>
  </si>
  <si>
    <t xml:space="preserve">An accountant or outsourced finance provider legitimately operates the net-banking channel as an authorised maker.</t>
  </si>
  <si>
    <t xml:space="preserve">BNK-024 (common-control cluster), BNK-025 (session geolocation mismatch), DIR-006 (dummy or nominee director profile)</t>
  </si>
  <si>
    <t xml:space="preserve">RBI Master Direction on KYC; PMLA beneficial-owner provisions; FIU-IND mule typology</t>
  </si>
  <si>
    <t xml:space="preserve">BNK-024</t>
  </si>
  <si>
    <t xml:space="preserve">Signatory, device, IP or beneficiary list shared across unrelated accounts</t>
  </si>
  <si>
    <t xml:space="preserve">The same authorised signatory, login device fingerprint, IP address or saved beneficiary list appears across several accounts of supposedly unconnected companies. Shared operating fingerprints mean one hand is running many entities.</t>
  </si>
  <si>
    <t xml:space="preserve">shared_control_entity_count &gt;= 4 AND shared_marker_type_count &gt;= 2 AND cluster_common_ownership_disclosed_flag = FALSE AND cluster_intra_flow_share &gt; 0.20</t>
  </si>
  <si>
    <t xml:space="preserve">&gt;= 4 entities in the cluster; &gt;= 2 distinct shared markers (signatory, device hash, IP, beneficiary list, mobile, email); no disclosed group relationship; &gt; 20% of throughput flows inside the cluster</t>
  </si>
  <si>
    <t xml:space="preserve">shared_control_entity_count, shared_marker_type_count, cluster_common_ownership_disclosed_flag, cluster_intra_flow_share, shared_signatory_pan, device_fingerprint_hash</t>
  </si>
  <si>
    <t xml:space="preserve">Shared markers have benign mass sources that must be excluded first or the cluster will be enormous and useless: chartered accountant and company secretary firms file and bank for hundreds of clients from one office IP and one device, business centres and co-working spaces share NAT IPs, group shared-service centres run treasury for all subsidiaries, and family businesses share a signatory across genuinely disclosed companies. Suppress where the shared signatory is a professional intermediary, where the IP maps to a known service-provider ASN, and where the entities appear together in AOC-4 CFS Consolidated or AOC-2. Require at least two independent marker types before treating a cluster as real. Tighten to Critical where the cluster also shows internal money flow, where several members were incorporated within a short window, and where the shared beneficiary list means the same payees are pre-saved in accounts of unrelated firms, which has no innocent explanation.</t>
  </si>
  <si>
    <t xml:space="preserve">Derived — cross-entity graph, IP &amp; Device Fingerprint Log, Bank Account Opening / KYC File</t>
  </si>
  <si>
    <t xml:space="preserve">Signatory Details / DSC Register, DIN Master Data, MGT-7 / MGT-7A Annual Return</t>
  </si>
  <si>
    <t xml:space="preserve">A CA firm or shared-service centre legitimately operates net banking for many client entities from one office network.</t>
  </si>
  <si>
    <t xml:space="preserve">BNK-023 (non-signatory operator), BNK-013 (counterparty shares identifiers), NET-006 (shared address across entities)</t>
  </si>
  <si>
    <t xml:space="preserve">FATF beneficial-ownership typology; RBI Master Direction on KYC</t>
  </si>
  <si>
    <t xml:space="preserve">BNK-025</t>
  </si>
  <si>
    <t xml:space="preserve">Net-banking sessions geolocated where the entity claims no presence</t>
  </si>
  <si>
    <t xml:space="preserve">The account is consistently operated from a city, state or country in which the company has no office, staff or GST registration. Where the money is actually controlled is more truthful than where the company says it sits.</t>
  </si>
  <si>
    <t xml:space="preserve">(offsite_session_value_share &gt; 0.60 OR foreign_ip_session_count &gt;= 5) AND dominant_session_geo NOT IN declared_location_set AND distinct_session_geo_count &lt;= 3 AND total_debit_value &gt; 5000000</t>
  </si>
  <si>
    <t xml:space="preserve">&gt; 60% of session-initiated value from a location not in the declared set (registered office, GST places of business, branch list), or &gt;= 5 sessions from a foreign IP; debit value floor INR 50 lakh</t>
  </si>
  <si>
    <t xml:space="preserve">offsite_session_value_share, foreign_ip_session_count, dominant_session_geo, declared_location_set, distinct_session_geo_count, session_ip_asn</t>
  </si>
  <si>
    <t xml:space="preserve">IP geolocation is noisy and must be treated as indicative, not proof: mobile carrier-grade NAT frequently reports the circle gateway city rather than the user's town, VPNs and corporate proxies relocate traffic, and remote or hybrid working means promoters legitimately bank from another city. Exclude mobile ASNs from the strict test and rely on repeated fixed-line sessions. Suppress for genuinely multi-location groups, for exporters and foreign subsidiaries whose parent treasury operates from abroad under a disclosed arrangement, and for entities whose directors are declared non-residents. The finding is meaningful when a single non-declared geography dominates, when it matches the location of an unrelated cluster member, or when the geography is a jurisdiction the entity has no trade link with. Tighten where foreign sessions coincide with outward remittances or with beneficiary additions.</t>
  </si>
  <si>
    <t xml:space="preserve">IP &amp; Device Fingerprint Log, GST Registration Certificate (REG-06)</t>
  </si>
  <si>
    <t xml:space="preserve">INC-22 Registered Office, Bank Account Opening / KYC File, MCA Company Master Data</t>
  </si>
  <si>
    <t xml:space="preserve">Promoters and finance staff legitimately operate net banking while travelling or working remotely from another city.</t>
  </si>
  <si>
    <t xml:space="preserve">BNK-023 (non-signatory operator), BNK-024 (common-control cluster), ADR-002 (no physical presence at registered office)</t>
  </si>
  <si>
    <t xml:space="preserve">RBI Master Direction on KYC; FIU-IND red flag indicators</t>
  </si>
  <si>
    <t xml:space="preserve">BNK-026</t>
  </si>
  <si>
    <t xml:space="preserve">Signatory or operating mandate changed immediately before a throughput surge</t>
  </si>
  <si>
    <t xml:space="preserve">The bank mandate, authorised signatory or director set changes and within weeks the account starts moving many times its usual volume. Control is handed over first and the money follows, which is how a clean shell is put to work.</t>
  </si>
  <si>
    <t xml:space="preserve">days_between_mandate_change_and_surge &lt;= 45 AND (post_change_90d_throughput / pre_change_90d_throughput) &gt; 5 AND post_change_90d_throughput &gt; 10000000 AND beneficiary_added_count_post_change &gt;= 5</t>
  </si>
  <si>
    <t xml:space="preserve">Surge within 45 days of the mandate or DIR-12 change; post-change 90-day throughput &gt; 5x the prior 90 days and above INR 1 crore; &gt;= 5 new beneficiaries added after the change</t>
  </si>
  <si>
    <t xml:space="preserve">180 days either side of the change date</t>
  </si>
  <si>
    <t xml:space="preserve">days_between_mandate_change_and_surge, post_change_90d_throughput, pre_change_90d_throughput, beneficiary_added_count_post_change, mandate_change_date, dir12_filing_date</t>
  </si>
  <si>
    <t xml:space="preserve">Ordinary corporate events produce the same shape and must be excluded: a genuine acquisition or investment round changes the board and then scales the business, a new CFO or finance head is added to the mandate before a growth phase, and a bank-mandated change follows a fresh working-capital sanction. Suppress where a PAS-3 allotment, a share transfer disclosed in MGT-7, a Loan Sanction / Facility Letter or an NCLT-approved resolution plan explains the change. The suspicious version is a change of all directors or signatories at once in a company with no employees and no assets, retention of the old name, GSTIN and vintage, and a surge with entirely new counterparties. Tighten where the incoming signatory is not a director, where the registered office changed in the same quarter, or where the outgoing directors resigned by DIR-11 without replacement filings.</t>
  </si>
  <si>
    <t xml:space="preserve">Bank Account Opening / KYC File, DIR-12 Director Change, Bank Statement</t>
  </si>
  <si>
    <t xml:space="preserve">MGT-14 Resolutions, DIR-11 Director Resignation, MGT-7 / MGT-7A Annual Return</t>
  </si>
  <si>
    <t xml:space="preserve">A genuine acquisition or funding round changes the board and the mandate and is naturally followed by higher volumes.</t>
  </si>
  <si>
    <t xml:space="preserve">BNK-021 (dormant revival), BNK-023 (non-signatory operator), DIR-011 (wholesale board replacement in a shell)</t>
  </si>
  <si>
    <t xml:space="preserve">FIU-IND red flag indicators; Companies Act 2013 s.179 board authorisation</t>
  </si>
  <si>
    <t xml:space="preserve">BNK-027</t>
  </si>
  <si>
    <t xml:space="preserve">Book Versus Bank</t>
  </si>
  <si>
    <t xml:space="preserve">Bank credits far exceed declared turnover in GST and income tax returns</t>
  </si>
  <si>
    <t xml:space="preserve">Far more money passes through the account than the company reports as sales anywhere. Unexplained excess credits mean either hidden income or that the account is carrying someone else's money.</t>
  </si>
  <si>
    <t xml:space="preserve">(total_bank_credit_value - non_revenue_credit_value) / declared_turnover_value &gt; 1.50 AND (total_bank_credit_value - non_revenue_credit_value - declared_turnover_value) &gt; 10000000</t>
  </si>
  <si>
    <t xml:space="preserve">Adjusted credits &gt; 150% of the higher of GSTR-3B outward supply and ITR turnover; absolute unexplained gap floor INR 1 crore</t>
  </si>
  <si>
    <t xml:space="preserve">Current FY, reconciled annually</t>
  </si>
  <si>
    <t xml:space="preserve">total_bank_credit_value, non_revenue_credit_value, declared_turnover_value, gstr3b_outward_supply_value, itr_turnover_value, loan_credit_value</t>
  </si>
  <si>
    <t xml:space="preserve">The whole rule depends on stripping non-revenue credits properly, and getting this wrong is the main false-positive source — remove loan drawdowns and CC limit churn (which can inflate credits several times over on its own), share capital and PAS-3 allotment proceeds, inter-account and sweep transfers between the entity's own accounts, GST and income-tax refunds, security deposits, insurance claims, sale of assets, and reversed or bounced entries. Entities with a cash-credit account will show credits many times turnover purely from limit rotation, so either exclude CC accounts or net them. Legitimate excess also arises for agents and pure-agent arrangements where gross collections pass through but only commission is turnover, and for exporters receiving advances. Tighten where the gap persists across two years, where the entity has no borrowings to explain it, and where the excess credits come from counterparties absent from GSTR-1.</t>
  </si>
  <si>
    <t xml:space="preserve">Bank Statement, GSTR-3B, Income Tax Return (ITR-5 / ITR-6)</t>
  </si>
  <si>
    <t xml:space="preserve">GSTR-9 / 9C Annual Return, AOC-4 / AOC-4 XBRL Financial Statements, Form 26AS</t>
  </si>
  <si>
    <t xml:space="preserve">Cash-credit limit rotation and loan drawdowns inflate gross bank credits well above real sales without any wrongdoing.</t>
  </si>
  <si>
    <t xml:space="preserve">BNK-015 (unbooked counterparties), BNK-030 (undisclosed bank accounts), GST-003 (turnover mismatch between GSTR-1 and GSTR-3B)</t>
  </si>
  <si>
    <t xml:space="preserve">FIU-IND STR practice; CGST Act s.35; Income Tax Act s.68 unexplained credits</t>
  </si>
  <si>
    <t xml:space="preserve">BNK-028</t>
  </si>
  <si>
    <t xml:space="preserve">Declared turnover with no matching bank inflow (paper sales)</t>
  </si>
  <si>
    <t xml:space="preserve">The company reports substantial sales but the bank shows nothing like that coming in, and receivables do not explain the gap. Sales that never turn into money are usually invoices issued for someone else's tax benefit.</t>
  </si>
  <si>
    <t xml:space="preserve">(revenue_linked_bank_credit_value / declared_turnover_value) &lt; 0.40 AND (closing_trade_receivables - opening_trade_receivables) &lt; 0.4 * declared_turnover_value AND declared_turnover_value &gt; 20000000 AND cash_deposit_value &lt; 0.1 * declared_turnover_value</t>
  </si>
  <si>
    <t xml:space="preserve">Revenue-linked credits &lt; 40% of declared turnover; receivable increase does not bridge the gap; turnover floor INR 2 crore; cash receipts do not explain it either</t>
  </si>
  <si>
    <t xml:space="preserve">revenue_linked_bank_credit_value, declared_turnover_value, closing_trade_receivables, opening_trade_receivables, cash_deposit_value, debtor_days</t>
  </si>
  <si>
    <t xml:space="preserve">Genuine reasons for the gap must be tested before scoring: collections banked into an account not in the sample (which is itself a finding under BNK-030), factoring or bill discounting where the financier pays rather than the customer, TReDS settlement, book adjustments and set-offs against payables with the same party, long-credit export cycles, and revenue recognised on percentage-of-completion in EPC and real estate where unbilled revenue legitimately outruns cash for a year or more. Suppress for infrastructure, EPC and real estate under Ind AS 115 unless the gap persists beyond two years. The strong version is turnover with debtor days above 270, a receivable balance that never converts, and customers who themselves do not exist. Tighten where the counterpart GSTR-2A of the buyers shows the invoices being used for input tax credit while no money ever moved.</t>
  </si>
  <si>
    <t xml:space="preserve">Bank Statement, GSTR-1, AOC-4 / AOC-4 XBRL Financial Statements</t>
  </si>
  <si>
    <t xml:space="preserve">GSTR-9 / 9C Annual Return, Tax Audit Report (Form 3CD), Income Tax Return (ITR-5 / ITR-6)</t>
  </si>
  <si>
    <t xml:space="preserve">Percentage-of-completion revenue and long credit cycles legitimately leave EPC and project revenue uncollected for a year.</t>
  </si>
  <si>
    <t xml:space="preserve">BNK-030 (undisclosed bank accounts), FIN-019 (implausible debtor days), GST-014 (invoices without e-way bills)</t>
  </si>
  <si>
    <t xml:space="preserve">FIU-IND STR practice; CGST Act s.122 fake invoicing; Ind AS 115</t>
  </si>
  <si>
    <t xml:space="preserve">BNK-029</t>
  </si>
  <si>
    <t xml:space="preserve">Bank charges or interest income imply volumes and balances the books do not show</t>
  </si>
  <si>
    <t xml:space="preserve">Bank charges are priced per transaction and per crore of cash handled, and interest income implies deposits. If charges or interest are far larger than the disclosed banking activity supports, there are accounts or flows outside the books.</t>
  </si>
  <si>
    <t xml:space="preserve">(implied_transaction_count_from_charges / booked_transaction_count) &gt; 2 AND bank_charge_expense &gt; 100000 AND (interest_income_194a / assumed_deposit_rate) &gt; 1.5 * disclosed_bank_and_deposit_balance</t>
  </si>
  <si>
    <t xml:space="preserve">Charges imply &gt; 2x the booked transaction count; charge expense floor INR 1 lakh; interest in Form 26AS section 194A implies average deposits &gt; 150% of disclosed bank and deposit balances at an assumed 6.5% rate</t>
  </si>
  <si>
    <t xml:space="preserve">bank_charge_expense, implied_transaction_count_from_charges, booked_transaction_count, interest_income_194a, disclosed_bank_and_deposit_balance, assumed_deposit_rate</t>
  </si>
  <si>
    <t xml:space="preserve">This is an indirect test and depends on the fee schedule, so calibrate the implied-count model to the actual bank tariff where the Loan Sanction / Facility Letter or statement narration gives it; otherwise use a conservative per-transaction average and treat the output as directional. Cash-handling charges, CMS and collection-service fees, and forex margin can dominate the charge line for legitimate reasons, so decompose the charge narration rather than using a single total. The interest leg is powerful because section 194A TDS in Form 26AS is filed by the bank independently of the company's own books, and interest cannot exist without a balance — a large 194A entry against a balance sheet showing negligible bank balances points to margin money, fixed deposits or accounts kept off the books. Suppress where deposits are lien-marked against bank guarantees or letters of credit and disclosed as such, and where interest is from inter-corporate deposits rather than banks.</t>
  </si>
  <si>
    <t xml:space="preserve">Form 26AS, AOC-4 / AOC-4 XBRL Financial Statements, Bank Statement</t>
  </si>
  <si>
    <t xml:space="preserve">AIS / TIS, Tax Audit Report (Form 3CD)</t>
  </si>
  <si>
    <t xml:space="preserve">Cash-handling and CMS collection fees inflate bank charges without implying any hidden transaction volume.</t>
  </si>
  <si>
    <t xml:space="preserve">BNK-030 (undisclosed bank accounts), BNK-027 (credits exceed declared turnover), FIN-025 (unexplained finance cost)</t>
  </si>
  <si>
    <t xml:space="preserve">Income Tax Act s.194A; CARO 2020 clause 3(ii)(b)</t>
  </si>
  <si>
    <t xml:space="preserve">BNK-030</t>
  </si>
  <si>
    <t xml:space="preserve">Bank accounts operated but not disclosed in the financial statements or tax returns</t>
  </si>
  <si>
    <t xml:space="preserve">An account appears in credit bureau, tax or counterparty data that the company never lists in its balance sheet, ITR schedule or tax audit report. Undisclosed banking is where the money the auditors never see is kept.</t>
  </si>
  <si>
    <t xml:space="preserve">undisclosed_account_count &gt;= 1 AND undisclosed_account_throughput_value &gt; 5000000 AND account_in_itr_schedule_flag = FALSE AND account_in_form3cd_flag = FALSE</t>
  </si>
  <si>
    <t xml:space="preserve">&gt;= 1 account with throughput above INR 50 lakh absent from the ITR bank-account schedule, Form 3CD particulars and the balance-sheet cash and bank note</t>
  </si>
  <si>
    <t xml:space="preserve">undisclosed_account_count, undisclosed_account_throughput_value, account_in_itr_schedule_flag, account_in_form3cd_flag, disclosed_account_ifsc_set, observed_account_ifsc_set</t>
  </si>
  <si>
    <t xml:space="preserve">Discovery sources matter — undisclosed accounts surface through counterparty statements, IFSC and account numbers printed on invoices, Form 26AS TDS credits paid into an unlisted account, GST refund credit instructions, CERSAI and charge filings mentioning an account, and the Credit Bureau Report showing facilities with a lender the books do not mention. Timing differences are the main benign cause: accounts opened late in the year, closed during the year, dormant zero-balance accounts kept only for a lapsed facility, and escrow or nodal accounts legally held for third parties that some preparers omit. Suppress for accounts with negligible throughput and for statutory escrow accounts disclosed in the notes. Tighten to Critical where the undisclosed account carries material cash deposits, where it is in a different state from all declared premises, or where its signatory differs from the disclosed accounts. Note ITR-6 requires all accounts held at any time in the year, so omission is itself a return defect.</t>
  </si>
  <si>
    <t xml:space="preserve">Credit Bureau Report (CIBIL / CRIF), Form 26AS, AOC-4 / AOC-4 XBRL Financial Statements</t>
  </si>
  <si>
    <t xml:space="preserve">An account opened or closed mid-year, or a dormant zero-balance account, is often left out of the disclosure schedule.</t>
  </si>
  <si>
    <t xml:space="preserve">BNK-027 (credits exceed declared turnover), BNK-029 (charges imply hidden volume), CMP-018 (auditor qualified on records)</t>
  </si>
  <si>
    <t xml:space="preserve">CARO 2020 clause 3(ii)(b); Income Tax Rules Form 3CD; Companies Act 2013 s.128</t>
  </si>
  <si>
    <t xml:space="preserve">BNK-031</t>
  </si>
  <si>
    <t xml:space="preserve">Credit Facility Abuse</t>
  </si>
  <si>
    <t xml:space="preserve">Loan drawdown transferred to related parties within 15 days</t>
  </si>
  <si>
    <t xml:space="preserve">Money drawn under a sanctioned facility leaves almost at once to group companies, directors or their associates instead of being used for the sanctioned purpose. Diversion of borrowed funds is the defined ground for wilful-defaulter classification.</t>
  </si>
  <si>
    <t xml:space="preserve">days_between_disbursement_and_onward_transfer &lt;= 15 AND (related_party_outflow_value / loan_disbursement_value) &gt; 0.50 AND loan_disbursement_value &gt; 5000000 AND sanctioned_end_use_match_flag = FALSE</t>
  </si>
  <si>
    <t xml:space="preserve">&gt; 50% of a drawdown moved to related or connected parties within 15 days; drawdown floor INR 50 lakh; end use not matching the sanctioned purpose in the facility letter</t>
  </si>
  <si>
    <t xml:space="preserve">30 days from each disbursement, reviewed over 3 FY</t>
  </si>
  <si>
    <t xml:space="preserve">days_between_disbursement_and_onward_transfer, related_party_outflow_value, loan_disbursement_value, sanctioned_end_use_match_flag, related_party_pan_set, facility_purpose_code</t>
  </si>
  <si>
    <t xml:space="preserve">Not every onward transfer is diversion: sanctioned purposes often legitimately include payment to a group supplier, funding a subsidiary named in the sanction, repaying an existing lender under a takeover or refinance, and paying an EPC contractor who happens to be a related party under a disclosed contract. Read the Loan Sanction / Facility Letter end-use clause before scoring, and suppress where the transfer matches a named purpose, where a chartered accountant end-use certificate exists, or where the related party is a consolidated subsidiary in AOC-4 CFS. Working-capital limits legitimately fund payments to any supplier including affiliates, so restrict the rule to term loans, project loans and one-time enhancements unless the working-capital drawdown goes to a party with no purchase invoices in GSTR-2A. Tighten to immediate escalation where funds return to the promoter, move to an entity sharing a director, or are withdrawn in cash, and where the same pattern repeats across two or more lenders.</t>
  </si>
  <si>
    <t xml:space="preserve">Bank Statement, Loan Sanction / Facility Letter, AOC-2 Related Party Annexure</t>
  </si>
  <si>
    <t xml:space="preserve">Credit Bureau Report (CIBIL / CRIF), CHG-1 / CHG-4 / CHG-9 Index of Charges, CARO Annexure</t>
  </si>
  <si>
    <t xml:space="preserve">A sanction may expressly permit on-lending to a named subsidiary or payment to a group EPC contractor.</t>
  </si>
  <si>
    <t xml:space="preserve">BNK-035 (wilful defaulter or SMA classification), BNK-013 (counterparty shares identifiers), CARO clause 3(ix)(d) short-term funds used long-term</t>
  </si>
  <si>
    <t xml:space="preserve">RBI Master Circular on Wilful Defaulters; CARO 2020 clause 3(ix)(d)</t>
  </si>
  <si>
    <t xml:space="preserve">BNK-032</t>
  </si>
  <si>
    <t xml:space="preserve">Borrowing Behaviour</t>
  </si>
  <si>
    <t xml:space="preserve">Multiple loans from different lenders within 90 days with a credit-enquiry spike</t>
  </si>
  <si>
    <t xml:space="preserve">The entity takes facilities from several unrelated lenders in quick succession and the bureau shows a burst of enquiries. Rapid multi-lender borrowing is how an entity extracts maximum credit before any lender notices the others.</t>
  </si>
  <si>
    <t xml:space="preserve">new_facility_count_90d &gt;= 3 AND distinct_lender_count_90d &gt;= 3 AND credit_enquiry_count_90d &gt;= 6 AND aggregate_new_sanction_value &gt; 10000000 AND consortium_or_multiple_banking_disclosed_flag = FALSE</t>
  </si>
  <si>
    <t xml:space="preserve">&gt;= 3 new facilities from &gt;= 3 lenders in 90 days; &gt;= 6 bureau enquiries in the same window; aggregate new sanction floor INR 1 crore; not disclosed as consortium or multiple banking</t>
  </si>
  <si>
    <t xml:space="preserve">Rolling 90 days, reviewed over 24 months</t>
  </si>
  <si>
    <t xml:space="preserve">new_facility_count_90d, distinct_lender_count_90d, credit_enquiry_count_90d, aggregate_new_sanction_value, consortium_or_multiple_banking_disclosed_flag, charge_creation_dates</t>
  </si>
  <si>
    <t xml:space="preserve">Multiple banking is entirely lawful in India and common for growing MSMEs, and a genuine expansion or a seasonal peak can produce several sanctions in a quarter — so the disclosure leg matters more than the count. Suppress where a consortium or multiple-banking arrangement is disclosed, where charges are duly filed in CHG-1 within 30 days for each facility, where lenders are clearly complementary (term loan plus working capital plus equipment finance plus a government-guaranteed scheme such as ECLGS or CGTMSE), and where the entity is refinancing at a lower rate. Enquiry counts are inflated by rate shopping and by aggregator platforms, so discount soft enquiries and count only lender-initiated hard pulls. Tighten where the entity has negligible fixed assets to secure the borrowing, where the facilities are unsecured, where sanctions cluster just before a change of directors, or where the borrowings do not appear in the next AOC-4.</t>
  </si>
  <si>
    <t xml:space="preserve">Credit Bureau Report (CIBIL / CRIF), CHG-1 / CHG-4 / CHG-9 Index of Charges</t>
  </si>
  <si>
    <t xml:space="preserve">Loan Sanction / Facility Letter, CERSAI Charge Registry, AOC-4 / AOC-4 XBRL Financial Statements</t>
  </si>
  <si>
    <t xml:space="preserve">A growing MSME legitimately adds working-capital, term and equipment facilities from different lenders in one quarter.</t>
  </si>
  <si>
    <t xml:space="preserve">BNK-031 (loan diverted to related parties), BNK-035 (SMA or default status), FIN-013 (no fixed assets to secure borrowing)</t>
  </si>
  <si>
    <t xml:space="preserve">RBI multiple banking / CRILC framework; Companies Act 2013 s.77 charge filing</t>
  </si>
  <si>
    <t xml:space="preserve">BNK-033</t>
  </si>
  <si>
    <t xml:space="preserve">Payment Discipline</t>
  </si>
  <si>
    <t xml:space="preserve">High cheque return or mandate bounce rate on an account showing large throughput</t>
  </si>
  <si>
    <t xml:space="preserve">Cheques and auto-debits keep bouncing for want of funds even though large sums pass through the account. Money moving through while obligations bounce means the balance is never really the company's to spend.</t>
  </si>
  <si>
    <t xml:space="preserve">cheque_return_count_12m &gt;= 6 AND (cheque_return_value / total_debit_value) &gt; 0.05 AND insufficient_funds_return_share &gt; 0.60 AND total_credit_value &gt; 20000000</t>
  </si>
  <si>
    <t xml:space="preserve">&gt;= 6 returns in 12 months; returned value &gt; 5% of debits; &gt; 60% returned for insufficient funds rather than technical reasons; annual credits floor INR 2 crore</t>
  </si>
  <si>
    <t xml:space="preserve">cheque_return_count_12m, cheque_return_value, total_debit_value, insufficient_funds_return_share, total_credit_value, return_reason_code</t>
  </si>
  <si>
    <t xml:space="preserve">Separate technical returns from funds returns before scoring — signature mismatch, date and words-figures differences, stale or post-dated instruments and account-closed returns say nothing about solvency, while return_reason_code 'insufficient funds' does. Genuine cash-flow stress in a real business produces the same pattern, so this is a distress indicator as much as a shell indicator and should be read alongside whether the entity has assets and employees. Suppress where the returns are on inward cheques deposited by the entity (the drawer's problem, not the subject's) unless the drawer is a related party, which would indicate accommodation cheques being passed around. Note RBI permits banks to withdraw cheque facility where four or more cheques of INR 1 crore or above are returned for insufficient funds in a year. Tighten where returns coexist with high throughput and near-zero end-of-day balances, or where section 138 complaints appear in the Litigation Database against the entity or its directors.</t>
  </si>
  <si>
    <t xml:space="preserve">Cheque Return / Bounce Data, Bank Statement</t>
  </si>
  <si>
    <t xml:space="preserve">Credit Bureau Report (CIBIL / CRIF), Litigation Database</t>
  </si>
  <si>
    <t xml:space="preserve">A genuine business under working-capital stress bounces cheques while still collecting and paying large sums.</t>
  </si>
  <si>
    <t xml:space="preserve">BNK-002 (balance decay), BNK-035 (SMA or default status), BNK-043 (sequential cheques to one party)</t>
  </si>
  <si>
    <t xml:space="preserve">Negotiable Instruments Act s.138; RBI cheque return discipline norms</t>
  </si>
  <si>
    <t xml:space="preserve">BNK-034</t>
  </si>
  <si>
    <t xml:space="preserve">Cash credit or overdraft limit fully drawn and never revolving</t>
  </si>
  <si>
    <t xml:space="preserve">The working-capital limit sits permanently at the sanctioned amount with almost no repayment churn. A real working-capital account swings up and down as stock is sold and debtors pay; a static full drawing means the money was taken out once and spent elsewhere.</t>
  </si>
  <si>
    <t xml:space="preserve">(avg_utilisation_ratio &gt; 0.95) AND credit_summation_to_limit_ratio &lt; 1.5 AND months_at_full_utilisation &gt;= 9 AND sanctioned_limit_value &gt; 5000000</t>
  </si>
  <si>
    <t xml:space="preserve">Average utilisation &gt; 95% of the sanctioned limit; annual credit summations in the CC account &lt; 1.5x the limit (a healthy account turns 6-12x); &gt;= 9 of 12 months at full drawing; limit floor INR 50 lakh</t>
  </si>
  <si>
    <t xml:space="preserve">avg_utilisation_ratio, credit_summation_to_limit_ratio, months_at_full_utilisation, sanctioned_limit_value, drawing_power_value, stock_statement_value</t>
  </si>
  <si>
    <t xml:space="preserve">Summation-to-limit ratio is the real test, not utilisation — many sound businesses run at 90-100% utilisation while still churning the account six or more times a year, and that is healthy. Suppress where the ratio is above 4x regardless of utilisation. Genuinely low churn is normal for entities on a term-loan-like ad hoc limit, for seasonal businesses in the off-season, and for entities whose sales realisations are routed to another bank under a disclosed multiple-banking arrangement, which is an unhealthy but not fraudulent diversion of the operating account. Compare drawing power against the stock and book-debt statements filed with the lender; a limit fully drawn against inflated or stale stock statements is the shell pattern. Tighten where utilisation is full, churn is under 1.0x, and the drawdown was followed by transfers to related parties, which converts this into a diversion case.</t>
  </si>
  <si>
    <t xml:space="preserve">Bank Statement, Loan Sanction / Facility Letter</t>
  </si>
  <si>
    <t xml:space="preserve">Credit Bureau Report (CIBIL / CRIF), AOC-4 / AOC-4 XBRL Financial Statements, CARO Annexure</t>
  </si>
  <si>
    <t xml:space="preserve">A seasonal business or one banking its collections elsewhere shows a fully drawn limit with little visible churn.</t>
  </si>
  <si>
    <t xml:space="preserve">BNK-031 (loan diverted to related parties), BNK-035 (SMA classification), CARO clause 3(ii)(b) quarterly returns not agreeing with books</t>
  </si>
  <si>
    <t xml:space="preserve">RBI working capital assessment norms; CARO 2020 clause 3(ii)(b)</t>
  </si>
  <si>
    <t xml:space="preserve">BNK-035</t>
  </si>
  <si>
    <t xml:space="preserve">Default Status</t>
  </si>
  <si>
    <t xml:space="preserve">SMA-2, wilful defaulter, written-off or settled status in credit bureau records</t>
  </si>
  <si>
    <t xml:space="preserve">The bureau shows the entity or its directors overdue beyond 60 days, classified as wilful defaulters, or with loans written off or settled for less than the amount due. A record of taking money and not returning it is the strongest available evidence of intent.</t>
  </si>
  <si>
    <t xml:space="preserve">(sma_classification IN ('SMA-2','NPA') OR wilful_defaulter_flag = TRUE OR written_off_settled_amount &gt; 1000000) AND (director_common_with_defaulting_entity_flag = TRUE OR entity_level_flag = TRUE)</t>
  </si>
  <si>
    <t xml:space="preserve">N/A — categorical; SMA-2 is 61-90 days overdue; write-off or settlement floor INR 10 lakh; include director-level bureau records and RBI wilful defaulter and CRILC lists (exposure &gt;= INR 5 crore)</t>
  </si>
  <si>
    <t xml:space="preserve">Point in time plus 7 years of bureau history</t>
  </si>
  <si>
    <t xml:space="preserve">sma_classification, wilful_defaulter_flag, written_off_settled_amount, director_common_with_defaulting_entity_flag, entity_level_flag, days_past_due</t>
  </si>
  <si>
    <t xml:space="preserve">Distinguish distress from design: a one-off settlement during a genuine downturn, a COVID-period restructuring, or a bureau record disputed and under correction should not be scored the same as a repeat pattern. Suppress single small settlements older than five years with clean conduct since. The director leg is where shell detection actually lives — a director who appears on three or more entities with written-off or wilful-defaulter records is running a serial pattern, so weight the count of linked defaulting entities more heavily than the amount. Also check the ROC Disqualified Director List and NCLT / NCLAT Orders for section 164(2) disqualification. Tighten to Critical where the default followed a rapid multi-lender borrowing burst, where funds were diverted to related parties, or where the entity stopped filing with the ROC at the same time, which together describe a bust-out.</t>
  </si>
  <si>
    <t xml:space="preserve">Credit Bureau Report (CIBIL / CRIF)</t>
  </si>
  <si>
    <t xml:space="preserve">ROC Disqualified Director List, NCLT / NCLAT Orders, Adverse Media / News Archive</t>
  </si>
  <si>
    <t xml:space="preserve">A genuine business downturn led to a one-time settlement that the bureau continues to report for years.</t>
  </si>
  <si>
    <t xml:space="preserve">BNK-031 (loan diversion), BNK-032 (multi-lender burst), DIR-014 (director linked to multiple defaulting entities)</t>
  </si>
  <si>
    <t xml:space="preserve">RBI Master Circular on Wilful Defaulters; RBI SMA / CRILC framework; Companies Act 2013 s.164(2)</t>
  </si>
  <si>
    <t xml:space="preserve">BNK-036</t>
  </si>
  <si>
    <t xml:space="preserve">No banking credit facility ever availed despite large declared turnover</t>
  </si>
  <si>
    <t xml:space="preserve">A company reporting crores of sales has never taken a working-capital limit or any loan, and has no charges registered. Real trading businesses need credit; entities that only pass paper through avoid lenders because lenders verify stock, debtors and premises.</t>
  </si>
  <si>
    <t xml:space="preserve">declared_turnover_value &gt; 100000000 AND credit_facility_count = 0 AND charge_count_registered = 0 AND entity_age_years &gt;= 3 AND working_capital_gap_value &gt; 20000000</t>
  </si>
  <si>
    <t xml:space="preserve">Turnover above INR 10 crore; zero facilities in the bureau and zero charges in CHG-1 or CERSAI; entity at least 3 years old; computed working-capital gap above INR 2 crore</t>
  </si>
  <si>
    <t xml:space="preserve">declared_turnover_value, credit_facility_count, charge_count_registered, entity_age_years, working_capital_gap_value, promoter_funding_value</t>
  </si>
  <si>
    <t xml:space="preserve">Plenty of honest companies never borrow: cash-rich family businesses, service and consulting firms with negative working capital, software and IT-enabled exporters, subsidiaries funded by an overseas or Indian parent through inter-corporate deposits, and asset-light platforms that collect before they pay. Suppress where the balance sheet shows large free reserves or parent funding, where the entity is a subsidiary in a consolidated group with a central treasury, or where the business model has a negative cash-conversion cycle. The indicator only carries weight for goods-trading and manufacturing entities with real inventory and receivables, where a funding gap must have been financed by someone. Tighten where the entity also has no fixed assets, no employees on EPFO and no rent agreement, since the absence of any lender due diligence is then consistent with there being nothing to inspect.</t>
  </si>
  <si>
    <t xml:space="preserve">Credit Bureau Report (CIBIL / CRIF), CHG-1 / CHG-4 / CHG-9 Index of Charges, AOC-4 / AOC-4 XBRL Financial Statements</t>
  </si>
  <si>
    <t xml:space="preserve">CERSAI Charge Registry, Income Tax Return (ITR-5 / ITR-6)</t>
  </si>
  <si>
    <t xml:space="preserve">Cash-rich, asset-light or parent-funded businesses genuinely never need a bank facility despite high turnover.</t>
  </si>
  <si>
    <t xml:space="preserve">BNK-027 (credits exceed declared turnover), FIN-013 (no fixed assets), EMP-003 (no EPFO-registered employees)</t>
  </si>
  <si>
    <t xml:space="preserve">FIU-IND red flag indicators; RBI working capital assessment norms</t>
  </si>
  <si>
    <t xml:space="preserve">BNK-037</t>
  </si>
  <si>
    <t xml:space="preserve">Cross-Border Inflow</t>
  </si>
  <si>
    <t xml:space="preserve">Inward remittances from high-risk, grey-listed or secrecy jurisdictions</t>
  </si>
  <si>
    <t xml:space="preserve">Foreign money arrives from countries on the FATF grey or black list, or from classic secrecy centres, with no trade link to those places. Funds routed through opaque jurisdictions are usually being distanced from their real source.</t>
  </si>
  <si>
    <t xml:space="preserve">(high_risk_jurisdiction_inflow_value / total_inward_remittance_value) &gt; 0.30 AND high_risk_jurisdiction_inflow_value &gt; 5000000 AND remitter_country_matches_shipping_bill_country_flag = FALSE AND remitter_count &lt;= 5</t>
  </si>
  <si>
    <t xml:space="preserve">&gt; 30% of inward remittance value from FATF grey or black list countries or listed secrecy centres; value floor INR 50 lakh; remitter country not matching any Shipping Bill consignee country</t>
  </si>
  <si>
    <t xml:space="preserve">high_risk_jurisdiction_inflow_value, total_inward_remittance_value, remitter_country_code, remitter_country_matches_shipping_bill_country_flag, remitter_count, purpose_code</t>
  </si>
  <si>
    <t xml:space="preserve">Jurisdiction alone is a weak signal in the Indian context and produces heavy false positives, because UAE, Hong Kong, Singapore and Mauritius are legitimate hubs for a huge share of genuine Indian trade, treasury and FDI — the sharp version is the mismatch leg, where money comes from a country that never appears as a consignee on the entity's Shipping Bills or in its customer contracts. Suppress for exporters with matching EDPMS shipping bills, for entities with disclosed FDI under FEMA reporting (FC-GPR), and for foreign subsidiaries receiving parent funding. Keep the list current from FATF plenary outcomes rather than hard-coding countries. Tighten where the remitter is a third party unrelated to the invoiced buyer (third-party payment for exports is restricted under FEMA), where remittances arrive without any corresponding Shipping Bill, or where the entity has no IEC in DGFT records.</t>
  </si>
  <si>
    <t xml:space="preserve">SWIFT / Wire Messages, Bank Statement, Shipping Bill</t>
  </si>
  <si>
    <t xml:space="preserve">DGFT IEC Data, Customs / ICEGATE Data, Sanctions &amp; PEP List</t>
  </si>
  <si>
    <t xml:space="preserve">UAE, Singapore and Hong Kong are genuine trade and treasury hubs for most Indian exporters and importers.</t>
  </si>
  <si>
    <t xml:space="preserve">BNK-038 (purpose code mismatch), BNK-040 (export proceeds unrealised), TRD-004 (no shipping bill for claimed exports)</t>
  </si>
  <si>
    <t xml:space="preserve">FATF high-risk jurisdictions statement; FEMA Master Direction on Export of Goods and Services</t>
  </si>
  <si>
    <t xml:space="preserve">BNK-038</t>
  </si>
  <si>
    <t xml:space="preserve">Cross-Border Outflow</t>
  </si>
  <si>
    <t xml:space="preserve">Outward remittance purpose code inconsistent with the declared line of business</t>
  </si>
  <si>
    <t xml:space="preserve">The purpose code declared on Form A2 for money sent abroad does not match what the company says it does, for example a trading company remitting large consultancy or royalty fees. A mismatched purpose code is the easiest way to move value out without goods.</t>
  </si>
  <si>
    <t xml:space="preserve">purpose_code_mismatch_value / total_outward_remittance_value &gt; 0.40 AND intangible_purpose_code_flag = TRUE AND total_outward_remittance_value &gt; 5000000 AND (matching_expense_in_books_flag = FALSE OR form15ca_15cb_missing_flag = TRUE)</t>
  </si>
  <si>
    <t xml:space="preserve">&gt; 40% of outward remittance value under purpose codes unrelated to the NIC code; annual outward remittance floor INR 50 lakh; intangible codes (consultancy, royalty, management fee, software, marketing) weighted higher</t>
  </si>
  <si>
    <t xml:space="preserve">purpose_code, purpose_code_mismatch_value, total_outward_remittance_value, intangible_purpose_code_flag, matching_expense_in_books_flag, form15ca_15cb_missing_flag, nic_code</t>
  </si>
  <si>
    <t xml:space="preserve">Purpose-code mapping is genuinely imperfect — banks often push a remittance into the nearest available code, and legitimate businesses do pay for software licences, cloud services, testing, certification, trade fairs and group management fees regardless of their NIC code. So suppress single small remittances and codes that any business would use. The signal sharpens for intangible, unverifiable services (management fees, royalties, consultancy, marketing support) paid to a related party or a low-tax jurisdiction, which is classic value transfer, and where no Form 3CEB transfer-pricing disclosure exists. Cross-check that a matching expense exists in the profit and loss and that Form 15CA/15CB certificates were filed. Tighten where the beneficiary is a related party, where the remittance is for services with no deliverable, or where the same beneficiary receives round-amount fees each quarter.</t>
  </si>
  <si>
    <t xml:space="preserve">SWIFT / Wire Messages, Bank Statement, AOC-4 / AOC-4 XBRL Financial Statements</t>
  </si>
  <si>
    <t xml:space="preserve">Transfer Pricing Report (Form 3CEB), Tax Audit Report (Form 3CD), Income Tax Return (ITR-5 / ITR-6)</t>
  </si>
  <si>
    <t xml:space="preserve">Any business legitimately remits for cloud software, certification or group management services outside its core NIC code.</t>
  </si>
  <si>
    <t xml:space="preserve">BNK-039 (advance import without Bill of Entry), BNK-013 (related counterparty), FIN-033 (intangible expense with no deliverable)</t>
  </si>
  <si>
    <t xml:space="preserve">FEMA / RBI purpose code framework; Income Tax Rule 37BB Form 15CA-15CB</t>
  </si>
  <si>
    <t xml:space="preserve">BNK-039</t>
  </si>
  <si>
    <t xml:space="preserve">Trade Finance Abuse</t>
  </si>
  <si>
    <t xml:space="preserve">Advance import remittance with no Bill of Entry evidence (IDPMS outstanding)</t>
  </si>
  <si>
    <t xml:space="preserve">Money is sent abroad in advance for imports but the goods never arrive and no Bill of Entry is filed against it. Advance payment for goods that never land is one of the simplest ways to export value out of India.</t>
  </si>
  <si>
    <t xml:space="preserve">advance_import_remittance_value &gt; 2000000 AND days_since_remittance &gt; 180 AND boe_matched_value / advance_import_remittance_value &lt; 0.20 AND idpms_outstanding_flag = TRUE</t>
  </si>
  <si>
    <t xml:space="preserve">Advance remittance floor INR 20 lakh; no matching Bill of Entry beyond 180 days (RBI requires BoE evidence within 3 months of remittance); matched BoE value below 20% of the remittance</t>
  </si>
  <si>
    <t xml:space="preserve">Rolling 24 months from each remittance date</t>
  </si>
  <si>
    <t xml:space="preserve">advance_import_remittance_value, boe_matched_value, days_since_remittance, idpms_outstanding_flag, supplier_country_code, standby_lc_or_guarantee_flag</t>
  </si>
  <si>
    <t xml:space="preserve">Long-gestation imports are real: capital equipment and plant have manufacturing lead times of six to eighteen months, project imports are staged, and shipping and customs delays are common — so check whether a purchase order or a Letter of Credit exists with a delivery schedule, and suppress where a standby LC or bank guarantee backs the advance (RBI requires one above USD 200,000 for unsecured advances, which itself signals bank comfort). Also allow for extended timelines where the supplier is a recognised OEM. The strong case is an advance to a newly formed overseas supplier with no LC, no guarantee, no insurance and no correspondence, in a jurisdiction unrelated to the goods described. Tighten where the same overseas supplier receives advances from several Indian entities sharing directors, where the entity has no IEC history of importing that commodity, or where the advance is written off in the next balance sheet as a bad advance.</t>
  </si>
  <si>
    <t xml:space="preserve">Bill of Entry, SWIFT / Wire Messages, Bank Statement</t>
  </si>
  <si>
    <t xml:space="preserve">Customs / ICEGATE Data, Letter of Credit, DGFT IEC Data</t>
  </si>
  <si>
    <t xml:space="preserve">Capital goods and project imports have long manufacturing lead times so the Bill of Entry legitimately lags the advance.</t>
  </si>
  <si>
    <t xml:space="preserve">BNK-038 (purpose code mismatch), BNK-037 (high-risk jurisdiction), TRD-007 (import value inconsistent with commodity price)</t>
  </si>
  <si>
    <t xml:space="preserve">FEMA Master Direction on Import of Goods and Services; RBI IDPMS</t>
  </si>
  <si>
    <t xml:space="preserve">BNK-040</t>
  </si>
  <si>
    <t xml:space="preserve">Export proceeds not realised within the permitted period (EDPMS outstanding)</t>
  </si>
  <si>
    <t xml:space="preserve">Shipping bills sit unrealised in EDPMS well past the nine-month limit for bringing export money into India. Exports declared but never paid for often mean the goods, the buyer or the value were never real.</t>
  </si>
  <si>
    <t xml:space="preserve">(unrealised_export_value / total_export_value) &gt; 0.30 AND max_shipping_bill_age_days &gt; 270 AND unrealised_export_value &gt; 5000000 AND extension_or_writeoff_approval_flag = FALSE</t>
  </si>
  <si>
    <t xml:space="preserve">&gt; 30% of export value unrealised beyond 270 days (RBI permits realisation within 9 months of export); unrealised value floor INR 50 lakh; no AD-bank extension or approved write-off on record</t>
  </si>
  <si>
    <t xml:space="preserve">Rolling 24 months of shipping bills</t>
  </si>
  <si>
    <t xml:space="preserve">unrealised_export_value, total_export_value, max_shipping_bill_age_days, extension_or_writeoff_approval_flag, buyer_country_code, shipping_bill_number</t>
  </si>
  <si>
    <t xml:space="preserve">Non-realisation is often commercial rather than criminal — buyer insolvency, quality disputes, war or sanctions in the buyer country, and long-credit terms in project exports all produce genuine EDPMS outstandings, and AD banks routinely grant extensions and permit self-write-off within the allowed percentage of the previous year's realisation. Suppress where an extension is recorded, where ECGC claim documents exist, or where the buyer country is under sanctions or currency controls that block payment. The fraudulent version pairs unrealised proceeds with export incentives already claimed (drawback, RoDTEP, IGST refund), an overvalued commodity, and a buyer that cannot be traced. Tighten where the entity has been placed on the RBI caution list, where the buyer shares an address or director with the exporter, and where inward remittances instead arrive from a third party unconnected to the shipping bill.</t>
  </si>
  <si>
    <t xml:space="preserve">Shipping Bill, Bank Statement, SWIFT / Wire Messages</t>
  </si>
  <si>
    <t xml:space="preserve">Customs / ICEGATE Data, DGFT IEC Data, Bill of Lading / Airway Bill</t>
  </si>
  <si>
    <t xml:space="preserve">Buyer disputes, insolvency or sanctions genuinely delay export realisation and AD banks grant extensions routinely.</t>
  </si>
  <si>
    <t xml:space="preserve">BNK-037 (high-risk jurisdiction inflow), TRD-009 (export price far above commodity benchmark), GST-016 (IGST refund on unrealised exports)</t>
  </si>
  <si>
    <t xml:space="preserve">FEMA Master Direction on Export of Goods and Services; RBI EDPMS and caution listing</t>
  </si>
  <si>
    <t xml:space="preserve">BNK-041</t>
  </si>
  <si>
    <t xml:space="preserve">Virtual Asset Exposure</t>
  </si>
  <si>
    <t xml:space="preserve">Funds traced to or from crypto exchanges, P2P virtual-asset dealers or mixing services</t>
  </si>
  <si>
    <t xml:space="preserve">Bank money moves to or from virtual digital asset platforms, peer-to-peer crypto traders or accounts linked to mixing services. Crypto is used to break the trail entirely because on-chain funds leave the banking system's view.</t>
  </si>
  <si>
    <t xml:space="preserve">(vda_counterparty_flow_value / total_throughput_value) &gt; 0.15 AND vda_counterparty_count &gt;= 2 AND vda_flow_declared_in_books_flag = FALSE AND (tds_194s_amount &gt; 0 OR p2p_vda_narration_count &gt;= 5)</t>
  </si>
  <si>
    <t xml:space="preserve">&gt; 15% of throughput with identified VDA exchanges, P2P dealers or mixer-linked accounts; &gt;= 2 such counterparties; no corresponding VDA holding or income declared; any section 194S TDS entry is corroboration</t>
  </si>
  <si>
    <t xml:space="preserve">vda_counterparty_flow_value, total_throughput_value, vda_counterparty_count, vda_flow_declared_in_books_flag, tds_194s_amount, p2p_vda_narration_count</t>
  </si>
  <si>
    <t xml:space="preserve">Crypto exposure is not illegal in India — it is taxed at 30% under section 115BBH with 1% TDS under section 194S, and registered VDA service providers are FIU-IND reporting entities — so a company that declares its VDA income and trades through a registered exchange should be scored low or suppressed. The finding is serious when the flows are undeclared, when they go to P2P individuals rather than registered exchanges, when they follow immediately after unrelated third-party credits, or when the counterparty is linked to mixers, gambling or investment-scheme narrations. Suppress for entities whose declared business is VDA trading, exchange operation or blockchain services with the corresponding registration. Tighten to Critical where the funds entering the VDA leg came from many small unrelated payers (a mule funnel), where the entity is newly incorporated, or where directors also appear on other accounts with the same pattern.</t>
  </si>
  <si>
    <t xml:space="preserve">Bank Statement, UPI / IMPS / NEFT Transaction Log, Form 26AS</t>
  </si>
  <si>
    <t xml:space="preserve">AIS / TIS, Adverse Media / News Archive, Derived — cross-entity graph</t>
  </si>
  <si>
    <t xml:space="preserve">A company with a declared treasury or trading position in virtual digital assets moves money to a registered exchange lawfully.</t>
  </si>
  <si>
    <t xml:space="preserve">BNK-010 (many-to-one funnel), BNK-042 (non-bank rails and rapid layering), BNK-022 (burst and die shape)</t>
  </si>
  <si>
    <t xml:space="preserve">FIU-IND VDA reporting entity obligations; FATF virtual asset guidance; Income Tax Act s.194S</t>
  </si>
  <si>
    <t xml:space="preserve">BNK-042</t>
  </si>
  <si>
    <t xml:space="preserve">Alternative Rails</t>
  </si>
  <si>
    <t xml:space="preserve">Receipts routed via aggregators, wallets and instant rails with rapid hops</t>
  </si>
  <si>
    <t xml:space="preserve">Instead of normal current-account banking, money comes in through payment aggregators, prepaid wallets or many small UPI and IMPS transfers that are forwarded within minutes. Retail rails are used because they are fast, capped and attract less scrutiny per transaction.</t>
  </si>
  <si>
    <t xml:space="preserve">(instant_rail_credit_value / total_credit_value) &gt; 0.50 AND avg_instant_rail_ticket_size &lt; 100000 AND median_hop_latency_minutes &lt; 30 AND distinct_upi_payer_count &gt;= 50 AND total_credit_value &gt; 5000000</t>
  </si>
  <si>
    <t xml:space="preserve">&gt; 50% of credits via UPI, IMPS, wallets, PPIs or aggregator settlements; average ticket below INR 1 lakh (the standard UPI per-transaction cap); median forwarding latency under 30 minutes; &gt;= 50 distinct payers; annual credits floor INR 50 lakh</t>
  </si>
  <si>
    <t xml:space="preserve">instant_rail_credit_value, total_credit_value, avg_instant_rail_ticket_size, median_hop_latency_minutes, distinct_upi_payer_count, ppi_wallet_flow_value</t>
  </si>
  <si>
    <t xml:space="preserve">This is completely normal behaviour for genuine consumer-facing businesses — kirana and retail, restaurants and QSR, salons, clinics, small e-commerce sellers, cab and delivery fleets and gig operators legitimately collect thousands of small UPI payments a month, so the rule must never fire on B2C alone. The discriminating legs are the forwarding latency and the mismatch with declared supply: a real retailer accumulates receipts and pays suppliers on terms, while a mule forwards within minutes and retains nothing. Suppress where GSTR-1 shows commensurate B2C outward supply, where a POS or QR merchant ID is registered to the entity, and for RBI-licensed aggregators using nodal or escrow accounts. Tighten where the entity's GST profile is B2B or it is not GST registered at all, where payers are spread across the country with no delivery footprint, and where onward transfers go to a single beneficiary or to cash.</t>
  </si>
  <si>
    <t xml:space="preserve">UPI / IMPS / NEFT Transaction Log, Bank Statement, GSTR-1</t>
  </si>
  <si>
    <t xml:space="preserve">GSTR-3B, AIS / TIS</t>
  </si>
  <si>
    <t xml:space="preserve">Retail and gig-economy businesses genuinely receive nearly all their collections as small UPI payments from many customers.</t>
  </si>
  <si>
    <t xml:space="preserve">BNK-041 (crypto exposure), BNK-004 (same-day in and out), BNK-016 (supply mix inconsistent with receipt channel)</t>
  </si>
  <si>
    <t xml:space="preserve">RBI Payment Aggregator and PPI Master Directions; FIU-IND mule account typology</t>
  </si>
  <si>
    <t xml:space="preserve">BNK-043</t>
  </si>
  <si>
    <t xml:space="preserve">Instrument Forensics</t>
  </si>
  <si>
    <t xml:space="preserve">Long unbroken cheque sequence to one payee or heavy bearer and self-cheque usage</t>
  </si>
  <si>
    <t xml:space="preserve">Consecutive cheque numbers all go to the same party, or a large share of cheques are bearer or self cheques encashed over the counter. Both patterns show a cheque book used as a private cash tap rather than for ordinary trade payments.</t>
  </si>
  <si>
    <t xml:space="preserve">(max_consecutive_cheque_run_to_single_payee &gt;= 10 OR (bearer_self_cheque_value / total_cheque_value) &gt; 0.40) AND total_cheque_value &gt; 5000000 AND cheque_payee_count &lt;= 5</t>
  </si>
  <si>
    <t xml:space="preserve">&gt;= 10 consecutive cheque serial numbers to one payee, or &gt; 40% of cheque value drawn as bearer or self cheques; cheque value floor INR 50 lakh; &lt;= 5 distinct payees</t>
  </si>
  <si>
    <t xml:space="preserve">max_consecutive_cheque_run_to_single_payee, bearer_self_cheque_value, total_cheque_value, cheque_payee_count, cheque_serial_number, cheque_clearing_mode</t>
  </si>
  <si>
    <t xml:space="preserve">Cheque usage has fallen sharply since electronic rails became free and instant, so any entity still paying large values by cheque deserves a look, but there are honest reasons: post-dated cheques given as loan or lease security, cheques issued to a single landlord or lender under an EMI arrangement, and statutory payments. Suppress where the consecutive run is to a bank, a lender, a landlord or a government payee, and where the cheques are clearly a security deposit series. Bearer and self cheques are used legitimately by labour contractors and site operations to draw wage cash, so cross-check against the Payroll Register and section 40A(3) disallowances. Tighten where bearer cheques are encashed by persons not on the payroll, where the same individual encashes across several entities, or where a consecutive run pairs with an equal and opposite credit series from the same party, which is accommodation cheque swapping.</t>
  </si>
  <si>
    <t xml:space="preserve">Bank Statement, Cheque Return / Bounce Data</t>
  </si>
  <si>
    <t xml:space="preserve">Tax Audit Report (Form 3CD), Payroll Register</t>
  </si>
  <si>
    <t xml:space="preserve">Post-dated cheque series issued as security for a lease or loan naturally run consecutively to one payee.</t>
  </si>
  <si>
    <t xml:space="preserve">BNK-018 (cash withdrawal after credit), BNK-033 (cheque returns), BNK-023 (non-signatory operator)</t>
  </si>
  <si>
    <t xml:space="preserve">FIU-IND red flag indicators; Income Tax Act s.40A(3)</t>
  </si>
  <si>
    <t xml:space="preserve">BNK-044</t>
  </si>
  <si>
    <t xml:space="preserve">Narration Forensics</t>
  </si>
  <si>
    <t xml:space="preserve">Blank, generic or copy-pasted narration on a high share of high-value transfers</t>
  </si>
  <si>
    <t xml:space="preserve">RTGS and NEFT narration fields are empty or say only 'payment', 'fund transfer' or 'settlement' on most large transfers. Genuine trade payments usually carry an invoice or purchase-order reference because the recipient needs to apply the cash.</t>
  </si>
  <si>
    <t xml:space="preserve">(generic_narration_value / total_transfer_value) &gt; 0.70 AND invoice_reference_narration_share &lt; 0.10 AND high_value_generic_txn_count &gt;= 20 AND total_transfer_value &gt; 20000000</t>
  </si>
  <si>
    <t xml:space="preserve">&gt; 70% of transfer value with blank or generic narration; &lt; 10% carrying an invoice, PO or bill reference; &gt;= 20 such transactions above INR 5 lakh each; throughput floor INR 2 crore</t>
  </si>
  <si>
    <t xml:space="preserve">generic_narration_value, total_transfer_value, invoice_reference_narration_share, high_value_generic_txn_count, narration_text, narration_token_entropy</t>
  </si>
  <si>
    <t xml:space="preserve">Narration quality depends heavily on the channel and the bank: bulk upload files, host-to-host corporate channels and some banks' UPI and IMPS records strip or standardise the remarks field, and retail transfers rarely carry references at all, so normalise expectations by rail and by bank before scoring. Suppress for UPI and IMPS legs and for salary, EMI, tax and utility payments where a generic string is the norm. Where the entity does carry references on some payments and not on others, the split itself is informative. Tighten where the generic narration accompanies payments to counterparties absent from GSTR-2A, where narration text is byte-identical across many payments to different parties, or where narration references an invoice number that does not exist in the GST records.</t>
  </si>
  <si>
    <t xml:space="preserve">GSTR-2A / 2B, GSTR-1</t>
  </si>
  <si>
    <t xml:space="preserve">Text</t>
  </si>
  <si>
    <t xml:space="preserve">Bulk payment files and several banks' channels strip or standardise the narration field on all outgoing transfers.</t>
  </si>
  <si>
    <t xml:space="preserve">BNK-045 (identical narration across unrelated payers), BNK-015 (unbooked counterparties), BNK-009 (round-figure density)</t>
  </si>
  <si>
    <t xml:space="preserve">FIU-IND red flag indicators; FATF TBML typology</t>
  </si>
  <si>
    <t xml:space="preserve">BNK-045</t>
  </si>
  <si>
    <t xml:space="preserve">Identical narration text or reused UTR references across supposedly unrelated payers</t>
  </si>
  <si>
    <t xml:space="preserve">The same remark wording, reference format or even the same UTR (the unique 16-character number a bank assigns to each NEFT or RTGS payment) appears across payments from parties claiming to be independent. A UTR can never repeat, so reuse means one person wrote all the payments or the statement is forged.</t>
  </si>
  <si>
    <t xml:space="preserve">(duplicate_utr_count &gt;= 1 OR identical_narration_across_payer_count &gt;= 4) AND narration_similarity_score &gt; 0.90 AND involved_entity_count &gt;= 3 AND shared_narration_value &gt; 2000000</t>
  </si>
  <si>
    <t xml:space="preserve">Any duplicate UTR across statements is conclusive; otherwise &gt;= 4 unrelated payers using byte-identical or &gt; 0.90 similarity narration; &gt;= 3 entities involved; shared narration value floor INR 20 lakh</t>
  </si>
  <si>
    <t xml:space="preserve">Rolling 24 months across the entity population</t>
  </si>
  <si>
    <t xml:space="preserve">duplicate_utr_count, identical_narration_across_payer_count, narration_similarity_score, involved_entity_count, shared_narration_value, utr_reference_number</t>
  </si>
  <si>
    <t xml:space="preserve">Two very different findings share this test and should be routed differently. A duplicate or malformed UTR (wrong length, invalid bank prefix, impossible date segment, or the same UTR on two different amounts) is not a behavioural signal at all but evidence that a bank statement PDF has been fabricated — route it straight to document forensics with the Document Metadata (PDF / Office) check, and treat it as conclusive rather than probabilistic. Identical narration across payers is behavioural and needs benign exclusions: shared ERP templates in a group, a common billing platform, a marketplace settlement format, and standard strings such as 'NEFT payment' or 'GST payment' must be stop-listed before similarity is computed. Compare formatting quirks — spacing, casing, abbreviation style and reference-number construction — rather than plain words, since those survive across a single author's payments. Tighten where the payers also share an IP, a bank branch or a director.</t>
  </si>
  <si>
    <t xml:space="preserve">UPI / IMPS / NEFT Transaction Log, Document Metadata (PDF / Office)</t>
  </si>
  <si>
    <t xml:space="preserve">Group companies on one shared ERP or billing platform generate identically formatted payment narrations.</t>
  </si>
  <si>
    <t xml:space="preserve">BNK-044 (generic narration), BNK-024 (common-control cluster), DOC-005 (bank statement PDF metadata inconsistent)</t>
  </si>
  <si>
    <t xml:space="preserve">FIU-IND red flag indicators; RBI NEFT / RTGS UTR standards; document forensics</t>
  </si>
  <si>
    <t xml:space="preserve">TAX-001</t>
  </si>
  <si>
    <t xml:space="preserve">Tax &amp; GST Data Forensics</t>
  </si>
  <si>
    <t xml:space="preserve">ITC forensics</t>
  </si>
  <si>
    <t xml:space="preserve">Input tax credit far outweighs output tax against sector peers</t>
  </si>
  <si>
    <t xml:space="preserve">The credit the entity claims on purchases (ITC) is almost as large as, or larger than, the tax it charges on sales. A real trader or maker adds value and therefore pays more tax out than it takes in; a paper entity only passes credit along.</t>
  </si>
  <si>
    <t xml:space="preserve">(itc_availed_3b / output_tax_liability_3b) &gt; 0.95 AND peer_zscore(itc_to_output_ratio, nic_code, turnover_band) &gt; 2.5 AND annual_aggregate_turnover &gt; 20000000</t>
  </si>
  <si>
    <t xml:space="preserve">ITC-to-output tax ratio &gt; 0.95 and peer z-score &gt; 2.5; turnover floor INR 2 crore; measured over 4 consecutive tax periods</t>
  </si>
  <si>
    <t xml:space="preserve">itc_availed_3b, output_tax_liability_3b, itc_to_output_ratio, annual_aggregate_turnover, nic_code, export_turnover_share, inverted_duty_flag</t>
  </si>
  <si>
    <t xml:space="preserve">Ratio near or above 1 is normal and lawful for exporters and SEZ suppliers (zero-rated output, full input credit), for inverted duty structures such as textiles, fertiliser, EV batteries and railway parts where input rate exceeds output rate, and for capital-intensive projects in the build year. Suppress when export_turnover_share &gt; 0.3 or inverted_duty_flag is true, and instead route to TAX-042. Tighten to 0.80 for pure domestic wholesale trade, works contract and services where value addition and payroll should visibly widen the gap. Always build the peer baseline on 2-digit HSN and turnover band, not on the whole population.</t>
  </si>
  <si>
    <t xml:space="preserve">GSTR-3B, GSTR-2A / 2B</t>
  </si>
  <si>
    <t xml:space="preserve">GSTR-9 / 9C Annual Return</t>
  </si>
  <si>
    <t xml:space="preserve">Exporters and inverted-duty manufacturers legitimately accumulate credit far in excess of the tax they charge.</t>
  </si>
  <si>
    <t xml:space="preserve">TAX-004 (liability paid wholly from credit), TAX-003 (credit from cancelled suppliers), FIN-007 (negligible payroll)</t>
  </si>
  <si>
    <t xml:space="preserve">CGST Act s.16; DGARM GST risk analytics</t>
  </si>
  <si>
    <t xml:space="preserve">TAX-002</t>
  </si>
  <si>
    <t xml:space="preserve">ITC claimed in GSTR-3B exceeds eligible credit auto-populated in GSTR-2B</t>
  </si>
  <si>
    <t xml:space="preserve">The entity claims more credit in its monthly summary return (GSTR-3B) than the portal says its suppliers reported (GSTR-2B). Since 1 January 2022 section 16(2)(aa) allows credit only if the invoice appears in GSTR-2B, so an excess claim is credit taken on invoices nobody declared.</t>
  </si>
  <si>
    <t xml:space="preserve">(itc_availed_3b_table4a - itc_eligible_2b) / itc_eligible_2b &gt; 0.10 AND (itc_availed_3b_table4a - itc_eligible_2b) &gt; 500000 AND periods_with_excess &gt;= 3</t>
  </si>
  <si>
    <t xml:space="preserve">Excess &gt; 10% of GSTR-2B eligible credit AND &gt; INR 5 lakh absolute, in 3 or more tax periods in the year</t>
  </si>
  <si>
    <t xml:space="preserve">itc_availed_3b_table4a, itc_eligible_2b, itc_reclaimed_table4d, import_igst_credit, isd_credit_received, periods_with_excess, rcm_itc_claimed</t>
  </si>
  <si>
    <t xml:space="preserve">Before flagging, add back credit that legitimately never sits in GSTR-2B: IGST paid on imports (traceable to Bill of Entry), credit distributed by an Input Service Distributor, reverse-charge credit self-invoiced under s.9(3)/9(4), and credit re-availed in Table 4(D)(1) after an earlier Rule 37 reversal. Timing noise is normal where suppliers file quarterly under QRMP, so compare on a rolling three-month basis rather than a single month. Escalate hard when the excess persists after these adjustments, or when the gap coincides with DRC-01C system intimations left unanswered.</t>
  </si>
  <si>
    <t xml:space="preserve">GSTR-9 / 9C Annual Return, Bill of Entry</t>
  </si>
  <si>
    <t xml:space="preserve">Import IGST, ISD credit and reverse-charge credit do not appear in GSTR-2B and can look like an unmatched excess.</t>
  </si>
  <si>
    <t xml:space="preserve">TAX-017 (purchase-register invoices absent from 2A/2B), TAX-003 (suppliers cancelled or non-paying), CMP-050 (credit blocked under Rule 86A)</t>
  </si>
  <si>
    <t xml:space="preserve">CGST Act s.16(2)(aa); Rule 36(4); Form DRC-01C</t>
  </si>
  <si>
    <t xml:space="preserve">TAX-003</t>
  </si>
  <si>
    <t xml:space="preserve">Credit availed from suppliers later cancelled retrospectively or who never paid the tax</t>
  </si>
  <si>
    <t xml:space="preserve">A large share of the entity's purchase credit comes from GSTINs that were later cancelled with effect from an earlier date, or that reported the sale in GSTR-1 but never paid it in GSTR-3B. Section 16(2)(c) allows credit only where the tax actually reached the government, so this is the standard signature of a fake-invoice chain.</t>
  </si>
  <si>
    <t xml:space="preserve">(itc_from_retro_cancelled_suppliers + itc_from_suppliers_with_gstr1_3b_gap) / total_itc_availed &gt; 0.15 AND count_such_suppliers &gt;= 3 AND total_itc_availed &gt; 1000000</t>
  </si>
  <si>
    <t xml:space="preserve">&gt; 15% of annual ITC from tainted suppliers, from 3 or more such GSTINs; ITC floor INR 10 lakh</t>
  </si>
  <si>
    <t xml:space="preserve">3 FY, re-run whenever the cancellation register updates</t>
  </si>
  <si>
    <t xml:space="preserve">supplier_gstin_list, itc_from_retro_cancelled_suppliers, itc_from_suppliers_with_gstr1_3b_gap, supplier_cancellation_effective_date, invoice_date, total_itc_availed, count_such_suppliers</t>
  </si>
  <si>
    <t xml:space="preserve">Only count a supplier as tainted when the retrospective cancellation date precedes the invoice date, otherwise an honest buyer is punished for a later event. Suppress single low-value suppliers and cancellations that were revoked on appeal under s.30. A 1-2% tainted share is background noise in any large purchase book; the signal is concentration, so tighten when the tainted suppliers account for the entity's top purchase relationships, were registered less than 12 months before the invoices, or share address or bank details with each other. Escalate immediately if the same tainted GSTINs recur across the group.</t>
  </si>
  <si>
    <t xml:space="preserve">GSTR-2A / 2B, GST Cancellation / Suspension Order</t>
  </si>
  <si>
    <t xml:space="preserve">Derived — cross-entity graph, GSTR-1</t>
  </si>
  <si>
    <t xml:space="preserve">A genuine buyer can deal with a supplier whose registration is cancelled much later for unrelated filing default.</t>
  </si>
  <si>
    <t xml:space="preserve">TAX-008 (circular trading loop), TAX-009 (shared identity with supplier), TAX-035 (bogus purchase disallowance)</t>
  </si>
  <si>
    <t xml:space="preserve">CGST Act s.16(2)(c); CBIC fake invoicing instruction; DGGI typology</t>
  </si>
  <si>
    <t xml:space="preserve">TAX-004</t>
  </si>
  <si>
    <t xml:space="preserve">Output liability discharged almost wholly from credit with a near-nil cash ledger</t>
  </si>
  <si>
    <t xml:space="preserve">Almost every rupee of tax due is settled by setting off credit, and virtually nothing is paid in cash. Rule 86B requires taxpayers with monthly taxable turnover above INR 50 lakh to pay at least 1% in cash, and pure credit settlement year after year is how invoice mills monetise credit without funding it.</t>
  </si>
  <si>
    <t xml:space="preserve">cash_ledger_payment / total_tax_paid &lt; 0.01 AND monthly_taxable_turnover &gt; 5000000 AND rule_86b_exemption_flag == false AND consecutive_periods &gt;= 6</t>
  </si>
  <si>
    <t xml:space="preserve">Cash share of tax paid &lt; 1%; monthly taxable turnover &gt; INR 50 lakh; 6 or more consecutive periods</t>
  </si>
  <si>
    <t xml:space="preserve">cash_ledger_payment, credit_ledger_utilisation, total_tax_paid, monthly_taxable_turnover, rule_86b_exemption_flag, income_tax_paid_last_two_fy, refund_received_zero_rated</t>
  </si>
  <si>
    <t xml:space="preserve">Rule 86B itself carves out the honest cases and the rule must respect them: entities whose promoters or the entity paid more than INR 1 lakh income tax in each of the last two financial years, those who received refunds above INR 1 lakh on zero-rated or inverted-duty account, government departments, PSUs and local authorities. Suppress for exporters and SEZ units where accumulated credit is structurally large. Tighten where turnover grew fast in the same window, or where the credit funding the set-off comes from suppliers flagged in TAX-003.</t>
  </si>
  <si>
    <t xml:space="preserve">GSTR-3B, GSTR-9 / 9C Annual Return</t>
  </si>
  <si>
    <t xml:space="preserve">GSTR-2A / 2B</t>
  </si>
  <si>
    <t xml:space="preserve">Exporters and inverted-duty manufacturers carry structural credit balances and rarely need to pay in cash.</t>
  </si>
  <si>
    <t xml:space="preserve">TAX-001 (credit outweighs output tax), TAX-003 (tainted supplier credit), TAX-044 (effective tax rate near zero)</t>
  </si>
  <si>
    <t xml:space="preserve">Rule 86B CGST Rules 2017</t>
  </si>
  <si>
    <t xml:space="preserve">TAX-005</t>
  </si>
  <si>
    <t xml:space="preserve">Credit ledger balance builds up for years with no refund application filed</t>
  </si>
  <si>
    <t xml:space="preserve">The electronic credit ledger keeps growing but the entity never files a refund claim in Form RFD-01. Real businesses chase blocked working capital; a credit balance parked and untouched usually means the credit exists to be passed on, not used.</t>
  </si>
  <si>
    <t xml:space="preserve">closing_credit_ledger_balance &gt; 0.25 * annual_output_tax_liability AND credit_balance_growth_3fy &gt; 0 AND refund_applications_filed == 0 AND export_turnover_share &lt; 0.10 AND inverted_duty_flag == false</t>
  </si>
  <si>
    <t xml:space="preserve">Closing credit balance &gt; 25% of annual output tax and growing for 3 FY with zero RFD-01 filings</t>
  </si>
  <si>
    <t xml:space="preserve">closing_credit_ledger_balance, annual_output_tax_liability, credit_balance_growth_3fy, refund_applications_filed, export_turnover_share, inverted_duty_flag, capital_goods_itc_share</t>
  </si>
  <si>
    <t xml:space="preserve">Accumulation is lawful and expected where refund is not available: domestic supplies at the same rate, credit on capital goods in a plant build year, and entities under litigation or provisional assessment. Suppress when capital_goods_itc_share is high and CWIP is rising in the accounts, and when the entity is an exporter or inverted-duty case since those belong to the refund rules instead. The suspicious shape is a trading entity with no capex, no exports and a swelling ledger it never monetises. Tighten when the balance is later utilised in a single burst against a sudden spike in outward supply.</t>
  </si>
  <si>
    <t xml:space="preserve">Capital goods credit in a project build year accumulates legitimately and cannot be refunded.</t>
  </si>
  <si>
    <t xml:space="preserve">TAX-001 (credit outweighs output tax), TAX-013 (dormant GSTIN turnover spike), FIN-013 (no fixed assets)</t>
  </si>
  <si>
    <t xml:space="preserve">CGST Act s.54; Rule 89 CGST Rules</t>
  </si>
  <si>
    <t xml:space="preserve">TAX-006</t>
  </si>
  <si>
    <t xml:space="preserve">No ITC reversal under Rules 37, 42 or 43 where the accounts demand it</t>
  </si>
  <si>
    <t xml:space="preserve">The entity has old unpaid suppliers or exempt sales but never reverses credit. Rule 37 requires reversal when a supplier is unpaid beyond 180 days, and Rules 42/43 require reversal of credit attributable to exempt supplies, so a permanently zero reversal line means credit is being kept that the law says must go back.</t>
  </si>
  <si>
    <t xml:space="preserve">itc_reversal_table4b == 0 AND (trade_payables_over_180_days &gt; 0.10 * total_trade_payables OR exempt_turnover / total_turnover &gt; 0.05) AND total_itc_availed &gt; 1000000</t>
  </si>
  <si>
    <t xml:space="preserve">Zero reversal in Table 4(B) while payables over 180 days exceed 10% of payables or exempt turnover exceeds 5% of total; ITC floor INR 10 lakh</t>
  </si>
  <si>
    <t xml:space="preserve">Current FY with ageing as at year end</t>
  </si>
  <si>
    <t xml:space="preserve">itc_reversal_table4b, trade_payables_over_180_days, total_trade_payables, exempt_turnover, total_turnover, total_itc_availed, gstr9_table7_reversal</t>
  </si>
  <si>
    <t xml:space="preserve">Reversal may legitimately be nil where payments are made through channel finance or bill discounting that settles the supplier within 180 days even though the buyer's payable stays open, where the payable is a retention or disputed amount under a works contract, and where exempt turnover is nil or the entity opted for the flat 50% reversal available to banks and NBFCs under s.17(4). Reconcile Table 4(B) with Table 7 of GSTR-9 before firing, because many taxpayers net reversals inside Table 4(A). Tighten for entities showing large related-party payables that never move.</t>
  </si>
  <si>
    <t xml:space="preserve">Disputed or retention payables and banks using the flat 50% option legitimately show no ageing-based reversal.</t>
  </si>
  <si>
    <t xml:space="preserve">TAX-015 (GSTR-9 differences), FIN-020 (payables never settled), TAX-002 (credit exceeding GSTR-2B)</t>
  </si>
  <si>
    <t xml:space="preserve">Rules 37, 42 and 43 CGST Rules 2017</t>
  </si>
  <si>
    <t xml:space="preserve">TAX-007</t>
  </si>
  <si>
    <t xml:space="preserve">Credit claimed on blocked categories under section 17(5)</t>
  </si>
  <si>
    <t xml:space="preserve">Credit is taken on things the law expressly blocks, such as passenger vehicles, food and beverages, club fees, works contracts for buildings and CSR spend. Systematic claiming of blocked credit shows either that the purchase invoices are not real or that no one reconciles the credit to the expense ledger.</t>
  </si>
  <si>
    <t xml:space="preserve">blocked_hsn_sac_itc_value / total_itc_availed &gt; 0.05 AND itc_ineligible_reported_table4d == 0 AND blocked_hsn_sac_itc_value &gt; 200000</t>
  </si>
  <si>
    <t xml:space="preserve">Blocked-category credit &gt; 5% of total ITC and &gt; INR 2 lakh, with nil ineligible credit reported in Table 4(D)(2)</t>
  </si>
  <si>
    <t xml:space="preserve">blocked_hsn_sac_itc_value, total_itc_availed, itc_ineligible_reported_table4d, purchase_hsn_sac_codes, nic_code, gstr9_table7e_blocked_credit</t>
  </si>
  <si>
    <t xml:space="preserve">Several blocked heads have genuine business exceptions and must be whitelisted by activity: motor vehicles for a transport operator, driving school or vehicle dealer; food, outdoor catering and health insurance where the employer is obliged to provide them under labour law; works contract inputs for a construction company supplying works contract onward; and rent-a-cab for a tour operator. Match against the entity's NIC code and outward HSN before firing. Small incidental amounts are ordinary error, so keep both the ratio and the absolute floor and treat this as a hygiene indicator rather than fraud unless it appears alongside supplier-side red flags.</t>
  </si>
  <si>
    <t xml:space="preserve">GSTR-2A / 2B, GSTR-3B</t>
  </si>
  <si>
    <t xml:space="preserve">Transport operators, dealers and construction contractors are lawfully entitled to credit on vehicles and works contracts.</t>
  </si>
  <si>
    <t xml:space="preserve">TAX-025 (HSN profile inconsistent with the business), TAX-002 (credit exceeding GSTR-2B)</t>
  </si>
  <si>
    <t xml:space="preserve">CGST Act s.17(5)</t>
  </si>
  <si>
    <t xml:space="preserve">TAX-008</t>
  </si>
  <si>
    <t xml:space="preserve">Circular trading</t>
  </si>
  <si>
    <t xml:space="preserve">Goods of the same HSN return to the originating GSTIN through a short supply loop</t>
  </si>
  <si>
    <t xml:space="preserve">Following invoices from supplier to buyer, the same goods description travels A to B to C and back to A within a short period and at broadly the same value. Nothing is consumed or transformed, so the only purpose of the loop is to inflate turnover and manufacture credit.</t>
  </si>
  <si>
    <t xml:space="preserve">exists_cycle(supply_graph, origin_gstin, cycle_length &lt;= 5, same_hsn_4digit, days_to_close &lt;= 90) AND cycle_value &gt; 5000000 AND value_variance_across_cycle &lt; 0.10</t>
  </si>
  <si>
    <t xml:space="preserve">Closed loop of 3-5 GSTINs on the same 4-digit HSN closing within 90 days; loop value &gt; INR 50 lakh; value drift across the loop &lt; 10%</t>
  </si>
  <si>
    <t xml:space="preserve">supplier_gstin, recipient_gstin, hsn_code_4digit, invoice_value, invoice_date, cycle_length, value_variance_across_cycle, einvoice_irn_timestamp</t>
  </si>
  <si>
    <t xml:space="preserve">Genuine loops exist and must be excluded on documentary evidence: job work movement under s.143 with challans and ITC-04 filings, sale and return of rejected goods evidenced by credit notes and inward e-way bills, consignment and depot transfers between the same PAN, repair and calibration returns, and commodity trading on exchanges where the same lot changes hands legitimately. Require value stability and absence of processing to distinguish a wash loop from a real chain, since a real chain adds margin at each hop. Escalate to Critical when the loop closes within 30 days, when the participants were registered within the same quarter, or when e-invoice timestamps show the whole cycle raised on one day.</t>
  </si>
  <si>
    <t xml:space="preserve">E-Invoice IRN Data, E-Way Bill Data</t>
  </si>
  <si>
    <t xml:space="preserve">Job work and sale-return cycles under section 143 move the same goods back to the originator without any evasion.</t>
  </si>
  <si>
    <t xml:space="preserve">TAX-003 (credit from cancelled suppliers), TAX-009 (shared identity attributes), TAX-011 (supply with no movement evidence)</t>
  </si>
  <si>
    <t xml:space="preserve">CGST Act s.122(1A) and s.132; DGGI circular trading typology; FATF TBML</t>
  </si>
  <si>
    <t xml:space="preserve">TAX-009</t>
  </si>
  <si>
    <t xml:space="preserve">Fake invoicing</t>
  </si>
  <si>
    <t xml:space="preserve">Supplier and recipient share a PAN, address, phone, email or bank account</t>
  </si>
  <si>
    <t xml:space="preserve">Two GSTINs transacting with each other are linked by the same registration identifiers or settlement account. Genuine arm's-length trade does not run between parties that answer the same phone and bank into the same account, and the shared attribute usually means one person controls both sides of the invoice.</t>
  </si>
  <si>
    <t xml:space="preserve">shared_attribute_count(supplier_gstin, recipient_gstin, [pan, ppob_address_hash, mobile, email, bank_account, authorised_signatory_pan]) &gt;= 1 AND transaction_value_between &gt; 2500000 AND not_same_pan_branch_transfer</t>
  </si>
  <si>
    <t xml:space="preserve">One or more shared identifiers with counterparty transaction value &gt; INR 25 lakh in the year; 2 or more shared identifiers escalates severity</t>
  </si>
  <si>
    <t xml:space="preserve">supplier_gstin, recipient_gstin, pan, ppob_address_hash, registered_mobile, registered_email, bank_account_number, authorised_signatory_pan</t>
  </si>
  <si>
    <t xml:space="preserve">Same-PAN transfers between branches in different states are lawful stock transfers and must be excluded, not flagged. Shared address is weak on its own in business parks, co-working spaces, industrial estates and shared-services campuses, so require either an exact door-number match or a second shared attribute. Shared accountant or consultant phone and email are common among small taxpayers, so weight signatory PAN and bank account far more heavily than contact details. Tighten to Critical where the shared bank account receives the payment and returns it to the payer within days, and where the counterparties are also related parties disclosed in AOC-2.</t>
  </si>
  <si>
    <t xml:space="preserve">GST Registration Certificate (REG-06), Derived — cross-entity graph</t>
  </si>
  <si>
    <t xml:space="preserve">Bank Account Opening / KYC File, AOC-2 Related Party Annexure</t>
  </si>
  <si>
    <t xml:space="preserve">Group companies operating from one campus share an address and a common accounts email while trading at arm's length.</t>
  </si>
  <si>
    <t xml:space="preserve">TAX-024 (premises shared with many GSTINs), TAX-008 (circular loop), FIN-030 (round-tripped bank credits)</t>
  </si>
  <si>
    <t xml:space="preserve">CGST Act s.16(2)(b); FIU-IND related-party red flags</t>
  </si>
  <si>
    <t xml:space="preserve">TAX-010</t>
  </si>
  <si>
    <t xml:space="preserve">Outward supply of goods the entity never purchased inward</t>
  </si>
  <si>
    <t xml:space="preserve">The entity sells a commodity for which no matching purchase of the same HSN appears in its inward supplies. Without stock, imports or manufacture, goods cannot be sold, so the sale invoice exists only to give the buyer credit.</t>
  </si>
  <si>
    <t xml:space="preserve">outward_value_by_hsn4 &gt; 0 AND (inward_value_by_hsn4 + import_value_by_hsn4 + opening_stock_by_hsn4) &lt; 0.20 * outward_value_by_hsn4 AND outward_value_by_hsn4 &gt; 2500000 AND manufacturing_flag == false</t>
  </si>
  <si>
    <t xml:space="preserve">Inward plus imports plus opening stock &lt; 20% of outward value for the same 4-digit HSN; outward floor INR 25 lakh</t>
  </si>
  <si>
    <t xml:space="preserve">outward_value_by_hsn4, inward_value_by_hsn4, import_value_by_hsn4, opening_stock_by_hsn4, manufacturing_flag, job_work_dispatch_value, nic_code</t>
  </si>
  <si>
    <t xml:space="preserve">Manufacturers legitimately sell an HSN they never buy because inputs and output sit under different headings, so suppress whenever the entity has plant, power consumption and a factory licence, and compare at input-output level instead. Also exclude service providers reporting SAC codes, traders drawing down large opening stock, goods received on job work under s.143, and high-seas or bond sales where the Bill of Entry sits with the buyer. The rule is sharpest for pure traders in commodities with a single HSN such as metals, scrap, tobacco, edible oil and electronics, which are the classic fake-invoice goods.</t>
  </si>
  <si>
    <t xml:space="preserve">E-Way Bill Data, Bill of Entry, GSTR-9 / 9C Annual Return</t>
  </si>
  <si>
    <t xml:space="preserve">A manufacturer buys raw material under one HSN and sells finished goods under another, so the codes never match.</t>
  </si>
  <si>
    <t xml:space="preserve">TAX-011 (no movement evidence), TAX-008 (circular loop), FIN-011 (no inventory on the balance sheet)</t>
  </si>
  <si>
    <t xml:space="preserve">CGST Act s.16(2)(b); CBIC fake invoicing instruction</t>
  </si>
  <si>
    <t xml:space="preserve">TAX-011</t>
  </si>
  <si>
    <t xml:space="preserve">Declared supply of goods with no credible movement — missing or hollow e-way bill</t>
  </si>
  <si>
    <t xml:space="preserve">Goods invoices above INR 50,000 either have no e-way bill at all, or have one whose Part-B vehicle and transporter details were never filled in and no toll or transport record exists. Invoices without movement are the core evidence of billing without supply.</t>
  </si>
  <si>
    <t xml:space="preserve">(goods_supply_value_above_ewb_threshold - ewb_covered_supply_value) / goods_supply_value_above_ewb_threshold &gt; 0.25 OR (ewb_without_partb_count / total_ewb_count) &gt; 0.30 AND goods_supply_value_above_ewb_threshold &gt; 5000000</t>
  </si>
  <si>
    <t xml:space="preserve">More than 25% of eligible goods supply without an e-way bill, or more than 30% of e-way bills with no Part-B vehicle detail; supply floor INR 50 lakh</t>
  </si>
  <si>
    <t xml:space="preserve">goods_supply_value_above_ewb_threshold, ewb_covered_supply_value, ewb_without_partb_count, total_ewb_count, vehicle_number, transporter_id, fastag_toll_match_flag</t>
  </si>
  <si>
    <t xml:space="preserve">Whole classes of supply need no e-way bill and must be netted out first: services and SAC-coded turnover, exempt and nil-rated goods in the Rule 138(14) annexure, movement within a state below the state's own higher threshold (several states exempt intra-state movement up to INR 1 lakh or 2 lakh), goods moved by non-motorised transport, and consignments to or from a port or airport for customs clearance. Part-B is legitimately blank for movement under 50 km within the state for a consignor-to-transporter leg. Tighten where the same missing-movement invoices are the entity's largest, and combine with FASTag route data before escalating.</t>
  </si>
  <si>
    <t xml:space="preserve">E-Way Bill Data, GSTR-1</t>
  </si>
  <si>
    <t xml:space="preserve">E-Invoice IRN Data, Bill of Lading / Airway Bill</t>
  </si>
  <si>
    <t xml:space="preserve">Service turnover and state-level exemptions mean much genuine supply never needs an e-way bill.</t>
  </si>
  <si>
    <t xml:space="preserve">TAX-027 (same vehicle on impossible routes), TAX-010 (sale without purchase), TAX-022 (e-way bill value against declared supply)</t>
  </si>
  <si>
    <t xml:space="preserve">Rule 138 CGST Rules; CGST Act s.16(2)(b)</t>
  </si>
  <si>
    <t xml:space="preserve">TAX-012</t>
  </si>
  <si>
    <t xml:space="preserve">Invoices cancelled by credit notes within days of issue</t>
  </si>
  <si>
    <t xml:space="preserve">A large slice of sales invoices is reversed by credit notes very soon after being raised. Short-lived invoices are used to lend turnover to a counterparty at a cut-off date, or to pass credit that is withdrawn once it has been used.</t>
  </si>
  <si>
    <t xml:space="preserve">credit_note_value_within_30_days / gross_outward_supply_value &gt; 0.15 AND median_days_invoice_to_credit_note &lt; 15 AND gross_outward_supply_value &gt; 10000000</t>
  </si>
  <si>
    <t xml:space="preserve">Credit notes within 30 days exceeding 15% of gross outward supply and median reversal lag under 15 days; turnover floor INR 1 crore</t>
  </si>
  <si>
    <t xml:space="preserve">Rolling 12 months, with a quarter-end and year-end cut</t>
  </si>
  <si>
    <t xml:space="preserve">credit_note_value_within_30_days, gross_outward_supply_value, median_days_invoice_to_credit_note, credit_note_count, invoice_date, credit_note_date, counterparty_gstin_concentration</t>
  </si>
  <si>
    <t xml:space="preserve">High and fast credit-note volume is normal in sectors with returns and rate protection: pharmaceutical distribution with expiry returns, FMCG and consumer durables with trade schemes and price support, e-commerce sellers with a 20-30% return rate, and apparel. Benchmark against sector peers rather than an absolute rate, and exclude credit notes that only adjust rate or discount without cancelling the whole invoice. The forensic shape is a full-value cancellation to a single counterparty just after a period end, so tighten when reversals concentrate in April for March invoices or when one buyer accounts for most of the reversed value.</t>
  </si>
  <si>
    <t xml:space="preserve">GSTR-1, E-Invoice IRN Data</t>
  </si>
  <si>
    <t xml:space="preserve">Pharma expiry returns and e-commerce customer returns generate genuine credit notes within days.</t>
  </si>
  <si>
    <t xml:space="preserve">FIN-006 (revenue loaded into late March), TAX-013 (sudden turnover in a dormant GSTIN), TAX-014 (GSTR-1 against GSTR-3B)</t>
  </si>
  <si>
    <t xml:space="preserve">CGST Act s.34; ICAI cut-off testing guidance</t>
  </si>
  <si>
    <t xml:space="preserve">TAX-013</t>
  </si>
  <si>
    <t xml:space="preserve">Dormant GSTIN suddenly reports turnover matching one buyer's credit requirement</t>
  </si>
  <si>
    <t xml:space="preserve">A registration that filed nil or tiny returns for months suddenly reports large outward supply, and almost all of it goes to a single buyer whose credit shortfall it exactly covers. This is credit manufactured to order.</t>
  </si>
  <si>
    <t xml:space="preserve">prior_6m_avg_outward_supply &lt; 500000 AND current_period_outward_supply &gt; 20 * prior_6m_avg_outward_supply AND top_recipient_share &gt; 0.80 AND abs(supply_to_top_recipient - recipient_itc_shortfall) / supply_to_top_recipient &lt; 0.15</t>
  </si>
  <si>
    <t xml:space="preserve">Outward supply jumps more than 20x over a 6-month baseline, top-buyer share &gt; 80%, and the value sits within 15% of that buyer's credit gap</t>
  </si>
  <si>
    <t xml:space="preserve">Rolling 12 months with a 6-month baseline</t>
  </si>
  <si>
    <t xml:space="preserve">prior_6m_avg_outward_supply, current_period_outward_supply, top_recipient_share, supply_to_top_recipient, recipient_itc_shortfall, gstin_registration_date, cash_ledger_payment</t>
  </si>
  <si>
    <t xml:space="preserve">Genuine step changes happen when a small vendor wins a first large contract, when a seasonal trader hits the festival or harvest cycle, when a startup begins commercial supply after INC-20A, and when a group reroutes billing through one entity after a restructuring. Suppress where the buyer is a government department, listed company or PSU and the contract is on a tender portal. The distinguishing features are the absence of any hiring, premises or capex to support the jump, near-zero cash tax payment on the new turnover, and the arithmetic coincidence with the buyer's shortfall. Treat the arithmetic match as the deciding condition, since sudden growth alone is common.</t>
  </si>
  <si>
    <t xml:space="preserve">GSTR-1, GSTR-3B</t>
  </si>
  <si>
    <t xml:space="preserve">Derived — cross-entity graph, E-Way Bill Data</t>
  </si>
  <si>
    <t xml:space="preserve">A small supplier winning its first large order legitimately shows a step change concentrated on one customer.</t>
  </si>
  <si>
    <t xml:space="preserve">TAX-004 (liability paid wholly from credit), TAX-003 (tainted supplier credit), TAX-026 (multi-state registrations without footprint)</t>
  </si>
  <si>
    <t xml:space="preserve">DGGI fake ITC beneficiary typology; CGST Act s.132(1)(b)</t>
  </si>
  <si>
    <t xml:space="preserve">TAX-014</t>
  </si>
  <si>
    <t xml:space="preserve">Return reconciliation</t>
  </si>
  <si>
    <t xml:space="preserve">Outward supply in GSTR-1 does not agree with tax declared in GSTR-3B</t>
  </si>
  <si>
    <t xml:space="preserve">The invoice-level sales return (GSTR-1) and the summary payment return (GSTR-3B) tell different stories about the same months. A persistent gap means either tax was charged to buyers and not paid, or turnover was declared to buyers only to feed their credit.</t>
  </si>
  <si>
    <t xml:space="preserve">abs(taxable_value_gstr1 - taxable_value_3b_table31) / taxable_value_gstr1 &gt; 0.10 AND abs(taxable_value_gstr1 - taxable_value_3b_table31) &gt; 1000000 AND periods_with_gap &gt;= 3</t>
  </si>
  <si>
    <t xml:space="preserve">Gap &gt; 10% of GSTR-1 taxable value and &gt; INR 10 lakh, in 3 or more tax periods; assessed on a rolling quarter to absorb timing</t>
  </si>
  <si>
    <t xml:space="preserve">taxable_value_gstr1, taxable_value_3b_table31, rcm_supply_value, amendment_value_gstr1, periods_with_gap, credit_note_value, advance_receipt_tax</t>
  </si>
  <si>
    <t xml:space="preserve">Reconcile on a rolling quarter, never on a single month: QRMP filers report invoices through IFF, amendments in Tables 9A/9C land in later periods, and tax on advances sits in GSTR-3B before the invoice reaches GSTR-1. Net out supplies where the recipient pays under reverse charge, which appear in GSTR-1 but carry no liability in the supplier's 3B, and exports made under LUT. A GSTR-1 that persistently exceeds GSTR-3B is the evasion direction and should outrank the opposite gap, which is usually short payment corrected later with interest. Escalate when the excess is never squared in GSTR-9.</t>
  </si>
  <si>
    <t xml:space="preserve">GSTR-9 / 9C Annual Return, E-Invoice IRN Data</t>
  </si>
  <si>
    <t xml:space="preserve">QRMP filing, amendments and tax on advances legitimately shift value between the two returns across months.</t>
  </si>
  <si>
    <t xml:space="preserve">TAX-015 (annual return differences), TAX-013 (sudden turnover in a dormant GSTIN), CMP-033 (nil GSTR-3B against live GSTR-1)</t>
  </si>
  <si>
    <t xml:space="preserve">CGST Act s.37 and s.39; GSTN system-generated GSTR-3B comparison</t>
  </si>
  <si>
    <t xml:space="preserve">TAX-015</t>
  </si>
  <si>
    <t xml:space="preserve">Monthly GSTR-3B totals do not tie to GSTR-9 and the 9C difference is left unexplained</t>
  </si>
  <si>
    <t xml:space="preserve">The annual return (GSTR-9) and the reconciliation statement (GSTR-9C) show turnover or tax figures that do not match the monthly returns or the audited accounts, and the taxpayer offers no reason. An unexplained reconciliation line is where undeclared turnover or excess credit is parked.</t>
  </si>
  <si>
    <t xml:space="preserve">abs(sum_monthly_3b_liability - gstr9_table9_tax_paid) &gt; 0.05 * gstr9_table9_tax_paid AND gstr9c_unreconciled_turnover_table8 &gt; 0.05 * audited_turnover AND gstr9c_reason_text_length &lt; 50</t>
  </si>
  <si>
    <t xml:space="preserve">Annual-to-monthly tax gap &gt; 5%, or unreconciled turnover in GSTR-9C Table 8 &gt; 5% of audited turnover with no narrative reason</t>
  </si>
  <si>
    <t xml:space="preserve">1 FY, filed by 31 December of the following year</t>
  </si>
  <si>
    <t xml:space="preserve">sum_monthly_3b_liability, gstr9_table9_tax_paid, gstr9c_unreconciled_turnover_table8, audited_turnover, gstr9c_unreconciled_itc_table13, gstr9c_reason_text_length, gstr9c_auditor_recommendation_table11</t>
  </si>
  <si>
    <t xml:space="preserve">Genuine reconciling items are routine and should be netted before testing: turnover of other GSTINs on the same PAN, unbilled revenue and Ind AS 115 timing, deemed supplies under Schedule I, foreign-exchange restatement on exports, and financial credit notes with no GST impact. Small taxpayers below INR 5 crore need not file 9C at all and below INR 2 crore need not file 9, so gate the rule on aggregate turnover. Since 9C became self-certified in FY 2020-21 the narrative quality dropped generally, so weigh the size of the unreconciled amount more than its wording, and tighten where the taxpayer paid the difference through DRC-03 only after a notice.</t>
  </si>
  <si>
    <t xml:space="preserve">GSTR-9 / 9C Annual Return, GSTR-3B</t>
  </si>
  <si>
    <t xml:space="preserve">Multi-GSTIN groups and Ind AS revenue timing produce large but perfectly ordinary reconciliation lines in GSTR-9C.</t>
  </si>
  <si>
    <t xml:space="preserve">TAX-014 (GSTR-1 against GSTR-3B), TAX-019 (GST against ITR and book turnover), TAX-006 (missing reversals)</t>
  </si>
  <si>
    <t xml:space="preserve">CGST Act s.44; Rule 80 CGST Rules</t>
  </si>
  <si>
    <t xml:space="preserve">TAX-016</t>
  </si>
  <si>
    <t xml:space="preserve">B2B invoices in GSTR-1 with no matching e-invoice IRN</t>
  </si>
  <si>
    <t xml:space="preserve">Where e-invoicing applies, every B2B invoice must carry an Invoice Reference Number (IRN) issued by the government portal, and GSTR-1 is auto-populated from it. B2B lines typed in manually without an IRN are invoices that never passed the portal's validation and can be created after the fact.</t>
  </si>
  <si>
    <t xml:space="preserve">einvoice_applicable_flag == true AND (b2b_invoice_value_gstr1 - irn_matched_invoice_value) / b2b_invoice_value_gstr1 &gt; 0.15 AND (b2b_invoice_value_gstr1 - irn_matched_invoice_value) &gt; 2500000</t>
  </si>
  <si>
    <t xml:space="preserve">More than 15% of B2B value without an IRN and more than INR 25 lakh; applies where aggregate turnover crossed INR 5 crore in any FY from 2017-18</t>
  </si>
  <si>
    <t xml:space="preserve">einvoice_applicable_flag, b2b_invoice_value_gstr1, irn_matched_invoice_value, irn_cancellation_count, aggregate_turnover_highest_fy, supply_type_code, irn_generation_timestamp</t>
  </si>
  <si>
    <t xml:space="preserve">Exclude the categories the notification exempts even above the turnover limit: banks, insurers, NBFCs, goods transport agencies, passenger transport, cinema admission, SEZ units (though not SEZ developers), and government departments. Exclude B2C, nil-rated and exempt supply and imports. The turnover test is the highest aggregate turnover of any year from 2017-18 onward, so an entity whose turnover has since fallen still remains covered. Also examine repeated IRN cancellations within 24 hours, which achieve the same effect as never generating one. This overlaps the pure compliance test for non-generation, so keep this rule focused on the value gap rather than on the fact of default.</t>
  </si>
  <si>
    <t xml:space="preserve">Exempted sectors such as banking, insurance and transport are outside e-invoicing despite large turnover.</t>
  </si>
  <si>
    <t xml:space="preserve">CMP-037 (e-invoicing mandatory but no IRN), TAX-012 (invoices reversed by credit notes), TAX-014 (GSTR-1 against GSTR-3B)</t>
  </si>
  <si>
    <t xml:space="preserve">Rule 48(4) CGST Rules; Notification 10/2023-CT</t>
  </si>
  <si>
    <t xml:space="preserve">TAX-017</t>
  </si>
  <si>
    <t xml:space="preserve">Purchase register carries invoices that never appear in GSTR-2A or 2B</t>
  </si>
  <si>
    <t xml:space="preserve">Invoice-level matching of the books of purchase against the portal statements shows suppliers who never reported the sale. Unlike a return-level gap this points at named invoices, and a cluster of them from a few suppliers is the classic accommodation-bill pattern.</t>
  </si>
  <si>
    <t xml:space="preserve">unmatched_purchase_invoice_value / total_purchase_invoice_value &gt; 0.10 AND unmatched_supplier_count &gt;= 3 AND max_unmatched_share_per_supplier &gt; 0.50 AND total_purchase_invoice_value &gt; 10000000</t>
  </si>
  <si>
    <t xml:space="preserve">Unmatched purchase value &gt; 10% of purchases, from 3 or more suppliers, with at least one supplier more than half unmatched; purchase floor INR 1 crore</t>
  </si>
  <si>
    <t xml:space="preserve">1 FY plus the following April to November availment window</t>
  </si>
  <si>
    <t xml:space="preserve">unmatched_purchase_invoice_value, total_purchase_invoice_value, unmatched_supplier_count, max_unmatched_share_per_supplier, supplier_gstin, invoice_number_series, supplier_filing_frequency</t>
  </si>
  <si>
    <t xml:space="preserve">A quarter of a purchase book routinely fails a naive match for innocent reasons: supplier filed under QRMP so the invoice lands a quarter later, GSTIN or invoice number keyed wrongly in the books, credit belongs to another registration of the same PAN, or the purchase is an import or a reverse-charge self-invoice that never sits in 2A. Re-run the match after the section 16(4) window closes on 30 November of the following year before concluding, and use fuzzy matching on invoice number and value. Escalate when the unmatched suppliers are new registrations, when their invoice numbers run in an unbroken series issued only to this buyer, or when payment to them was in cash or routed back.</t>
  </si>
  <si>
    <t xml:space="preserve">GSTR-2A / 2B, Tax Audit Report (Form 3CD)</t>
  </si>
  <si>
    <t xml:space="preserve">Quarterly QRMP suppliers and keying errors leave genuine invoices unmatched until the next quarter.</t>
  </si>
  <si>
    <t xml:space="preserve">TAX-002 (credit exceeding GSTR-2B), TAX-003 (cancelled or non-paying suppliers), TAX-035 (bogus purchase disallowance)</t>
  </si>
  <si>
    <t xml:space="preserve">CGST Act s.16(2)(aa) and s.16(4); DGARM matching analytics</t>
  </si>
  <si>
    <t xml:space="preserve">TAX-018</t>
  </si>
  <si>
    <t xml:space="preserve">Identical or near-identical figures repeated across consecutive monthly returns</t>
  </si>
  <si>
    <t xml:space="preserve">Every month of the year reports the same turnover, the same credit and the same tax, to the rupee or nearly so. Real trade fluctuates with orders and seasons, so a flat line means the return is being filled from a template rather than from books.</t>
  </si>
  <si>
    <t xml:space="preserve">coefficient_of_variation(monthly_taxable_turnover, 12) &lt; 0.05 AND distinct_monthly_values / 12 &lt; 0.35 AND round_number_share_of_periods &gt; 0.50 AND annual_aggregate_turnover &gt; 12000000</t>
  </si>
  <si>
    <t xml:space="preserve">Coefficient of variation of monthly turnover &lt; 5% with fewer than 5 distinct monthly values in 12, or more than half the months ending in round lakhs; turnover floor INR 1.2 crore</t>
  </si>
  <si>
    <t xml:space="preserve">monthly_taxable_turnover, monthly_itc_availed, monthly_tax_paid_cash, distinct_monthly_values, round_number_share_of_periods, filing_timestamp, nic_code</t>
  </si>
  <si>
    <t xml:space="preserve">Flat monthly numbers are genuine where revenue is contractual and level: rent and lease income, annual maintenance contracts, subscription software, facility management, staffing and manpower supply billed on a fixed headcount, and franchise royalties. Suppress for these NIC codes and instead test round-number density and the Benford distribution of invoice values, which stay abnormal in fabricated books. Tighten where the flat line coexists with all twelve returns filed on the same day, with turnover sitting just under a threshold, or where the identical figure repeats across several GSTINs sharing a signatory.</t>
  </si>
  <si>
    <t xml:space="preserve">GSTR-3B, GSTR-1</t>
  </si>
  <si>
    <t xml:space="preserve">Rental, subscription and manpower contracts genuinely bill the same amount every month.</t>
  </si>
  <si>
    <t xml:space="preserve">TAX-045 (turnover parked below a threshold), CMP-010 (years of filings uploaded on one day), FIN-035 (Benford deviation on invoice values)</t>
  </si>
  <si>
    <t xml:space="preserve">Benford's law and round-number density testing; ICAI FAFP</t>
  </si>
  <si>
    <t xml:space="preserve">TAX-019</t>
  </si>
  <si>
    <t xml:space="preserve">Cross-system turnover mismatch</t>
  </si>
  <si>
    <t xml:space="preserve">GST turnover diverges from turnover declared in the income tax return and AOC-4 accounts</t>
  </si>
  <si>
    <t xml:space="preserve">The same year's sales are reported at materially different levels to the GST authority, the income tax department and the Registrar of Companies. One set of books is being shown to whichever authority suits, and the largest figure is usually the one used to raise credit or finance.</t>
  </si>
  <si>
    <t xml:space="preserve">max(gst_annual_turnover, itr_gross_receipts, aoc4_revenue_from_operations) / min(gst_annual_turnover, itr_gross_receipts, aoc4_revenue_from_operations) &gt; 1.20 AND max_minus_min_value &gt; 5000000</t>
  </si>
  <si>
    <t xml:space="preserve">Widest pairwise divergence &gt; 20% and &gt; INR 50 lakh in absolute terms across the three declarations</t>
  </si>
  <si>
    <t xml:space="preserve">1 FY, compared per FY across 3 FY</t>
  </si>
  <si>
    <t xml:space="preserve">gst_annual_turnover, itr_gross_receipts, aoc4_revenue_from_operations, other_income, export_turnover, schedule_iii_gross_vs_net_flag, gstr9c_turnover_reconciliation</t>
  </si>
  <si>
    <t xml:space="preserve">The three systems measure different things and a naive comparison fires on almost everybody. Add other income, interest, dividend and profit on sale of assets to the book side because these sit outside GST turnover; strip out Schedule III netting of discounts and the gross-versus-net presentation agents use; align the accounting year to the GST year for entities with a different reporting calendar; and aggregate every GSTIN on the PAN before comparing with the ITR. Exclude supplies outside the scope of GST such as securities trading, high-seas sales and Schedule III activities. What survives all these adjustments, especially when book turnover exceeds GST turnover, is real suppression. Tighten when the direction of the gap changes year to year.</t>
  </si>
  <si>
    <t xml:space="preserve">GSTR-9 / 9C Annual Return, Income Tax Return (ITR-5 / ITR-6)</t>
  </si>
  <si>
    <t xml:space="preserve">Other income, discount netting and a different accounting year make the two turnovers differ without any evasion.</t>
  </si>
  <si>
    <t xml:space="preserve">TAX-020 (GST against Form 26AS receipts), TAX-021 (bank credits far above GST turnover), CMP-041 (turnover inconsistent across filings)</t>
  </si>
  <si>
    <t xml:space="preserve">CBDT-GSTN data exchange MoU; CBDT Project Insight</t>
  </si>
  <si>
    <t xml:space="preserve">TAX-020</t>
  </si>
  <si>
    <t xml:space="preserve">Receipts in Form 26AS and TDS-implied turnover exceed declared GST turnover</t>
  </si>
  <si>
    <t xml:space="preserve">Customers have deducted tax at source on payments that are far larger than the sales the entity admits. Grossing up the TDS at the applicable section rate gives an independent floor for turnover, and declared turnover below that floor means sales are being suppressed.</t>
  </si>
  <si>
    <t xml:space="preserve">(sum_26as_receipts_business_sections / gst_annual_turnover) &gt; 1.25 AND (sum_26as_receipts_business_sections - gst_annual_turnover) &gt; 2500000 AND tds_implied_turnover &gt; gst_annual_turnover</t>
  </si>
  <si>
    <t xml:space="preserve">Form 26AS business receipts more than 125% of GST turnover and more than INR 25 lakh higher; TDS grossed up at the section rate (194C 1%/2%, 194J 10%, 194H 5%, 194Q 0.1%)</t>
  </si>
  <si>
    <t xml:space="preserve">1 FY</t>
  </si>
  <si>
    <t xml:space="preserve">sum_26as_receipts_business_sections, tds_implied_turnover, tds_section_code, gst_annual_turnover, exempt_supply_value, ais_sft_receipts, gst_tds_gstr7_credit</t>
  </si>
  <si>
    <t xml:space="preserve">Only business receipt sections belong in the comparison: exclude 194A interest, 194 dividend, 194IA property sale and salary. Receipts from exempt or non-GST activity such as interest, education, healthcare, agriculture and electricity carry TDS but no GST turnover, so net them out before comparing. Advances attract TDS on payment while GST liability on goods arises on invoice, giving a genuine year-boundary gap that reverses next year, so run the test over two years jointly. Grossing up assumes the correct section rate, so treat the implied figure as an order of magnitude and escalate only when the gap exceeds the widest plausible rate error. Also compare GSTR-7 TDS credits from government buyers.</t>
  </si>
  <si>
    <t xml:space="preserve">Form 26AS, GSTR-9 / 9C Annual Return</t>
  </si>
  <si>
    <t xml:space="preserve">AIS / TIS, TDS Returns (24Q / 26Q)</t>
  </si>
  <si>
    <t xml:space="preserve">Exempt receipts and advances carry TDS but no GST turnover in the same year.</t>
  </si>
  <si>
    <t xml:space="preserve">TAX-019 (GST against ITR and book turnover), TAX-031 (income implausible against 26AS and AIS), TAX-021 (bank credits far above turnover)</t>
  </si>
  <si>
    <t xml:space="preserve">Income-tax Act s.203AA; CBDT-GSTN data exchange</t>
  </si>
  <si>
    <t xml:space="preserve">TAX-021</t>
  </si>
  <si>
    <t xml:space="preserve">Bank credits far exceed declared GST turnover</t>
  </si>
  <si>
    <t xml:space="preserve">Money coming into the business accounts is many times the sales declared to GST. Either the entity is selling without invoicing, or its accounts are being used to move other people's money.</t>
  </si>
  <si>
    <t xml:space="preserve">(total_bank_credits - identified_non_sales_credits) / gst_annual_turnover &gt; 1.50 AND (total_bank_credits - identified_non_sales_credits - gst_annual_turnover) &gt; 5000000</t>
  </si>
  <si>
    <t xml:space="preserve">Adjusted bank credits more than 1.5x GST turnover and more than INR 50 lakh above it, across all disclosed accounts</t>
  </si>
  <si>
    <t xml:space="preserve">1 FY across all bank accounts</t>
  </si>
  <si>
    <t xml:space="preserve">total_bank_credits, identified_non_sales_credits, gst_annual_turnover, loan_disbursement_credits, intra_entity_transfer_credits, exempt_supply_receipts, bank_account_count_disclosed</t>
  </si>
  <si>
    <t xml:space="preserve">Credits are not revenue, and the deduction list must be built before the ratio is trusted: loan and overdraft disbursements, cash credit account churn where the same limit rotates many times a year, transfers between the entity's own accounts, security deposits, share capital and investor inflows, GST and income tax refunds, insurance claims, and collections made as an agent or aggregator. Suppress for entities whose model is pass-through such as travel agents, freight forwarders, clearing agents and payment aggregators, where gross collections dwarf commission turnover. Tighten sharply when the excess credits are immediately transferred out to a small set of counterparties, when they arrive in round figures, or when accounts appear that were never disclosed in the ITR balance sheet.</t>
  </si>
  <si>
    <t xml:space="preserve">Bank Statement, GSTR-9 / 9C Annual Return</t>
  </si>
  <si>
    <t xml:space="preserve">Income Tax Return (ITR-5 / ITR-6), AIS / TIS</t>
  </si>
  <si>
    <t xml:space="preserve">Cash credit limit rotation and agency collections inflate bank credits far above genuine sales.</t>
  </si>
  <si>
    <t xml:space="preserve">TAX-019 (turnover divergence across filings), FIN-030 (funds in and out within days), TAX-033 (unexplained cash credits)</t>
  </si>
  <si>
    <t xml:space="preserve">FIU-IND red flags; PMLA; Income-tax Act s.68</t>
  </si>
  <si>
    <t xml:space="preserve">TAX-022</t>
  </si>
  <si>
    <t xml:space="preserve">Aggregate e-way bill consignment value out of line with declared outward supply</t>
  </si>
  <si>
    <t xml:space="preserve">The total value of goods the entity moved on e-way bills does not match the sales it declared. Movement far above declared sales points to unbilled supply; movement far below sales points to invoices raised for goods that never travelled.</t>
  </si>
  <si>
    <t xml:space="preserve">abs(outward_ewb_consignment_value - goods_outward_supply_value) / goods_outward_supply_value &gt; 0.30 AND abs(outward_ewb_consignment_value - goods_outward_supply_value) &gt; 5000000</t>
  </si>
  <si>
    <t xml:space="preserve">Divergence &gt; 30% and &gt; INR 50 lakh between outward e-way bill value and declared goods turnover for the same period</t>
  </si>
  <si>
    <t xml:space="preserve">outward_ewb_consignment_value, goods_outward_supply_value, ewb_cancelled_value, branch_transfer_ewb_value, job_work_ewb_value, sales_return_inward_ewb_value, service_turnover_share</t>
  </si>
  <si>
    <t xml:space="preserve">E-way bill value is not turnover and several movements carry no sale at all: stock and branch transfers within a state on one GSTIN, goods sent for job work under a delivery challan, exhibition and approval-basis movement, sales returns coming back, and imports moving from port to warehouse. Strip these out with the document-type field before comparing. Consignment value also includes tax while turnover does not, so gross up the turnover side by the applicable rate. Cancelled e-way bills and those generated by the transporter for the same consignment cause double counting. The strong signal is movement value far exceeding declared sales in a cash-heavy trade, or declared sales far exceeding movement in a bulk commodity.</t>
  </si>
  <si>
    <t xml:space="preserve">GSTR-3B, E-Invoice IRN Data</t>
  </si>
  <si>
    <t xml:space="preserve">Branch transfers, job work movement and sales returns generate e-way bills that were never sales.</t>
  </si>
  <si>
    <t xml:space="preserve">TAX-011 (supply with no movement evidence), TAX-030 (values just below the e-way bill threshold), TAX-010 (sale without purchase)</t>
  </si>
  <si>
    <t xml:space="preserve">Rule 138 CGST Rules; DGARM e-way bill analytics</t>
  </si>
  <si>
    <t xml:space="preserve">TAX-023</t>
  </si>
  <si>
    <t xml:space="preserve">Registration analytics</t>
  </si>
  <si>
    <t xml:space="preserve">Registrations in several states with no premises, payroll or utility footprint there</t>
  </si>
  <si>
    <t xml:space="preserve">One PAN holds GSTINs in many states, but in those states there is no rent, no electricity, no employees and no local movement of goods. Multi-state registration without any local presence is used to create origin points for invoices rather than to do business.</t>
  </si>
  <si>
    <t xml:space="preserve">state_gstin_count &gt;= 4 AND states_with_no_local_footprint / state_gstin_count &gt; 0.50 AND sum(outward_supply_from_footprintless_states) &gt; 10000000 AND epfo_member_count_in_state == 0 AND local_utility_record_flag == false</t>
  </si>
  <si>
    <t xml:space="preserve">4 or more state GSTINs with more than half lacking any premises, EPFO/ESIC member or utility record; supply from those states above INR 1 crore</t>
  </si>
  <si>
    <t xml:space="preserve">Current FY, point-in-time registration check</t>
  </si>
  <si>
    <t xml:space="preserve">state_gstin_count, states_with_no_local_footprint, outward_supply_from_footprintless_states, epfo_member_count_in_state, local_utility_record_flag, rent_agreement_present_flag, ewb_origin_state_distribution</t>
  </si>
  <si>
    <t xml:space="preserve">Multi-state registration without staff is completely lawful in several models and must be excluded: e-commerce sellers holding stock in marketplace fulfilment centres, suppliers registering in a state only because of a works contract site or an exhibition, entities registered as an ISD or for TDS/TCS, and virtual-office registrations that the state itself accepted with a valid rent agreement. Check whether the state address is a marketplace warehouse or a shared virtual office before concluding. The real signal is outward supply flowing out of a state where no goods ever originated on e-way bills and no one was ever paid. Tighten when the same virtual office serves many PANs and when the state was chosen for a lower verification burden.</t>
  </si>
  <si>
    <t xml:space="preserve">EPFO ECR Filing, Electricity / Utility Bill, Rent Agreement / Lease Deed</t>
  </si>
  <si>
    <t xml:space="preserve">E-commerce sellers must register in every state where a marketplace warehouse holds their stock.</t>
  </si>
  <si>
    <t xml:space="preserve">CMP-035 (multi-state GSTINs without premises evidence), TAX-024 (shared principal place of business), TAX-011 (no movement evidence)</t>
  </si>
  <si>
    <t xml:space="preserve">CGST Act s.22 and s.25; Rule 8 and Rule 9 CGST Rules</t>
  </si>
  <si>
    <t xml:space="preserve">TAX-024</t>
  </si>
  <si>
    <t xml:space="preserve">Principal place of business shared by an improbable number of unrelated GSTINs</t>
  </si>
  <si>
    <t xml:space="preserve">The registered address is used by dozens of other GSTINs that have no common ownership. Address farms of this kind are how invoice-mill operators register and abandon entities in bulk.</t>
  </si>
  <si>
    <t xml:space="preserve">gstin_count_at_address_hash &gt;= 10 AND distinct_pan_count_at_address / gstin_count_at_address_hash &gt; 0.70 AND premises_area_sqft / gstin_count_at_address_hash &lt; 50 AND cancelled_gstin_share_at_address &gt; 0.20</t>
  </si>
  <si>
    <t xml:space="preserve">10 or more GSTINs at one address hash, mostly on unrelated PANs, under 50 sq ft each, with over 20% of them already cancelled</t>
  </si>
  <si>
    <t xml:space="preserve">Point in time, with 3 FY history of the address</t>
  </si>
  <si>
    <t xml:space="preserve">ppob_address_hash, gstin_count_at_address_hash, distinct_pan_count_at_address, premises_area_sqft, cancelled_gstin_share_at_address, address_first_seen_date, common_authorised_signatory_count</t>
  </si>
  <si>
    <t xml:space="preserve">Legitimate shared addresses are everywhere and must be classified out before the count means anything: co-working operators, business centres and virtual-office providers, SEZ and industrial estate common blocks, incubators and university parks, commercial towers where the address hash resolves only to the building and not the unit, and group companies at one head office. Normalise the address to unit or door number, not to the building, or the rule will fire on every tower in the country. The decisive add-ons are a high proportion of already-cancelled registrations at the same address, a shared authorised signatory or DSC across unrelated PANs, and registrations created in bursts within weeks of each other.</t>
  </si>
  <si>
    <t xml:space="preserve">INC-22 Registered Office, Rent Agreement / Lease Deed, Google Maps / Street Imagery</t>
  </si>
  <si>
    <t xml:space="preserve">Co-working spaces and business centres lawfully host dozens of unrelated registrations at one address.</t>
  </si>
  <si>
    <t xml:space="preserve">TAX-009 (supplier and recipient share identifiers), TAX-023 (states with no footprint), CMP-014 (registered office shifted repeatedly)</t>
  </si>
  <si>
    <t xml:space="preserve">Rule 9 CGST Rules; CBIC special drive against fake registrations</t>
  </si>
  <si>
    <t xml:space="preserve">TAX-025</t>
  </si>
  <si>
    <t xml:space="preserve">HSN profile inconsistent with the entity's declared line of business</t>
  </si>
  <si>
    <t xml:space="preserve">The goods and service codes reported in the returns have nothing to do with the objects in the charter or the industry code on record. Invoice mills bill whatever commodity the buyer needs credit in, so their HSN mix drifts away from any real trade.</t>
  </si>
  <si>
    <t xml:space="preserve">hsn_nic_consistency_score &lt; 0.30 AND distinct_hsn4_count &gt;= 5 AND unrelated_hsn_supply_share &gt; 0.50 AND annual_aggregate_turnover &gt; 10000000</t>
  </si>
  <si>
    <t xml:space="preserve">Consistency score below 0.30 on the HSN-to-NIC mapping with over half of turnover in unrelated codes; turnover floor INR 1 crore</t>
  </si>
  <si>
    <t xml:space="preserve">hsn_code_list, hsn_nic_consistency_score, distinct_hsn4_count, unrelated_hsn_supply_share, nic_code, moa_main_objects_text, annual_aggregate_turnover</t>
  </si>
  <si>
    <t xml:space="preserve">General trading houses, distributors, e-commerce aggregators, government tender suppliers and industrial consumable dealers legitimately carry a wide and mixed HSN book, so suppress where NIC is wholesale or retail trade (46xx/47xx) or where the MOA main objects are drafted as general trading. Small entities need report only 4-digit HSN, which coarsens the mapping and inflates the score, so apply the rule only above the reporting turnover band. Conglomerates and job workers also cross sectors legitimately. The strong shape is a specialised entity, for example a software or consultancy company, suddenly invoicing metals, scrap, tobacco or electronics, which are the commodities that dominate fake-credit cases.</t>
  </si>
  <si>
    <t xml:space="preserve">GSTR-1, MCA Company Master Data</t>
  </si>
  <si>
    <t xml:space="preserve">MOA / AOA, GSTR-9 / 9C Annual Return</t>
  </si>
  <si>
    <t xml:space="preserve">General trading and distribution businesses lawfully deal in dozens of unrelated commodity codes.</t>
  </si>
  <si>
    <t xml:space="preserve">TAX-010 (sale of goods never purchased), TAX-026 (frequent HSN switching), TAX-007 (blocked credit claimed)</t>
  </si>
  <si>
    <t xml:space="preserve">Notification 78/2020-CT HSN reporting; CBIC risk parameters</t>
  </si>
  <si>
    <t xml:space="preserve">TAX-026</t>
  </si>
  <si>
    <t xml:space="preserve">Commodity codes switch frequently and core registration fields are amended repeatedly</t>
  </si>
  <si>
    <t xml:space="preserve">The entity keeps changing what it sells and keeps amending its registration details such as trade name, place of business, promoters or bank account. Constant churn in the identity of a registration is how a shell keeps ahead of verification.</t>
  </si>
  <si>
    <t xml:space="preserve">hsn_switch_count_3fy &gt;= 3 AND hsn_overlap_between_years &lt; 0.30 AND core_amendment_count_reg14_3fy &gt;= 3 AND entity_age_years &lt;= 5</t>
  </si>
  <si>
    <t xml:space="preserve">3 or more substantial HSN changes and 3 or more core-field amendments (REG-14) in 3 FY with under 30% year-on-year HSN overlap</t>
  </si>
  <si>
    <t xml:space="preserve">hsn_switch_count_3fy, hsn_overlap_between_years, core_amendment_count_reg14_3fy, amended_field_type, ppob_change_count, promoter_change_count, bank_account_change_count</t>
  </si>
  <si>
    <t xml:space="preserve">Young businesses pivot for perfectly honest reasons, and address or bank changes follow growth, a lease expiry, a bank switch or a state relocation, so the count alone means little. Weight the type of amendment: change of promoters, of the authorised signatory and of the principal place of business matter far more than a phone number or an additional place of business added for a new warehouse. Suppress for startups in the first two years and for entities that changed name after a genuine MCA name change or a scheme of amalgamation. Tighten when the amendments cluster shortly before a spike in outward supply or shortly after a departmental notice.</t>
  </si>
  <si>
    <t xml:space="preserve">GST Registration Certificate (REG-06), GSTR-1</t>
  </si>
  <si>
    <t xml:space="preserve">MCA Company Master Data, DIR-12 Director Change</t>
  </si>
  <si>
    <t xml:space="preserve">A young business pivoting its product line and moving premises files several legitimate amendments.</t>
  </si>
  <si>
    <t xml:space="preserve">TAX-025 (HSN inconsistent with the business), TAX-013 (sudden turnover in a dormant GSTIN), CMP-016 (company name changed repeatedly)</t>
  </si>
  <si>
    <t xml:space="preserve">Rule 19 CGST Rules; Form GST REG-14</t>
  </si>
  <si>
    <t xml:space="preserve">TAX-027</t>
  </si>
  <si>
    <t xml:space="preserve">E-way bill movement analytics</t>
  </si>
  <si>
    <t xml:space="preserve">Same vehicle number appears on e-way bills covering physically impossible journeys</t>
  </si>
  <si>
    <t xml:space="preserve">One truck is shown carrying different consignments on routes it could not have covered in the time between them. Fake invoices still need a vehicle number in Part-B of the e-way bill (the document that must accompany goods in movement), so the same number gets recycled across overlapping trips.</t>
  </si>
  <si>
    <t xml:space="preserve">(consecutive_leg_distance_km / consecutive_leg_gap_hours) &gt; 60 AND impossible_pair_count &gt;= 3 AND distinct_generator_gstin_count &gt;= 2</t>
  </si>
  <si>
    <t xml:space="preserve">Implied road speed above 60 km/h sustained between two Part-B entries (Indian long-haul trucking averages 30-40 km/h door to door); 3 or more impossible pairs in 90 days</t>
  </si>
  <si>
    <t xml:space="preserve">Rolling 90 days</t>
  </si>
  <si>
    <t xml:space="preserve">vehicle_number, part_b_update_timestamp, from_pincode, to_pincode, consecutive_leg_distance_km, consecutive_leg_gap_hours, impossible_pair_count, distinct_generator_gstin_count</t>
  </si>
  <si>
    <t xml:space="preserve">Two lawful patterns create apparent overlap and must be netted out first: transhipment, where the same consignment moves under a consolidated e-way bill in Form GST EWB-02 and Part-B is updated for each leg, and less-than-truckload courier or parcel work, where one vehicle legitimately carries hundreds of consignments for hundreds of consignors on one run. Vehicle numbers are also mistyped constantly, so require a valid registration-mark format and at least two clean confirmations before scoring. The forensic weight is in the direction and the ownership: two consignments moving in opposite directions from unrelated GSTINs on the same day is far stronger than a tight schedule on one corridor. Tighten when the vehicle is registered to a class that cannot carry the goods, when FASTag or RFID reads at toll plazas contradict the declared route, and when the generators share a PAN, address or bank account.</t>
  </si>
  <si>
    <t xml:space="preserve">E-Way Bill Data</t>
  </si>
  <si>
    <t xml:space="preserve">Transhipment under a consolidated e-way bill and mistyped vehicle numbers produce overlaps that look impossible but are not.</t>
  </si>
  <si>
    <t xml:space="preserve">TAX-011 (declared supply with no credible movement), TAX-028 (vehicle incapable of the declared load), TAX-010 (outward supply never purchased inward)</t>
  </si>
  <si>
    <t xml:space="preserve">CGST Rules r.138 Part-B; NIC e-way bill vehicle-reuse analytics; CGST Act s.129</t>
  </si>
  <si>
    <t xml:space="preserve">TAX-028</t>
  </si>
  <si>
    <t xml:space="preserve">Vehicle class registered in VAHAN cannot carry the load declared on the e-way bill</t>
  </si>
  <si>
    <t xml:space="preserve">The e-way bill shows tonnes of goods moving on a scooter, car, auto rickshaw or a truck whose registered payload is far smaller. Fake billing needs any vehicle number that the portal will accept, so the number entered often belongs to a vehicle that could never do the job.</t>
  </si>
  <si>
    <t xml:space="preserve">vehicle_class_vahan IN ('Two Wheeler','Motor Car','Auto Rickshaw','Moped','Tractor') OR (declared_quantity_kg &gt; 1.10 * (gross_vehicle_weight_kg - unladen_weight_kg) AND declared_quantity_kg &gt; 500)</t>
  </si>
  <si>
    <t xml:space="preserve">Declared load more than 10% above registered payload (gross vehicle weight less unladen weight), or vehicle class not a goods carrier; 2 or more instances in the period</t>
  </si>
  <si>
    <t xml:space="preserve">vehicle_number, vehicle_class_vahan, gross_vehicle_weight_kg, unladen_weight_kg, declared_quantity_kg, uqc_declared, consignment_value, hsn_code</t>
  </si>
  <si>
    <t xml:space="preserve">The payload test can only run where the unit of quantity (UQC) converts reliably to mass, so restrict it to KGS, TON, QTL and MTR of known density and never infer weight from NOS, PCS, BOX or LTR without an HSN-level density factor. Light and bulky cargo fills a truck well below payload, so only overload is evidence and underload is meaningless. Two-wheeler and three-wheeler movement is genuinely used for e-commerce last mile and city pharma distribution, but the consignment value there is small, so score class and value together. Suppress where the vehicle is not in VAHAN for lawful reasons: BH-series and newly registered vehicles with data lag, temporary registration, defence and state transport numbers, and trailers where the operator entered the tractor unit. Tighten when the same non-goods vehicle recurs across several consignments or several unrelated consignors.</t>
  </si>
  <si>
    <t xml:space="preserve">Unit-of-measure conversion errors and vehicles missing from VAHAN make a legitimate movement look impossible.</t>
  </si>
  <si>
    <t xml:space="preserve">TAX-027 (impossible overlapping journeys), TAX-011 (hollow e-way bill), TAX-022 (e-way bill value out of line with outward supply)</t>
  </si>
  <si>
    <t xml:space="preserve">CGST Rules r.138 Part-B; Motor Vehicles Act registration class; NIC-VAHAN integration</t>
  </si>
  <si>
    <t xml:space="preserve">TAX-029</t>
  </si>
  <si>
    <t xml:space="preserve">Declared route distance and validity period on the e-way bill do not fit each other</t>
  </si>
  <si>
    <t xml:space="preserve">The distance keyed into the e-way bill does not match the actual distance between the two PIN codes, and the validity claimed is longer than the route needs. Extra validity days let one document cover repeated trips or be reused after the goods have already been delivered.</t>
  </si>
  <si>
    <t xml:space="preserve">(abs(declared_distance_km - system_pin_to_pin_distance_km) / system_pin_to_pin_distance_km) &gt; 0.10 AND validity_days_claimed &gt; ceil(system_pin_to_pin_distance_km / 200) AND flagged_ewb_count &gt;= 3</t>
  </si>
  <si>
    <t xml:space="preserve">Declared distance more than 10% away from the portal's PIN-to-PIN distance (the tolerance the portal itself allows) or validity beyond one day per 200 km; 3 or more e-way bills in a quarter</t>
  </si>
  <si>
    <t xml:space="preserve">Rolling quarter</t>
  </si>
  <si>
    <t xml:space="preserve">flagged_ewb_count, declared_distance_km, system_pin_to_pin_distance_km, from_pincode, to_pincode, validity_days_claimed, extension_count, cargo_type_odc_flag</t>
  </si>
  <si>
    <t xml:space="preserve">Validity arithmetic differs by cargo type and applying the wrong slab creates pure noise: Rule 138(10) gives one day per 200 km for ordinary cargo but one day per 20 km for over-dimensional cargo and for multimodal movement where one leg is by vessel, so exclude ODC and ship legs from the 200 km test entirely. The portal auto-populates PIN-to-PIN distance and permits manual entry within a band, and genuine detours arise from restricted-route notifications, monsoon and hill closures, breakdowns, strikes and border checks, all of which also justify the extension permitted in exceptional circumstances. Intra-city movement legitimately shows near-zero distance. The pattern worth escalating is long validity that is never accompanied by a Part-B vehicle update at all, or delivery evidence at a PIN code different from the declared destination, which means the document was created for the paper trail and not for a journey.</t>
  </si>
  <si>
    <t xml:space="preserve">GSTR-1, Bill of Lading / Airway Bill</t>
  </si>
  <si>
    <t xml:space="preserve">Detours, breakdowns and route restrictions routinely make actual distance and validity diverge from the portal's straight-line estimate.</t>
  </si>
  <si>
    <t xml:space="preserve">TAX-027 (impossible overlapping journeys), TAX-030 (bulk generation bursts), TAX-011 (hollow e-way bill)</t>
  </si>
  <si>
    <t xml:space="preserve">CGST Rules r.138(10) validity; NIC PIN-to-PIN distance engine</t>
  </si>
  <si>
    <t xml:space="preserve">TAX-030</t>
  </si>
  <si>
    <t xml:space="preserve">E-way bills generated in one timestamp burst covering many older invoice dates</t>
  </si>
  <si>
    <t xml:space="preserve">Hundreds of e-way bills are created in one sitting, for invoices dated across several earlier days or weeks. The law requires the e-way bill before movement begins, so a burst covering old invoices means the paperwork was manufactured after the fact.</t>
  </si>
  <si>
    <t xml:space="preserve">ewb_count_per_window &gt;= 25 AND distinct_invoice_date_count_in_burst &gt;= 5 AND median_invoice_to_ewb_lag_days &gt; 3 AND (burst_share_of_period_ewb &gt; 0.50 OR hour(ewb_generation_timestamp) BETWEEN 0 AND 5)</t>
  </si>
  <si>
    <t xml:space="preserve">25 or more e-way bills in a 5-minute window spanning 5 or more invoice dates with a median invoice-to-generation lag above 3 days; or more than 50% of a month's e-way bills generated on one day</t>
  </si>
  <si>
    <t xml:space="preserve">ewb_generation_timestamp, invoice_date, generator_gstin, ewb_count_per_window, distinct_invoice_date_count_in_burst, median_invoice_to_ewb_lag_days, burst_share_of_period_ewb, generation_ip_address</t>
  </si>
  <si>
    <t xml:space="preserve">Bulk generation is normal and lawful: the NIC bulk-upload utility, GSP and ERP API integrations and automatic Part-A creation from e-invoicing all produce tight timestamp clusters, so density on its own carries no information and will fire on every mid-sized manufacturer. The forensic content is entirely in the lag between invoice date and generation timestamp, because a genuine dispatch generates the document minutes before the truck leaves. Suppress for entities with a registered GSP or API integration whose lag distribution is normally under a day, and for consolidated e-way bills raised at a hub. Tighten when bursts cluster in the last two days of a month, quarter or financial year, when one IP address or device generates bursts for several unrelated GSTINs, when every invoice in the burst is to a single recipient, and when the burst is followed by credit notes.</t>
  </si>
  <si>
    <t xml:space="preserve">GSTR-1, IP &amp; Device Fingerprint Log</t>
  </si>
  <si>
    <t xml:space="preserve">ERP or GSP batch uploads legitimately create hundreds of e-way bills in a single API run.</t>
  </si>
  <si>
    <t xml:space="preserve">TAX-012 (invoices cancelled by credit notes within days), TAX-018 (identical figures across months), TAX-013 (dormant GSTIN suddenly reporting turnover)</t>
  </si>
  <si>
    <t xml:space="preserve">CGST Rules r.138(1) generation before movement; DGGI fake-invoice syndicate typology</t>
  </si>
  <si>
    <t xml:space="preserve">TAX-031</t>
  </si>
  <si>
    <t xml:space="preserve">Transporter network analysis</t>
  </si>
  <si>
    <t xml:space="preserve">One transporter ID carries goods for many unconnected suppliers on almost no fleet</t>
  </si>
  <si>
    <t xml:space="preserve">A single transporter enrolment number appears on e-way bills of dozens of unrelated suppliers while declaring only a handful of vehicles. Fake-invoice networks reuse one cooperative transporter ID to make paper movements look real.</t>
  </si>
  <si>
    <t xml:space="preserve">distinct_generator_gstin_count &gt;= 20 AND (distinct_generator_gstin_count / distinct_vehicle_count) &gt; 10 AND (cancelled_or_nonfiler_consignor_share &gt; 0.20 OR consignor_shared_address_count &gt;= 3)</t>
  </si>
  <si>
    <t xml:space="preserve">20 or more unrelated consignor GSTINs per transporter ID at a ratio above 10 consignors per declared vehicle, with more than 20% of consignors suspended, cancelled or non-filing</t>
  </si>
  <si>
    <t xml:space="preserve">transporter_id, distinct_generator_gstin_count, distinct_vehicle_count, consignor_shared_address_count, cancelled_or_nonfiler_consignor_share, transporter_gst_filing_status, transporter_enrolment_date, consignment_value_total</t>
  </si>
  <si>
    <t xml:space="preserve">A genuine goods transport agency, courier or 3PL operator serves thousands of consignors and that alone means nothing, so this rule must never fire on consignor count by itself. The discriminating ratio is consignors to declared vehicles, read together with the quality of the consignor book. GTAs under reverse charge legitimately show low outward tax and small GSTR-1 values because the recipient pays, so a thin filing profile is not evidence. Suppress for transporters with a VAHAN-registered fleet proportionate to their volumes, national courier and e-commerce logistics operators, and freight aggregator platforms that declare one transporter ID for many clients. Tighten when the transporter enrolment in Form GST ENR-01 was taken within months of the consignors' registrations, when consignors share PAN, address, phone or bank account, and when the person behind the transporter ID is also a director, partner or authorised signatory of the consignors.</t>
  </si>
  <si>
    <t xml:space="preserve">E-Way Bill Data, Derived — cross-entity graph</t>
  </si>
  <si>
    <t xml:space="preserve">GST Registration Certificate (REG-06), MCA Company Master Data</t>
  </si>
  <si>
    <t xml:space="preserve">Genuine transport agencies and courier companies serve very large numbers of unrelated consignors by design.</t>
  </si>
  <si>
    <t xml:space="preserve">TAX-009 (supplier and recipient share identifiers), TAX-024 (shared principal place of business), TAX-027 (impossible overlapping journeys)</t>
  </si>
  <si>
    <t xml:space="preserve">CGST Rules r.58 and r.138(2A) transporter enrolment; DGGI fake-invoice network typology</t>
  </si>
  <si>
    <t xml:space="preserve">TAX-032</t>
  </si>
  <si>
    <t xml:space="preserve">Consignment values bunched just under the e-way bill threshold</t>
  </si>
  <si>
    <t xml:space="preserve">An unusual share of invoices sit a few thousand rupees below the value at which an e-way bill becomes compulsory, and large orders are split into several same-day invoices to the same buyer. This keeps goods moving with no movement record for anyone to check.</t>
  </si>
  <si>
    <t xml:space="preserve">share_of_invoices_in_threshold_band &gt; 0.25 AND invoice_count_in_band &gt;= 20 AND same_day_same_recipient_split_count &gt;= 3 AND share_of_invoices_in_threshold_band &gt; 3 * peer_band_share</t>
  </si>
  <si>
    <t xml:space="preserve">More than 25% of B2B invoice values within 10% below the applicable state threshold (INR 50,000 inter-state; INR 1 lakh intra-state where notified) against a peer base rate under 8%; 3 or more same-day same-recipient splits</t>
  </si>
  <si>
    <t xml:space="preserve">invoice_value, share_of_invoices_in_threshold_band, recipient_gstin, ewb_generated_flag, invoice_count_in_band, state_ewb_threshold, same_day_same_recipient_split_count, peer_band_share</t>
  </si>
  <si>
    <t xml:space="preserve">Apply the state's own threshold rather than a flat INR 50,000, because several states notified higher intra-state limits (Delhi, Maharashtra and West Bengal at INR 1 lakh, Bihar higher still) and Rule 138(14) exempts specified goods, non-motorised conveyance and short movements to and from a weighbridge altogether. Many honest businesses genuinely trade in a narrow ticket size — FMCG route distribution, pharma stockists, hardware and stationery wholesale — so compare the in-band share against the entity's own historic distribution and its sector base rate rather than an absolute cut-off, and require a step change to fire. The strong form is splitting: several invoices to the same recipient on the same day that individually fall below the threshold but together exceed it, which the consignment-value test in Rule 138 already reaches. Tighten when the same buyer previously received larger single invoices, when the split invoices carry consecutive serial numbers, and when transport is shown as by hand or unregistered.</t>
  </si>
  <si>
    <t xml:space="preserve">E-Invoice IRN Data, GSTR-2A / 2B</t>
  </si>
  <si>
    <t xml:space="preserve">Distributors and stockists naturally invoice in a narrow value band that happens to sit under the threshold.</t>
  </si>
  <si>
    <t xml:space="preserve">TAX-011 (hollow e-way bill), TAX-048 (turnover parked below statutory thresholds), TAX-022 (e-way bill value out of line with outward supply)</t>
  </si>
  <si>
    <t xml:space="preserve">CGST Rules r.138(1) consignment value and r.138(14); FATF structuring typology</t>
  </si>
  <si>
    <t xml:space="preserve">TAX-033</t>
  </si>
  <si>
    <t xml:space="preserve">Income tax analytics</t>
  </si>
  <si>
    <t xml:space="preserve">Income declared in the ITR is implausible against Form 26AS and AIS receipts</t>
  </si>
  <si>
    <t xml:space="preserve">Third parties have told the tax department they paid this entity far more than the entity itself declared. Form 26AS and the Annual Information Statement are built from deductors, banks and registrars, so a persistent gap means income is being suppressed or the entity is fronting someone else's contracts.</t>
  </si>
  <si>
    <t xml:space="preserve">(receipts_26as_ais_deduped / gross_receipts_itr) &gt; 1.25 AND (receipts_26as_ais_deduped - gross_receipts_itr) &gt; 2500000 AND consecutive_years_with_gap &gt;= 2</t>
  </si>
  <si>
    <t xml:space="preserve">Third-party reported receipts above 125% of ITR gross receipts and more than INR 25 lakh higher, in 2 or more consecutive assessment years</t>
  </si>
  <si>
    <t xml:space="preserve">gross_receipts_itr, receipts_26as_ais_deduped, tds_credit_claimed, sft_high_value_transaction_value, gross_receipts_gstr9, net_profit_itr, presumptive_scheme_flag, consecutive_years_with_gap</t>
  </si>
  <si>
    <t xml:space="preserve">Form 26AS and AIS double count by construction and the ratio is meaningless until deduped: the same receipt can appear under several TDS sections (194C, 194J, 194Q) and again as an SFT entry, GST turnover reported into AIS is gross of tax while ITR receipts are net, and TDS is deducted on gross bills including reimbursements and freight. Timing splits are the other large source of noise — deductors report on payment date while the entity accounts on accrual, so year-end contracts straddle two years. Amounts already contested through AIS feedback as duplicate or not-mine should suppress. The mirror pattern deserves more weight than the gap itself: TDS credit claimed where the corresponding receipt never enters the books, or an entity claiming presumptive taxation under s.44AD while third-party receipts exceed the presumptive ceiling, both point to a conduit rather than an under-reporter. Tighten when the excess is matched by cash deposits reported under SFT-004.</t>
  </si>
  <si>
    <t xml:space="preserve">Form 26AS, AIS / TIS, Income Tax Return (ITR-5 / ITR-6)</t>
  </si>
  <si>
    <t xml:space="preserve">TDS Returns (24Q / 26Q), GSTR-9 / 9C Annual Return</t>
  </si>
  <si>
    <t xml:space="preserve">The same receipt is reported twice under different TDS sections and SFT codes, or falls in a different year for the deductor than for the entity.</t>
  </si>
  <si>
    <t xml:space="preserve">TAX-020 (26AS receipts exceed GST turnover), TAX-019 (turnover diverges across filings), TAX-021 (bank credits far exceed declared turnover)</t>
  </si>
  <si>
    <t xml:space="preserve">Income-tax Act s.139 and s.143(1)(a)(vi); CBDT AIS and SFT reporting framework</t>
  </si>
  <si>
    <t xml:space="preserve">TAX-034</t>
  </si>
  <si>
    <t xml:space="preserve">Multiple adverse disallowance clauses populated in the tax audit report year after year</t>
  </si>
  <si>
    <t xml:space="preserve">The entity's own tax auditor reports, in Form 3CD, that expenses are not allowable, TDS was not deducted, statutory dues are unpaid and cash limits were breached. A stack of these clauses repeating each year describes books that do not reflect real trade.</t>
  </si>
  <si>
    <t xml:space="preserve">adverse_clause_count_3cd &gt;= 4 AND (aggregate_disallowance_amount_3cd / total_expenditure) &gt; 0.10 AND adverse_clause_count_prior_year &gt;= 3</t>
  </si>
  <si>
    <t xml:space="preserve">4 or more adverse clauses populated (21(a), 21(b), 22, 26, 31, 34) with aggregate flagged amount above 10% of total expenditure, repeating in consecutive years</t>
  </si>
  <si>
    <t xml:space="preserve">clause_21a_amount, adverse_clause_count_3cd, clause_26_43b_unpaid, clause_31_cash_transactions, clause_34_tds_shortfall, aggregate_disallowance_amount_3cd, total_expenditure, adverse_clause_count_prior_year</t>
  </si>
  <si>
    <t xml:space="preserve">Form 3CD reporting is descriptive rather than adverse, so counting populated clauses without reading amounts produces mostly noise. Clause 26 routinely carries statutory dues paid after year end but before the return due date, which section 43B allows in full, and clause 34 shortfalls are usually rate disputes on a handful of vouchers rather than evasion. Score the mix, not the count: personal or capital expenditure booked as revenue under clause 21(a), together with cash breaches under clause 31 and TDS defaults under clause 34, is the shell pattern, whereas a single large 43B item in a genuine manufacturer is a cash-flow story. Suppress for first-year entities and where the same items are corrected in the following year's return. Tighten when the statutory auditor also qualifies, when the 3CD signatory changed mid-year or the report was filed after a long delay, and when the clause 44 break-up of expenditure by GST registration status does not agree with the ITC claimed in GSTR-3B.</t>
  </si>
  <si>
    <t xml:space="preserve">Tax Audit Report (Form 3CD)</t>
  </si>
  <si>
    <t xml:space="preserve">Auditor Report, Income Tax Return (ITR-5 / ITR-6)</t>
  </si>
  <si>
    <t xml:space="preserve">Pvt Ltd, Public Ltd, OPC, LLP, Partnership, Proprietorship, Foreign Sub</t>
  </si>
  <si>
    <t xml:space="preserve">Statutory dues paid after year end but before the return due date populate clause 26 in almost every audited entity without any disallowance following.</t>
  </si>
  <si>
    <t xml:space="preserve">TAX-035 (cash payments above the 40A(3) limit), TAX-036 (cash loans and repayments), CMP-041 (qualified or delayed audit report)</t>
  </si>
  <si>
    <t xml:space="preserve">Income-tax Act s.44AB; Form 3CD clauses 21, 26, 31, 34 and 44</t>
  </si>
  <si>
    <t xml:space="preserve">TAX-035</t>
  </si>
  <si>
    <t xml:space="preserve">Cash transaction analytics</t>
  </si>
  <si>
    <t xml:space="preserve">Cash payments above the section 40A(3) ceiling or bunched just below it</t>
  </si>
  <si>
    <t xml:space="preserve">Business expenses are paid in cash above the limit the Income-tax Act allows, or in a run of payments a few hundred rupees under the limit to the same party. Cash expenditure of this shape usually buys invoices rather than goods.</t>
  </si>
  <si>
    <t xml:space="preserve">((cash_payments_above_limit / total_expenditure) &gt; 0.05 OR (payments_in_band_below_limit_count &gt;= 10 AND distinct_payee_count &lt;= 3)) AND clause_31_cash_transactions &gt; 0</t>
  </si>
  <si>
    <t xml:space="preserve">Cash payments above INR 10,000 per person per day (INR 35,000 for plying or hiring goods carriage) exceeding 5% of total expenditure; or 10 or more payments to one payee in the INR 8,000-10,000 band</t>
  </si>
  <si>
    <t xml:space="preserve">cash_payment_amount, payee_id, payment_date, cash_payments_above_limit, payments_in_band_below_limit_count, distinct_payee_count, total_expenditure, clause_31_cash_transactions</t>
  </si>
  <si>
    <t xml:space="preserve">Rule 6DD carves out genuine cash trade and those sectors must be benchmarked against peers rather than an absolute rule: payments in a village or town with no bank branch, purchases from cultivators and producers of agricultural, forest, dairy, poultry, fish or horticulture produce, payments to government, payments on a bank holiday or during a strike, and payments through an agent required to pay cash. Mandi trade, poultry, scrap aggregation and rural transport therefore run high lawful cash. Section 269ST is the harder line and carries no Rule 6DD relief — any receipt of INR 2 lakh or more in cash, whether in one transaction, from one person in a day, or for one event, attracts penalty equal to the amount under s.271DA. The structuring form is a stronger shell signal than a single breach, because deliberately staying under a known limit is intent rather than habit. Tighten when cash payments are mirrored by bank withdrawals of similar size and timing, and when the payees are the same suppliers whose GSTINs are non-filing.</t>
  </si>
  <si>
    <t xml:space="preserve">Tax Audit Report (Form 3CD), Bank Statement</t>
  </si>
  <si>
    <t xml:space="preserve">Agricultural procurement, mandi trade and rural operations legitimately pay large amounts in cash under the Rule 6DD exceptions.</t>
  </si>
  <si>
    <t xml:space="preserve">TAX-034 (recurring 3CD disallowance clauses), TAX-039 (bogus purchase pattern), BNK-018 (cash withdrawals matching cash expenditure)</t>
  </si>
  <si>
    <t xml:space="preserve">Income-tax Act s.40A(3) and s.40A(3A), r.6DD; s.269ST and s.271DA</t>
  </si>
  <si>
    <t xml:space="preserve">TAX-036</t>
  </si>
  <si>
    <t xml:space="preserve">Loans or deposits accepted or repaid outside banking channels (s.269SS / s.269T)</t>
  </si>
  <si>
    <t xml:space="preserve">The tax audit report shows loans or deposits taken or repaid in cash or by book entry instead of account payee cheque, draft or electronic transfer. This is how unaccounted money is introduced as borrowings and taken back out.</t>
  </si>
  <si>
    <t xml:space="preserve">(clause_31a_cash_loan_accepted_amount + clause_31c_cash_loan_repaid_amount) &gt; 500000 AND distinct_counterparty_count &gt;= 3 AND (unsecured_loan_balance / total_liabilities) &gt; 0.20</t>
  </si>
  <si>
    <t xml:space="preserve">Any acceptance or repayment of a loan, deposit or specified sum of INR 20,000 or more outside banking channels; escalate above INR 5 lakh aggregate or 3 or more counterparties</t>
  </si>
  <si>
    <t xml:space="preserve">clause_31a_cash_loan_accepted_amount, clause_31c_cash_loan_repaid_amount, counterparty_pan, distinct_counterparty_count, unsecured_loan_balance, total_liabilities, journal_entry_loan_settlement_amount, counterparty_returned_income</t>
  </si>
  <si>
    <t xml:space="preserve">Grade the mode of breach before the amount. Physical cash is the strong form; settlement of inter-company loans by journal entry is reported in the same clause but several appellate benches have held book adjustments are not covered, so treat those as a lower-grade signal pending the assessing officer's view. Statutory exclusions must be coded in: government, banking company, post office savings bank, cooperative bank, corporation established by law, and loans between two agriculturists with no taxable income are outside s.269SS. Unsecured loans from directors and their relatives are ordinary and expected in closely held companies, so the flag is never the loan itself but the mode and the counterparty's capacity — lenders who are non-filers, who share an address with the borrower, or whose own returned income and 26AS cannot support the advance. Tighten when the same money is repaid within the same year, when 271D or 271E proceedings already exist, and when the borrowings are immediately converted into share application money.</t>
  </si>
  <si>
    <t xml:space="preserve">Tax Audit Report (Form 3CD), AOC-4 / AOC-4 XBRL Financial Statements</t>
  </si>
  <si>
    <t xml:space="preserve">Income Tax Return (ITR-5 / ITR-6), Bank Statement</t>
  </si>
  <si>
    <t xml:space="preserve">Group companies square inter-company balances by journal entry, which is reported in clause 31 but is not a cash transaction.</t>
  </si>
  <si>
    <t xml:space="preserve">TAX-037 (unexplained cash credits), TAX-035 (cash payments above the 40A(3) limit), OWN-022 (director loans funding the balance sheet)</t>
  </si>
  <si>
    <t xml:space="preserve">Income-tax Act s.269SS, s.269T, s.271D, s.271E; Form 3CD clause 31</t>
  </si>
  <si>
    <t xml:space="preserve">TAX-037</t>
  </si>
  <si>
    <t xml:space="preserve">Unexplained credits</t>
  </si>
  <si>
    <t xml:space="preserve">Fresh capital or loans from investors whose own filings cannot support the amount (s.68)</t>
  </si>
  <si>
    <t xml:space="preserve">Large share capital, premium or unsecured loans arrive from parties whose declared income and net worth are nowhere near the sums they supposedly invested. Section 68 treats such credits as the company's own unaccounted income, taxed at roughly 78% with no set-off.</t>
  </si>
  <si>
    <t xml:space="preserve">(share_capital_and_premium_received + unsecured_loan_received) &gt; 10000000 AND investor_capacity_covered_share &lt; 0.50 AND ((unexplained_credit_amount / total_liabilities) &gt; 0.25 OR funds_routed_out_within_days &lt;= 7)</t>
  </si>
  <si>
    <t xml:space="preserve">Fresh capital, premium or loans above INR 1 crore where investors' returned income and net worth support less than 50% of the amount; or such credits above 25% of total liabilities</t>
  </si>
  <si>
    <t xml:space="preserve">share_capital_and_premium_received, unsecured_loan_received, investor_pan, investor_returned_income, total_liabilities, investor_capacity_covered_share, unexplained_credit_amount, funds_routed_out_within_days</t>
  </si>
  <si>
    <t xml:space="preserve">Identity, creditworthiness and genuineness are three separate tests, and only the third needs judgement — the first two are computable by joining investor PAN to their filed return and balance sheet, so build capacity coverage before escalating anything. Whole classes must be suppressed because they pass by construction: promoter funding backed by declared wealth, foreign direct investment routed through banking channels with an FC-GPR filing, SEBI-registered AIF and venture funds, and bank or NBFC lending, which the statute itself excludes from the source-of-source requirement. From AY 2023-24 the proviso extends beyond share capital to loans and borrowings, so a lender who himself borrowed the money days earlier is inside the rule. The decisive pattern is layering: several small companies remitting round sums on the same day, money that leaves within a week to a related party, and investors who never receive a dividend or repayment. Because s.115BBE denies every deduction and set-off, confirm bank tracing end to end before raising this.</t>
  </si>
  <si>
    <t xml:space="preserve">Income Tax Return (ITR-5 / ITR-6), Bank Statement, PAS-3 Return of Allotment</t>
  </si>
  <si>
    <t xml:space="preserve">Pvt Ltd, Public Ltd, OPC, LLP, Partnership, Trust/Society</t>
  </si>
  <si>
    <t xml:space="preserve">Genuine promoter or foreign investors hold wealth that never appears in Indian returned income, so capacity looks thin on paper.</t>
  </si>
  <si>
    <t xml:space="preserve">TAX-038 (share premium far above fair value), TAX-036 (loans outside banking channels), OWN-014 (investor companies with no business of their own)</t>
  </si>
  <si>
    <t xml:space="preserve">Income-tax Act s.68 and s.115BBE; PCIT v NRA Iron &amp; Steel (SC 2019)</t>
  </si>
  <si>
    <t xml:space="preserve">TAX-038</t>
  </si>
  <si>
    <t xml:space="preserve">Shares issued at a premium far above defensible fair value (s.56(2)(viib))</t>
  </si>
  <si>
    <t xml:space="preserve">A closely held company with no operating profit issues shares at many times their book value, and the valuation projections behind the premium never materialise. Excess premium is a common route for bringing unaccounted money onto the balance sheet.</t>
  </si>
  <si>
    <t xml:space="preserve">closely_held_flag = TRUE AND share_premium_received &gt; 5000000 AND share_premium_per_share &gt; 5 * nav_per_share AND (dcf_valuation_report_present = FALSE OR (projected_revenue_dcf / actual_revenue_achieved) &gt; 5)</t>
  </si>
  <si>
    <t xml:space="preserve">Premium more than 5x NAV per share under Rule 11UA on issues above INR 50 lakh in a company with no operating profit; or DCF projections more than 5x the revenue actually achieved in the following two years</t>
  </si>
  <si>
    <t xml:space="preserve">3 FY (issue year plus 2 following years for the back-test)</t>
  </si>
  <si>
    <t xml:space="preserve">share_premium_per_share, nav_per_share, dcf_valuation_report_present, share_premium_received, projected_revenue_dcf, actual_revenue_achieved, closely_held_flag, investor_pan</t>
  </si>
  <si>
    <t xml:space="preserve">Valuation is legitimately forward-looking, so NAV must never trigger this on its own — loss-making startups, IP-led and platform businesses raise at large multiples of book value, and Rule 11UA expressly permits a merchant banker DCF as an alternative to net asset value. The defensible forensic test is the back-test: compare the revenue and margin the DCF assumed against what the company actually delivered over the next two years, and treat a five-fold or wider miss with no identifiable business event as evidence the premium carried money rather than value. Statutory exclusions matter — DPIIT-recognised startups filing the Form 2 declaration are exempt, and section 56(2)(viib) itself stands omitted from AY 2025-26 by the Finance (No.2) Act 2024, so for later allotments run the same fact pattern under the source-of-source proviso to s.68 instead of this section. Tighten when subscribers are private companies with no business of their own, when the money is returned as a loan or investment to a related party within the year, and when the shares are bought back or transferred at par soon afterwards.</t>
  </si>
  <si>
    <t xml:space="preserve">Income Tax Return (ITR-5 / ITR-6), MGT-7 / MGT-7A Annual Return</t>
  </si>
  <si>
    <t xml:space="preserve">Early-stage companies legitimately raise at high multiples of book value on projections that later miss for ordinary commercial reasons.</t>
  </si>
  <si>
    <t xml:space="preserve">TAX-037 (unexplained cash credits), OWN-014 (investor companies with no business of their own), CMP-027 (capital raised with no corresponding assets)</t>
  </si>
  <si>
    <t xml:space="preserve">Income-tax Act s.56(2)(viib) (omitted from AY 2025-26), r.11UA; s.68 proviso</t>
  </si>
  <si>
    <t xml:space="preserve">TAX-039</t>
  </si>
  <si>
    <t xml:space="preserve">Bogus purchase analytics</t>
  </si>
  <si>
    <t xml:space="preserve">Purchases concentrated in suppliers with the signature of accommodation billing</t>
  </si>
  <si>
    <t xml:space="preserve">A large share of purchases is booked from parties that are non-filers, later cancelled or named as accommodation-bill providers, and the goods leave no physical trail. This inflates cost, generates cash and absorbs unaccounted receipts.</t>
  </si>
  <si>
    <t xml:space="preserve">(purchases_from_flagged_suppliers / total_purchases) &gt; 0.15 AND flagged_supplier_gstin_status_share &gt; 0.25 AND (supplier_payment_lag_days &gt; 180 OR cash_or_journal_settled_share &gt; 0.30) AND transport_document_present_share &lt; 0.50</t>
  </si>
  <si>
    <t xml:space="preserve">More than 15% of purchases from non-filing, retrospectively cancelled or listed accommodation-bill suppliers, with under 50% carrying transport documents; escalate above 25%</t>
  </si>
  <si>
    <t xml:space="preserve">purchases_from_flagged_suppliers, total_purchases, flagged_supplier_gstin_status_share, supplier_payment_lag_days, cash_or_journal_settled_share, transport_document_present_share, gross_margin_deviation_vs_peer, supplier_gstin</t>
  </si>
  <si>
    <t xml:space="preserve">A buyer cannot control its supplier's filings and honest buyers do get caught when a supplier is cancelled retrospectively, so supplier status alone is a lead and never a finding. What converts it is the absence of the physical trail: no e-way bill, no lorry receipt, no weighbridge or gate entry, no stock movement in the excise-style quantitative records under clause 35 of Form 3CD, and delivery addresses that are not the buyer's premises. Payment behaviour is the second leg — balances that never settle, settle in cash, are squared by journal entry, or return to the buyer's group within days. Quantify the gross-margin difference between goods bought from flagged and clean suppliers, because assessments following the Bombay High Court in Mohommad Haji Adam and Simit P Sheth disallow only the profit element embedded in the purchase, commonly around 12.5%, rather than the whole amount. Suppress for services with no movement and for exchange-routed commodity trades. Tighten when the same suppliers appear across several group entities, and when sales are undisputed while only purchases are suspect, which points to cash generation rather than turnover inflation.</t>
  </si>
  <si>
    <t xml:space="preserve">GSTR-2A / 2B, Tax Audit Report (Form 3CD), Bank Statement</t>
  </si>
  <si>
    <t xml:space="preserve">A genuine supplier's registration is cancelled retrospectively long after honest purchases were made and paid for.</t>
  </si>
  <si>
    <t xml:space="preserve">TAX-003 (credit from retrospectively cancelled suppliers), TAX-011 (hollow e-way bill), TAX-035 (cash payments above the 40A(3) limit)</t>
  </si>
  <si>
    <t xml:space="preserve">Income-tax Act s.69C and s.37(1); CGST Act s.16(2); hawala dealer list typology</t>
  </si>
  <si>
    <t xml:space="preserve">TAX-040</t>
  </si>
  <si>
    <t xml:space="preserve">Loss and shelter transfer</t>
  </si>
  <si>
    <t xml:space="preserve">Carried-forward losses set off right after a change in shareholding (s.79)</t>
  </si>
  <si>
    <t xml:space="preserve">A dormant loss-making company changes hands and, within a year or two, the old losses are used against fresh profits. Section 79 blocks this for closely held companies, so the pattern points to a loss shelter being bought and used.</t>
  </si>
  <si>
    <t xml:space="preserve">beneficial_shareholding_change_pct &gt; 49 AND brought_forward_loss_setoff_amount &gt; 10000000 AND years_between_change_and_setoff &lt;= 2 AND clause_32b_3cd_reported = FALSE</t>
  </si>
  <si>
    <t xml:space="preserve">More than 49% change in beneficial shareholding of a closely held company, followed within 2 years by set-off of pre-change losses above INR 1 crore</t>
  </si>
  <si>
    <t xml:space="preserve">beneficial_shareholding_change_pct, shareholding_change_date, brought_forward_loss_amount, brought_forward_loss_setoff_amount, years_between_change_and_setoff, clause_32b_3cd_reported, share_transfer_consideration, profit_before_tax</t>
  </si>
  <si>
    <t xml:space="preserve">Section 79 tests voting power held by the same persons on two specific dates — the last day of the year in which the loss arose and the last day of the year of set-off — so measure beneficial ownership on those dates from MGT-7 and BEN-2, not average or year-end promoter holding. Every statutory exception must be coded before this fires or it will hit ordinary corporate activity: eligible start-ups under s.80-IAC where all original shareholders continue, change by death or by gift to a relative, amalgamation or demerger of a foreign holding company, change under a resolution plan approved by the NCLT under the IBC, and Central Government-directed changes. Unabsorbed depreciation under s.32(2) is outside s.79 altogether, so separate the two buckets before valuing the shelter. The shell typology is a shell bought for a nominal consideration and then loaded with a profitable business, so weight the gap between the share transfer price and the tax value of the loss carried. Tighten when a business is transferred in by slump sale in the same year, when directors, registered office and bankers all change together, and when clause 32(b) of Form 3CD is left blank despite the transfer appearing in the annual return.</t>
  </si>
  <si>
    <t xml:space="preserve">MGT-7 / MGT-7A Annual Return, Income Tax Return (ITR-5 / ITR-6), Tax Audit Report (Form 3CD)</t>
  </si>
  <si>
    <t xml:space="preserve">DIR-12 Director Change, AOC-4 / AOC-4 XBRL Financial Statements</t>
  </si>
  <si>
    <t xml:space="preserve">Pvt Ltd, OPC</t>
  </si>
  <si>
    <t xml:space="preserve">Genuine acquisitions and IBC resolution plans change shareholding while the law expressly preserves the losses.</t>
  </si>
  <si>
    <t xml:space="preserve">OWN-009 (control transferred in a dormant company), CMP-016 (directors and registered office change together), TAX-047 (effective tax rate near zero)</t>
  </si>
  <si>
    <t xml:space="preserve">Income-tax Act s.79 and s.72; Form 3CD clause 32(b)</t>
  </si>
  <si>
    <t xml:space="preserve">TAX-041</t>
  </si>
  <si>
    <t xml:space="preserve">Transfer pricing substance</t>
  </si>
  <si>
    <t xml:space="preserve">Form 3CEB international related-party turnover with no operating substance behind it</t>
  </si>
  <si>
    <t xml:space="preserve">Almost all revenue comes from cross-border transactions with group companies, but the Indian entity has hardly any people or assets to have earned it. That is the shape of an entity used to book profit or route funds, not to operate.</t>
  </si>
  <si>
    <t xml:space="preserve">(international_related_party_transaction_value / total_revenue) &gt; 0.50 AND epfo_contributing_employee_count &lt; 10 AND (employee_benefit_expense / total_revenue) &lt; 0.02 AND fixed_asset_gross_block &lt; 2500000</t>
  </si>
  <si>
    <t xml:space="preserve">Related-party international transactions above 50% of revenue with fewer than 10 EPFO-contributing employees, payroll under 2% of revenue and gross block under INR 25 lakh</t>
  </si>
  <si>
    <t xml:space="preserve">international_related_party_transaction_value, total_revenue, epfo_contributing_employee_count, employee_benefit_expense, fixed_asset_gross_block, ae_jurisdiction, form_3ceb_method_used, master_file_3ceaa_filed_flag</t>
  </si>
  <si>
    <t xml:space="preserve">Asset-light is not substance-light. Commission agents, captive software and back-office subsidiaries billing on a cost-plus basis, and distributors holding no manufacturing assets are all legitimate and asset-poor, but they carry payroll — so EPFO-contributing headcount is a far better substance proxy than the balance sheet, and payroll intensity should be compared with the function the entity claims to perform. Suppress for pure holding and investment companies, for SPVs whose only international transaction is an intra-group loan or guarantee, and for entities in their first year. Weight the benchmarking method rather than the value: TNMM resting on a thin single-comparable set, or the residual 'other method' under Rule 10AB applied to high-value services or intangibles, deserves more scrutiny than a CUP-benchmarked commodity trade. Tighten where the group crosses the Master File thresholds under Rule 10DA — consolidated revenue above INR 500 crore with international transactions above INR 50 crore — yet Form 3CEAA is unfiled, where the associated enterprise sits in a jurisdiction with no group operations, and where the same transaction values repeat unchanged year after year.</t>
  </si>
  <si>
    <t xml:space="preserve">Transfer Pricing Report (Form 3CEB), AOC-4 / AOC-4 XBRL Financial Statements</t>
  </si>
  <si>
    <t xml:space="preserve">EPFO ECR Filing, Income Tax Return (ITR-5 / ITR-6)</t>
  </si>
  <si>
    <t xml:space="preserve">Captive service subsidiaries and commission agents legitimately earn nearly all revenue from group companies with very few assets.</t>
  </si>
  <si>
    <t xml:space="preserve">TAX-042 (charges to a low-tax jurisdiction), OWN-031 (foreign parent with no operations), CMP-022 (no payroll footprint against declared turnover)</t>
  </si>
  <si>
    <t xml:space="preserve">Income-tax Act s.92B and s.92E; r.10DA Master File; OECD BEPS Actions 8-10</t>
  </si>
  <si>
    <t xml:space="preserve">TAX-042</t>
  </si>
  <si>
    <t xml:space="preserve">Profit shifting</t>
  </si>
  <si>
    <t xml:space="preserve">Management or royalty fees to a low-tax jurisdiction affiliate absorb most of the profit</t>
  </si>
  <si>
    <t xml:space="preserve">The Indian entity pays a group company in a low-tax country for management services, brand or technology, and the payment consumes most of what it would otherwise have earned. If nothing identifiable was received, the fee is a channel for moving profit or funds out.</t>
  </si>
  <si>
    <t xml:space="preserve">(management_and_royalty_fee_paid_to_ae / profit_before_such_fee) &gt; 0.40 AND ae_headline_tax_rate &lt; 0.15 AND benefit_evidence_present = FALSE AND withholding_tax_rate_applied &lt;= 0.10</t>
  </si>
  <si>
    <t xml:space="preserve">Group charges above 40% of pre-charge profit, or above 3% of turnover, to an affiliate in a jurisdiction with a headline rate under 15%</t>
  </si>
  <si>
    <t xml:space="preserve">management_and_royalty_fee_paid_to_ae, profit_before_such_fee, total_revenue, ae_jurisdiction, ae_headline_tax_rate, withholding_tax_rate_applied, benefit_evidence_present, form_15ca_15cb_reference</t>
  </si>
  <si>
    <t xml:space="preserve">Intra-group charges are legitimate when the OECD benefit test is satisfied — the recipient actually performed the activity, the payer needed it, it does not duplicate what the payer already does, and it is not a shareholder activity such as group consolidation, listing compliance or investor reporting. Ask for the cost pool, the allocation key and the mark-up before drawing any conclusion, and accept a consistent global rate charged by a genuine brand owner or licensor with third-party comparables. Withholding tells you where to look: royalty and fees for technical services to non-residents attract 20% under s.115A after the Finance Act 2023, so a deduction at 10% or less implies a treaty claim and puts the tax residency certificate, Form 10F, beneficial ownership and the principal purpose test under the MLI in issue. Tighten when the charge moves in lockstep with Indian profit rather than with any activity measure, when it is raised and remitted in the last month of the year, when the affiliate has no employees or premises, when the intermediary was interposed after the Indian contract was signed, and when Form 15CA/15CB describes the payment differently from the ledger.</t>
  </si>
  <si>
    <t xml:space="preserve">Transfer Pricing Report (Form 3CEB), AOC-2 Related Party Annexure, SWIFT / Wire Messages</t>
  </si>
  <si>
    <t xml:space="preserve">Multinational groups genuinely charge a uniform global management or brand fee that is benchmarked and defensible.</t>
  </si>
  <si>
    <t xml:space="preserve">TAX-041 (related-party turnover with no substance), TAX-047 (effective tax rate near zero), BNK-044 (year-end outbound remittance to a group affiliate)</t>
  </si>
  <si>
    <t xml:space="preserve">Income-tax Act s.92C, s.115A and GAAR Ch. X-A; OECD TPG Ch. VII intra-group services</t>
  </si>
  <si>
    <t xml:space="preserve">TAX-043</t>
  </si>
  <si>
    <t xml:space="preserve">Interest paid to associated enterprises above arm's length or the section 94B cap</t>
  </si>
  <si>
    <t xml:space="preserve">Group loans carry a rate well above what an independent lender would charge for that currency, or the interest bill swallows more than 30% of operating profit. Excess interest moves profit out of India without any transfer of value.</t>
  </si>
  <si>
    <t xml:space="preserve">(ae_interest_rate - (benchmark_currency_rate + arm_length_spread)) &gt; 0.03 AND ae_interest_expense &gt; 1000000 AND ae_interest_expense &gt; 0.30 * ebitda</t>
  </si>
  <si>
    <t xml:space="preserve">AE interest more than 300 bps above the currency-appropriate benchmark, or AE interest above 30% of EBITDA where it exceeds INR 1 crore (s.94B)</t>
  </si>
  <si>
    <t xml:space="preserve">ae_interest_expense, ae_loan_principal, ae_interest_rate, benchmark_currency_rate, arm_length_spread, ebitda, debt_to_equity_ratio, ae_jurisdiction</t>
  </si>
  <si>
    <t xml:space="preserve">Benchmark in the currency of the loan, not the borrower's home currency — Indian courts, following Cotton Naturals, have held that a rupee lending rate is the wrong comparable for a foreign-currency loan, so an 8% USD loan is expensive while an 11% INR loan may be perfectly at arm's length; add a credit-risk spread appropriate to the borrower's own standing rather than the group's. Section 94B is narrower than it looks: it applies only to interest paid to a non-resident associated enterprise, or to a third party where an AE gave an implicit or explicit guarantee or deposit, it exempts banks, insurers and notified NBFCs, and it allows the disallowed excess to be carried forward for eight years, so a single-year breach is a timing outcome rather than evasion. Suppress for project, infrastructure and real-estate SPVs in their construction phase where high leverage and weak EBITDA are structural. Tighten where the loan is perpetually rolled over and never repaid, where interest accrues in the books but is never remitted so no withholding under s.195 arises, and where the lending AE is itself funded by a third party at a materially lower rate.</t>
  </si>
  <si>
    <t xml:space="preserve">Loan Sanction / Facility Letter, Income Tax Return (ITR-5 / ITR-6)</t>
  </si>
  <si>
    <t xml:space="preserve">Leveraged project SPVs breach the 30% EBITDA cap for ordinary commercial reasons and simply carry the disallowance forward.</t>
  </si>
  <si>
    <t xml:space="preserve">TAX-042 (charges to a low-tax jurisdiction), TAX-041 (related-party turnover with no substance), OWN-031 (foreign parent with no operations)</t>
  </si>
  <si>
    <t xml:space="preserve">Income-tax Act s.92C and s.94B thin capitalisation; OECD BEPS Action 4</t>
  </si>
  <si>
    <t xml:space="preserve">TAX-044</t>
  </si>
  <si>
    <t xml:space="preserve">Refund abuse</t>
  </si>
  <si>
    <t xml:space="preserve">Inverted duty refund claimed out of proportion to the rate structure of the goods traded</t>
  </si>
  <si>
    <t xml:space="preserve">Refund of accumulated credit is claimed on the ground that inputs are taxed higher than outputs, but the entity's own rate profile does not show that inversion, or the claim exceeds the formula ceiling. This turns a genuine relief into a cash-extraction route.</t>
  </si>
  <si>
    <t xml:space="preserve">ids_refund_claimed &gt; 1.05 * rule_89_5_formula_ceiling OR (weighted_input_tax_rate &lt;= weighted_output_tax_rate AND ids_refund_claimed &gt; 500000) OR ((ids_refund_claimed / net_itc_availed) &gt; 0.60 AND input_service_itc_share &gt; 0.30)</t>
  </si>
  <si>
    <t xml:space="preserve">Claim above 105% of the Rule 89(5) formula ceiling, or any claim above INR 5 lakh where the weighted input rate does not exceed the weighted output rate; escalate above INR 20 lakh</t>
  </si>
  <si>
    <t xml:space="preserve">ids_refund_claimed, rule_89_5_formula_ceiling, weighted_input_tax_rate, weighted_output_tax_rate, turnover_inverted_supply, adjusted_total_turnover, net_itc_availed, input_service_itc_share</t>
  </si>
  <si>
    <t xml:space="preserve">Inversion is real and widespread, so the rule must be scored inside the HSN's own rate structure and never across the whole book: fabric and made-ups, footwear, fertiliser, railway parts, solar modules, LED lighting, tractors and EV components all buy inputs at 12% or 18% and sell at 5%, and credit accumulation there is the intended consequence of the rate schedule. The formula is where over-claims show: Rule 89(5) as amended by Notification 14/2022 gives only a proportionate share of input-service credit, and the Supreme Court in Union of India v VKC Footsteps upheld that exclusion, so a claim that recovers close to the entire ITC pool including services is over-claimed by construction. Circular 135/05/2020 bars refund where the input and the output are the same supply taxed at different rates, which catches traders buying and selling identical goods, and notified sectors such as construction services and certain woven fabrics are excluded outright. Tighten where the inverted turnover claimed exceeds the GSTR-1 turnover of those HSN codes, where the high-rate input suppliers are non-filers, and where refund is drawn in every period while the credit ledger never falls.</t>
  </si>
  <si>
    <t xml:space="preserve">GSTR-3B, GSTR-1, GSTR-2A / 2B</t>
  </si>
  <si>
    <t xml:space="preserve">Textile, footwear and fertiliser businesses genuinely face inverted rates and are entitled to refund every period.</t>
  </si>
  <si>
    <t xml:space="preserve">TAX-001 (input credit far outweighs output tax), TAX-005 (credit accumulating with no refund), TAX-025 (HSN profile inconsistent with the business)</t>
  </si>
  <si>
    <t xml:space="preserve">CGST Act s.54(3)(ii); CGST Rules r.89(5); Circular 135/05/2020; UOI v VKC Footsteps</t>
  </si>
  <si>
    <t xml:space="preserve">TAX-045</t>
  </si>
  <si>
    <t xml:space="preserve">Export refunds claimed against exports with no matching shipping bill or EGM</t>
  </si>
  <si>
    <t xml:space="preserve">IGST or credit refunds are claimed on exports that customs records do not confirm — no shipping bill, or no export general manifest showing the goods actually sailed. Refund against exports that never left the country is direct theft from the exchequer.</t>
  </si>
  <si>
    <t xml:space="preserve">((export_turnover_gstr1_table6a - matched_shipping_bill_fob_value) / export_turnover_gstr1_table6a) &gt; 0.10 AND unmatched_refund_amount &gt; 1000000 AND (egm_filed_flag = FALSE OR shipping_bill_number IS NULL)</t>
  </si>
  <si>
    <t xml:space="preserve">More than 10% of claimed export turnover without a shipping bill and EGM match on ICEGATE, or unmatched refund above INR 10 lakh</t>
  </si>
  <si>
    <t xml:space="preserve">export_turnover_gstr1_table6a, matched_shipping_bill_fob_value, shipping_bill_number, egm_filed_flag, igst_refund_sanctioned, unmatched_refund_amount, port_code, exporter_iec</t>
  </si>
  <si>
    <t xml:space="preserve">Most match failures are clerical and the ICEGATE error codes tell you which: SB000 is a successful match, while SB001 to SB006 flag invalid invoice number, GSTIN mismatch, EGM not filed, wrong port code and a Table 6A gateway EGM mismatch, and these are routinely corrected through the officer interface. Treat corrected invoice mismatches as noise; treat a shipping bill that does not exist at all, or an EGM never filed against a vessel that has sailed, as the real signal. Export of services carries no shipping bill, so restrict the rule to goods and use FIRC or BRC evidence for services. Value direction matters — where the FOB value in the shipping bill is materially below the GST invoice value, the invoice was inflated to enlarge the IGST refund, which is the classic overvaluation typology and stronger than a simple missing record. Tighten for exporters newly registered with no manufacturing footprint, where the inputs come from suppliers who never paid tax, where drawback and refund are both claimed on the same goods, and where the exporter appears on a risk list under Circular 131/1/2020.</t>
  </si>
  <si>
    <t xml:space="preserve">Shipping Bill, Customs / ICEGATE Data, GSTR-1</t>
  </si>
  <si>
    <t xml:space="preserve">Bill of Lading / Airway Bill, DGFT IEC Data</t>
  </si>
  <si>
    <t xml:space="preserve">Shipping line delays in filing the EGM and invoice-level keying errors break the match on genuine exports.</t>
  </si>
  <si>
    <t xml:space="preserve">TAX-046 (LUT exports with no realisation), TAX-010 (outward supply never purchased inward), TAX-003 (credit from cancelled suppliers)</t>
  </si>
  <si>
    <t xml:space="preserve">CGST Rules r.96; CGST Act s.54; Circular 131/1/2020 risky exporters</t>
  </si>
  <si>
    <t xml:space="preserve">TAX-046</t>
  </si>
  <si>
    <t xml:space="preserve">Zero-rated supply under LUT with export proceeds never realised</t>
  </si>
  <si>
    <t xml:space="preserve">Goods are exported without paying IGST under a letter of undertaking, but the money for them never comes back to India within the period FEMA allows. Exports that are never paid for usually exist only to unlock credit or to move value out.</t>
  </si>
  <si>
    <t xml:space="preserve">((export_value_under_lut - inward_remittance_value) / export_value_under_lut) &gt; 0.30 AND months_since_shipping_bill_date &gt; 9 AND brc_firc_count = 0 AND refund_of_unutilised_itc_claimed &gt; 0</t>
  </si>
  <si>
    <t xml:space="preserve">More than 30% of LUT export value unrealised beyond the 9-month FEMA realisation period, with no BRC or FIRC on record</t>
  </si>
  <si>
    <t xml:space="preserve">export_value_under_lut, inward_remittance_value, brc_firc_count, months_since_shipping_bill_date, refund_of_unutilised_itc_claimed, overseas_buyer_name, lut_rfd11_reference, exporter_iec</t>
  </si>
  <si>
    <t xml:space="preserve">The RBI framework allows more slack than the headline nine months suggests: AD banks may extend the realisation period, status holders and specified categories have longer windows, and self write-off up to a percentage of the previous year's realisation is permitted without approval, so check AD bank records and the eBRC portal before treating a receivable as fictitious. Rule 96A also provides a cure — pay IGST with 18% interest within fifteen days of expiry and the export stands regularised, with the amount restored if proceeds arrive later — so the flag is failure to realise and failure to cure. Buyer insolvency, quality disputes and long-credit capital goods contracts explain isolated cases. The shell pattern is systemic: every buyer in one jurisdiction, no proceeds ever realised in any year, yet unutilised ITC refunds under s.54(3) drawn each quarter, meaning the entity monetises credit rather than trade. Tighten when the overseas buyer shares an address, director or bank with the exporter, when goods move to a free-trade warehousing zone and never move on, and when the exporter's own suppliers are non-filers.</t>
  </si>
  <si>
    <t xml:space="preserve">Shipping Bill, Bank Statement, GSTR-1</t>
  </si>
  <si>
    <t xml:space="preserve">Customs / ICEGATE Data, DGFT IEC Data</t>
  </si>
  <si>
    <t xml:space="preserve">Genuine buyer disputes or an AD bank extension leave export proceeds outstanding well past nine months.</t>
  </si>
  <si>
    <t xml:space="preserve">TAX-045 (export refunds with no shipping bill match), TAX-005 (credit accumulating with no refund), BNK-052 (no inward remittance against declared exports)</t>
  </si>
  <si>
    <t xml:space="preserve">CGST Rules r.96A and r.96B; RBI Master Direction on Export of Goods and Services; FEMA s.7</t>
  </si>
  <si>
    <t xml:space="preserve">TAX-047</t>
  </si>
  <si>
    <t xml:space="preserve">Effective tax rate analytics</t>
  </si>
  <si>
    <t xml:space="preserve">Effective tax rate near zero across years despite reported book profits</t>
  </si>
  <si>
    <t xml:space="preserve">The accounts show profit year after year but almost no tax is paid, and even minimum alternate tax does not appear. A company with real profits that pays neither normal tax nor MAT is usually sheltering behind a deduction or a loss it has no operations to justify.</t>
  </si>
  <si>
    <t xml:space="preserve">(current_tax_expense / profit_before_tax) &lt; 0.05 AND profit_before_tax &gt; 10000000 AND mat_115jb_liability_paid &lt; 0.10 * book_profit_115jb AND tax_regime_115baa_flag = FALSE AND consecutive_years_below_threshold &gt;= 3</t>
  </si>
  <si>
    <t xml:space="preserve">Current tax below 5% of PBT for 3 consecutive years with PBT above INR 1 crore, where MAT at 15% of book profit was also not paid</t>
  </si>
  <si>
    <t xml:space="preserve">current_tax_expense, profit_before_tax, book_profit_115jb, mat_115jb_liability_paid, tax_regime_115baa_flag, deduction_10aa_80iac_claimed, brought_forward_loss_setoff_amount, consecutive_years_below_threshold</t>
  </si>
  <si>
    <t xml:space="preserve">A near-zero rate has many lawful causes and each is separately checkable, so decompose before flagging: set-off of brought-forward business loss and unabsorbed depreciation, SEZ deduction under s.10AA, start-up deduction under s.80-IAC, exempt income, and utilisation of MAT credit under s.115JAA. The arithmetic guard is s.115JB — a company with book profits should pay minimum alternate tax at 15% plus surcharge and cess unless it has elected the 22% regime under s.115BAA in Form 10-IC, which carries no MAT, so verify the election before treating unpaid MAT as an anomaly, and remember s.115JB does not apply to IFSC units earning in convertible foreign exchange or to companies in liquidation. Genuine loss-making manufacturers and infrastructure SPVs inside a tax-holiday window should be suppressed outright. The shell signature is book profit sheltered by a deduction the entity cannot have earned — an SEZ or 80-IAC claim with no premises, employees or approval letter, or losses inherited with an acquired shell. Tighten when the tax charge in the accounts is a deferred entry with no advance tax or TDS visible in Form 26AS.</t>
  </si>
  <si>
    <t xml:space="preserve">Income Tax Return (ITR-5 / ITR-6), AOC-4 / AOC-4 XBRL Financial Statements</t>
  </si>
  <si>
    <t xml:space="preserve">Form 26AS, Tax Audit Report (Form 3CD)</t>
  </si>
  <si>
    <t xml:space="preserve">Brought-forward losses, MAT credit and a genuine SEZ or start-up deduction lawfully reduce the tax charge to almost nothing.</t>
  </si>
  <si>
    <t xml:space="preserve">TAX-040 (losses used after a change in shareholding), TAX-042 (charges to a low-tax jurisdiction), CMP-022 (no payroll footprint against declared turnover)</t>
  </si>
  <si>
    <t xml:space="preserve">Income-tax Act s.115JB, s.115BAA, s.10AA and s.80-IAC</t>
  </si>
  <si>
    <t xml:space="preserve">TAX-048</t>
  </si>
  <si>
    <t xml:space="preserve">Turnover parked just below the audit, e-invoice or registration threshold</t>
  </si>
  <si>
    <t xml:space="preserve">Declared turnover stops a whisker short of a statutory limit, year after year, and the shortfall is often made up by a second entity on the same premises or family PAN. Staying below the line avoids audit, e-invoicing or registration and the scrutiny that comes with them.</t>
  </si>
  <si>
    <t xml:space="preserve">distance_to_threshold_pct BETWEEN 0 AND 0.03 AND years_below_within_band &gt;= 2 AND (related_gstin_same_promoter_count &gt;= 2 OR q4_turnover_share &lt; 0.15)</t>
  </si>
  <si>
    <t xml:space="preserve">Turnover within 3% below a statutory threshold in 2 or more years — INR 20/40 lakh registration, INR 1 crore or 10 crore s.44AB audit, INR 1.5 crore composition, INR 2 crore GSTR-9, INR 5 crore GSTR-9C and e-invoicing</t>
  </si>
  <si>
    <t xml:space="preserve">annual_turnover, applicable_threshold_value, distance_to_threshold_pct, years_below_within_band, related_gstin_same_promoter_count, q4_turnover_share, cash_receipt_share, e_invoice_applicability_flag</t>
  </si>
  <si>
    <t xml:space="preserve">Landing near a threshold once is chance; landing just under it in consecutive years, with a fourth quarter that collapses or a turnover curve that flattens in March, is management. Select the correct threshold for the entity before computing distance, because the limits move with facts: s.44AB is INR 1 crore but INR 10 crore where both cash receipts and cash payments are 5% or less, presumptive limits under s.44AD and s.44ADA rose to INR 3 crore and INR 75 lakh from AY 2024-25 on the same cash test, GST registration is INR 20 lakh for services against INR 40 lakh for goods with lower limits in special category states, and e-invoicing applies from INR 5 crore of aggregate turnover in any financial year since 2017-18, so once crossed the obligation never lapses. Aggregate turnover under s.2(6) is measured PAN-wide across all states and includes exempt and export supplies, so splitting one business across GSTINs, family proprietorships or a second PAN is the actual evasion and the test must be run at PAN and promoter level rather than per registration. Suppress genuinely small and seasonal businesses that have always traded in that band and first-year entities with part-year trading.</t>
  </si>
  <si>
    <t xml:space="preserve">GSTR-1, PAN Master Data</t>
  </si>
  <si>
    <t xml:space="preserve">A genuinely small business has always traded in that band and simply never grew past the limit.</t>
  </si>
  <si>
    <t xml:space="preserve">TAX-032 (consignment values below the e-way bill threshold), TAX-024 (shared principal place of business), TAX-019 (turnover diverges across filings)</t>
  </si>
  <si>
    <t xml:space="preserve">CGST Act s.22 and s.2(6); Income-tax Act s.44AB; FATF structuring typology</t>
  </si>
  <si>
    <t xml:space="preserve">OPS-001</t>
  </si>
  <si>
    <t xml:space="preserve">Operational Reality &amp; Physical Substance</t>
  </si>
  <si>
    <t xml:space="preserve">Mass address</t>
  </si>
  <si>
    <t xml:space="preserve">Registered office is a mass address hosting an improbable number of active entities</t>
  </si>
  <si>
    <t xml:space="preserve">The company's registered office (the address filed in INC-22 and shown in MCA master data) is shared with dozens of other live companies after excluding genuine multi-tenant buildings. Incorporation mills park many paper companies at one desk because none of them needs real space.</t>
  </si>
  <si>
    <t xml:space="preserve">entities_at_registered_office_active &gt;= 20 AND address_is_recognised_coworking_flag == false AND address_is_commercial_complex_flag == false AND entities_at_address_incorporated_same_year &gt;= 3</t>
  </si>
  <si>
    <t xml:space="preserve">20 or more active entities at one normalised address; 3 or more of them incorporated in the same year; excludes recognised co-working operators and multi-tenant commercial complexes</t>
  </si>
  <si>
    <t xml:space="preserve">registered_office_address_normalised, entities_at_registered_office_active, entities_at_address_incorporated_same_year, entities_at_address_struck_off_count, address_is_recognised_coworking_flag, address_is_commercial_complex_flag</t>
  </si>
  <si>
    <t xml:space="preserve">The whole rule lives or dies on address normalisation and on the exclusion lists. Strip flat, floor, wing, unit and door tokens before counting or one tower splits into fifty addresses and the rule never fires; conversely, if you do not exclude recognised co-working operators (WeWork, Regus, Awfis, 91springboard and the like), incubators, STPI and SEZ parks, industrial estates, IT parks and government-approved business centres, every genuine startup cluster lights up. Suppress entirely when the address is a registered co-working or incubator premises and the entity is under three years old, because that is exactly how legitimate Indian startups incorporate. Relax to 40 entities for large commercial towers with a distinct unit number per entity. Tighten hard to 5 entities when the co-located companies also share directors, auditors or bank IFSC, when several are already struck off, or when the address is a residential plot. Also weight the shape of the cluster, not just its size: 20 unrelated firms in a business centre is normal, 20 firms incorporated in the same quarter by the same professional is not.</t>
  </si>
  <si>
    <t xml:space="preserve">INC-22 Registered Office, MCA Company Master Data, Derived — cross-entity graph</t>
  </si>
  <si>
    <t xml:space="preserve">MGT-7 / MGT-7A Annual Return, GST Registration Certificate (REG-06)</t>
  </si>
  <si>
    <t xml:space="preserve">The office sits in a large multi-tenant commercial tower or serviced business centre where hundreds of real firms genuinely rent space.</t>
  </si>
  <si>
    <t xml:space="preserve">OWN-034 (many entities at one registered office), OPS-004 (office shared with the auditor or formation agent), OPS-009 (address previously used by a struck-off entity)</t>
  </si>
  <si>
    <t xml:space="preserve">Companies Act 2013 s.12; MCA shell company identification drive 2017-18</t>
  </si>
  <si>
    <t xml:space="preserve">OPS-002</t>
  </si>
  <si>
    <t xml:space="preserve">Virtual premises</t>
  </si>
  <si>
    <t xml:space="preserve">Registered office is a virtual office, mailbox service or single co-working desk</t>
  </si>
  <si>
    <t xml:space="preserve">The address is sold as a service — a virtual office plan, a mail-handling address or one hot desk — rather than space the company occupies. That is fine for a two-person startup but impossible for a company claiming crores of trading or manufacturing turnover.</t>
  </si>
  <si>
    <t xml:space="preserve">(address_service_type IN ('virtual_office','mail_forwarding','hot_desk') OR rent_agreement_type == 'virtual_office_agreement') AND (revenue_from_operations &gt; 100000000 OR declared_activity_class IN ('manufacturing','wholesale_trade','warehousing','construction')) AND entity_age_years &gt;= 3</t>
  </si>
  <si>
    <t xml:space="preserve">Categorical address service type; turnover floor INR 10 crore, or any physical-goods activity class; entity age 3 years or more</t>
  </si>
  <si>
    <t xml:space="preserve">address_service_type, rent_agreement_type, revenue_from_operations, declared_activity_class, entity_age_years, monthly_rent_amount, leased_area_sqft</t>
  </si>
  <si>
    <t xml:space="preserve">A virtual or co-working address is entirely legitimate and extremely common for early-stage startups, consultancies, IT and design firms, and post-2020 remote-first companies that deliberately hold no premises — for those the address says nothing and the rule must be suppressed, not merely softened. The signal only appears when the address contradicts the declared business: a company invoicing steel, pharma or FMCG needs somewhere to keep goods, and a virtual desk cannot hold them. So gate on declared_activity_class and on turnover, and suppress for services, professional, software, holding and investment entities regardless of turnover. Suppress for the first three years of any entity. Tighten to a turnover floor of INR 1 crore when e-way bills or GSTR-1 show movement of physical goods from this address, because that is a declared dispatch point that demonstrably does not exist. Note that many virtual office providers are themselves legitimate businesses; the provider is not the target, the tenant is.</t>
  </si>
  <si>
    <t xml:space="preserve">Rent Agreement / Lease Deed, INC-22 Registered Office, MCA Company Master Data</t>
  </si>
  <si>
    <t xml:space="preserve">Site Visit Report, Google Maps / Street Imagery, GST Registration Certificate (REG-06)</t>
  </si>
  <si>
    <t xml:space="preserve">A genuine small consultancy or remote-first startup uses a co-working membership as its statutory address because it needs no premises at all.</t>
  </si>
  <si>
    <t xml:space="preserve">OPS-013 (no electricity connection or near-zero consumption), OPS-014 (warehouse declared but no storage evidence), TAX-004 (goods invoiced without matching e-way bills)</t>
  </si>
  <si>
    <t xml:space="preserve">Companies Act 2013 s.12(1); FIU-IND shell company red flags</t>
  </si>
  <si>
    <t xml:space="preserve">OPS-003</t>
  </si>
  <si>
    <t xml:space="preserve">Premises versus scale</t>
  </si>
  <si>
    <t xml:space="preserve">Registered office is a residential flat inconsistent with declared turnover and headcount</t>
  </si>
  <si>
    <t xml:space="preserve">The office is a small residential dwelling, but the company reports turnover, stock or staff that could not physically fit there. Working from home is normal; running a hundred-crore goods business from a one-bedroom flat is not.</t>
  </si>
  <si>
    <t xml:space="preserve">premises_type == 'residential' AND (revenue_from_operations &gt; 250000000 OR closing_inventory_value &gt; 50000000 OR employee_count_epfo &gt; 20) AND leased_area_sqft &lt; 1000 AND declared_activity_class != 'professional_services'</t>
  </si>
  <si>
    <t xml:space="preserve">Residential premises under 1000 sq ft with turnover above INR 25 crore, or inventory above INR 5 crore, or EPFO headcount above 20</t>
  </si>
  <si>
    <t xml:space="preserve">premises_type, leased_area_sqft, revenue_from_operations, closing_inventory_value, employee_count_epfo, declared_activity_class, property_tax_usage_category</t>
  </si>
  <si>
    <t xml:space="preserve">Home-based operation is lawful and widespread — consultants, chartered accountants, insurance agents, freelancers, OPCs, family investment vehicles and one-person software firms all legitimately register a flat, and Indian municipal rules generally permit professional use of a dwelling. The rule therefore must never fire on the address alone; it fires only on the mismatch between the flat and the declared scale. Suppress for professional and consultancy NIC codes, for holding and investment companies (which need no space at any turnover), for pure commission agents, and for entities under two years old. Tighten sharply when inventory is on the balance sheet, when e-way bills show dispatches from the flat, or when the flat is also the registered office of several other entities. Where leased_area_sqft is unavailable, fall back to the property tax record's usage category and built-up area; if neither exists, downgrade to Manual/Analyst review rather than firing blind.</t>
  </si>
  <si>
    <t xml:space="preserve">INC-22 Registered Office, Property Tax Record, AOC-4 / AOC-4 XBRL Financial Statements</t>
  </si>
  <si>
    <t xml:space="preserve">A high-margin consultancy or a trading firm whose goods never touch its office genuinely bills large sums from the promoter's home.</t>
  </si>
  <si>
    <t xml:space="preserve">OPS-012 (municipal record shows no commercial occupancy), OPS-016 (no EPFO registration despite claimed workforce), FIN-006 (inventory with no storage or logistics cost)</t>
  </si>
  <si>
    <t xml:space="preserve">OPS-004</t>
  </si>
  <si>
    <t xml:space="preserve">Gatekeeper premises</t>
  </si>
  <si>
    <t xml:space="preserve">Registered office is the premises of its own auditor or formation agent</t>
  </si>
  <si>
    <t xml:space="preserve">The company's statutory address is the office of the professional who audits it, certifies it or incorporated it. The company then has no address of its own, and the gatekeeper who is supposed to check it is also its landlord.</t>
  </si>
  <si>
    <t xml:space="preserve">(registered_office_address_normalised == auditor_office_address_normalised OR registered_office_address_normalised == incorporation_professional_address_normalised) AND entity_age_years &gt;= 2 AND rent_agreement_present == false</t>
  </si>
  <si>
    <t xml:space="preserve">Exact normalised address match with the auditor, certifying professional or SPICe+ filing professional; entity age 2 years or more</t>
  </si>
  <si>
    <t xml:space="preserve">registered_office_address_normalised, auditor_office_address_normalised, incorporation_professional_address_normalised, entity_age_years, rent_agreement_present, entities_sharing_professional_address</t>
  </si>
  <si>
    <t xml:space="preserve">A brand-new company genuinely uses its CA's office for a few months until it takes premises, so suppress for the first 12 to 24 months and require rent_agreement_present == false so that a real arms-length sub-lease from a professional firm does not fire. Also allow the legitimate case of a group whose shared-services or secretarial arm sits in the same building — check whether the professional is actually the group's own employee before flagging. Tighten to Critical-adjacent weight when the same professional address hosts many such companies (entities_sharing_professional_address high), when the auditor also signs their accounts, and when the DSC or filing IP for those companies is common, because that is the signature of an incorporation mill rather than an accommodation. Address matching must be normalised and fuzzy: agents often vary the suite number across their stable to defeat exact matching.</t>
  </si>
  <si>
    <t xml:space="preserve">INC-22 Registered Office, ADT-1 Auditor Appointment, SPICe+ / INC-32 Incorporation</t>
  </si>
  <si>
    <t xml:space="preserve">Signatory Details / DSC Register, MCA Company Master Data, Derived — cross-entity graph</t>
  </si>
  <si>
    <t xml:space="preserve">A newly incorporated company is temporarily hosted at its chartered accountant's office until it signs a lease.</t>
  </si>
  <si>
    <t xml:space="preserve">OWN-031 (same incorporation agent across a cluster), OPS-001 (mass address), CMP-018 (auditor signs an implausible number of accounts)</t>
  </si>
  <si>
    <t xml:space="preserve">Companies Act 2013 s.12; ICAI ethical standards on client address use</t>
  </si>
  <si>
    <t xml:space="preserve">OPS-005</t>
  </si>
  <si>
    <t xml:space="preserve">Address instability</t>
  </si>
  <si>
    <t xml:space="preserve">Registered office shifted three or more times within a short period</t>
  </si>
  <si>
    <t xml:space="preserve">The company filed INC-22 to change its registered office repeatedly in a couple of years, often across cities or ROC jurisdictions. Frequent address churn is used to stay ahead of notices, inspections and GST field verification.</t>
  </si>
  <si>
    <t xml:space="preserve">registered_office_change_count_36m &gt;= 3 OR (roc_jurisdiction_change_count_36m &gt;= 1 AND registered_office_change_count_36m &gt;= 2) OR (days_between_last_two_address_changes &lt; 180 AND registered_office_change_count_36m &gt;= 2)</t>
  </si>
  <si>
    <t xml:space="preserve">3 or more INC-22 address changes in 36 months, or 2 changes including a change of ROC jurisdiction, or 2 changes less than 180 days apart</t>
  </si>
  <si>
    <t xml:space="preserve">registered_office_change_count_36m, roc_jurisdiction_change_count_36m, days_between_last_two_address_changes, address_change_dates, gst_principal_place_change_count_36m, entity_age_years</t>
  </si>
  <si>
    <t xml:space="preserve">Growing companies move, and a move that is upward — bigger area, better location, followed by fresh utility and rent records — is a health signal, not a risk one, so enrich each move with leased area and rent where available and suppress when area or rent rises. Genuine triggers for churn include lease expiry in tight metro markets, a shift from home to office in year two, and post-merger consolidation, so suppress when the change coincides with an approved scheme of amalgamation or a registered new lease. Tighten when a move immediately follows a GST notice, a search, a demand order or an ADT-3 auditor resignation, when the new address is in a different state with no business reason, or when the moves land on addresses already linked to other flagged entities. Track the GST principal-place-of-business changes in parallel — divergence between the MCA address and the GST address after a move is itself informative.</t>
  </si>
  <si>
    <t xml:space="preserve">INC-22 Registered Office, MCA Company Master Data, MGT-14 Resolutions</t>
  </si>
  <si>
    <t xml:space="preserve">GST Registration Certificate (REG-06), MGT-7 / MGT-7A Annual Return</t>
  </si>
  <si>
    <t xml:space="preserve">A fast-growing firm outgrew two rented offices in three years and moved each time to larger premises.</t>
  </si>
  <si>
    <t xml:space="preserve">CMP-021 (GST registration suspended after field verification failure), OPS-008 (no signage found at the current address), OWN-005 (board churn in the same window)</t>
  </si>
  <si>
    <t xml:space="preserve">Companies Act 2013 s.12(5); CGST Rules r.25 physical verification</t>
  </si>
  <si>
    <t xml:space="preserve">OPS-006</t>
  </si>
  <si>
    <t xml:space="preserve">Address verification evidence</t>
  </si>
  <si>
    <t xml:space="preserve">INC-22A ACTIVE photo missing, interior-only, or geotag off the declared address</t>
  </si>
  <si>
    <t xml:space="preserve">INC-22A ACTIVE requires a photograph of the registered office showing the exterior and a director inside, with location data. A missing photo, an interior-only shot with no building or nameboard, or GPS coordinates far from the filed address means the address was never really occupied.</t>
  </si>
  <si>
    <t xml:space="preserve">active_form_filed == false OR office_photograph_present == false OR photograph_exterior_visible == false OR geotag_distance_from_registered_office_km &gt; 2 OR photograph_capture_date_gap_days &gt; 365</t>
  </si>
  <si>
    <t xml:space="preserve">Photograph absent or interior-only; geotag more than 2 km from the filed address; image capture date more than 365 days before the filing date</t>
  </si>
  <si>
    <t xml:space="preserve">active_form_filed, office_photograph_present, photograph_exterior_visible, geotag_latitude, geotag_longitude, geotag_distance_from_registered_office_km, photograph_capture_date_gap_days</t>
  </si>
  <si>
    <t xml:space="preserve">Set the geotag tolerance by geography, not by one global number: urban GPS in dense built-up areas and inside buildings drifts by hundreds of metres, and rural PIN centroids can be several kilometres off, so use 2 km in metros and 5 km for rural PIN codes, and never fire on distance alone below 1 km. Many photographs are taken on devices that strip EXIF or by professionals who upload a scanned print, so treat missing geotag as unknown rather than as a hit; the strong signals are an exterior that shows a different building type from the declared one, and a capture date long predating the filing (a recycled image). Suppress for entities incorporated after the ACTIVE cut-off where the form does not apply, for entities under liquidation, and for companies exempt from the filing. Tighten when the same photograph hash appears in another company's ACTIVE filing, which is direct evidence of a shared fabricated address.</t>
  </si>
  <si>
    <t xml:space="preserve">INC-22A ACTIVE, Photograph with Geotag, INC-22 Registered Office</t>
  </si>
  <si>
    <t xml:space="preserve">Site Visit Report, Google Maps / Street Imagery, Document Metadata (PDF / Office)</t>
  </si>
  <si>
    <t xml:space="preserve">The director photographed the office from inside on a phone that stripped location data, so the geotag is simply absent.</t>
  </si>
  <si>
    <t xml:space="preserve">OPS-015 (street imagery shows vacant land or another occupant), OPS-008 (no nameboard at site), CMP-013 (ACTIVE non-compliant status on MCA master data)</t>
  </si>
  <si>
    <t xml:space="preserve">Companies (Incorporation) Amendment Rules 2019, INC-22A ACTIVE</t>
  </si>
  <si>
    <t xml:space="preserve">OPS-007</t>
  </si>
  <si>
    <t xml:space="preserve">Address quality</t>
  </si>
  <si>
    <t xml:space="preserve">Registered address unverifiable — incomplete, PIN mismatched or landmark-free</t>
  </si>
  <si>
    <t xml:space="preserve">The filed address cannot be resolved to a real deliverable location: it lacks a street or building, the PIN code does not belong to the stated city or state, or it is a bare plot number with no locality. An address a postman could not find is an address an inspector cannot visit.</t>
  </si>
  <si>
    <t xml:space="preserve">address_geocode_confidence &lt; 0.5 OR pin_code_state_match == false OR address_token_count &lt; 4 OR address_contains_street_or_building == false OR postal_delivery_status == 'undeliverable'</t>
  </si>
  <si>
    <t xml:space="preserve">Geocoding confidence below 0.5; PIN code not mapped to the declared state or district; fewer than 4 address tokens; or a returned-undelivered postal status</t>
  </si>
  <si>
    <t xml:space="preserve">registered_office_address_raw, address_geocode_confidence, pin_code_state_match, address_token_count, address_contains_street_or_building, postal_delivery_status</t>
  </si>
  <si>
    <t xml:space="preserve">This rule is a data-quality detector as much as a fraud detector, so calibrate it before trusting it. Rural, tribal and newly developed industrial addresses are genuinely sparse — a village name plus a taluka plus a PIN is a complete and correct Indian address, and industrial plot addresses (Plot 47, Phase II, MIDC) legitimately have no street name; carve both out or the rule will be dominated by honest small-town firms. Transliteration variants and vernacular spellings also depress geocoding confidence, so run at least two geocoders and use the better score. Suppress when postal delivery has demonstrably succeeded (a served notice, a delivered demand draft, a signed acknowledgement). Tighten when the PIN mismatch is across states rather than adjacent districts, when the same malformed address string appears for several entities, or when an ROC or GST notice has actually returned undelivered, which converts this from a hygiene flag into evidence.</t>
  </si>
  <si>
    <t xml:space="preserve">INC-22 Registered Office, MCA Company Master Data, GST Registration Certificate (REG-06)</t>
  </si>
  <si>
    <t xml:space="preserve">Google Maps / Street Imagery, Site Visit Report</t>
  </si>
  <si>
    <t xml:space="preserve">A genuine rural or industrial-estate business has a legitimately short address that public geocoders resolve poorly.</t>
  </si>
  <si>
    <t xml:space="preserve">OPS-006 (ACTIVE photograph or geotag problems), CMP-004 (statutory notices returned undelivered), OPS-005 (repeated address changes)</t>
  </si>
  <si>
    <t xml:space="preserve">Companies Act 2013 s.12(1); CGST Rules r.9 registration verification</t>
  </si>
  <si>
    <t xml:space="preserve">OPS-008</t>
  </si>
  <si>
    <t xml:space="preserve">Site verification</t>
  </si>
  <si>
    <t xml:space="preserve">Site visit finds no signage, nameboard or company presence at the registered office</t>
  </si>
  <si>
    <t xml:space="preserve">A physical visit to the filed address finds no board bearing the company's name, no staff who know it and no space attributable to it. Section 12(3) requires the name to be painted or affixed outside every office, so its absence is both a compliance breach and evidence of non-occupancy.</t>
  </si>
  <si>
    <t xml:space="preserve">site_visit_conducted == true AND (nameboard_present == false OR premises_occupied_by_entity == false OR staff_present_count == 0) AND entity_status == 'Active'</t>
  </si>
  <si>
    <t xml:space="preserve">N/A — categorical; corroborate with at least two of nameboard absent, premises not occupied by the entity, zero staff present</t>
  </si>
  <si>
    <t xml:space="preserve">site_visit_conducted, site_visit_date, nameboard_present, premises_occupied_by_entity, staff_present_count, occupant_name_at_premises, entity_status</t>
  </si>
  <si>
    <t xml:space="preserve">One visit is one observation, and honest companies fail it for dull reasons: the visit happened after hours or on a holiday, the office is inside a shared floor with only the landlord's board outside, a co-working desk cannot carry a nameboard, a residential society forbids commercial signage, or the firm is remote-first and the address is genuinely only a statutory one. Require the visit to be recorded with date, time and photographs, and prefer two visits on different days before treating it as confirmed. Suppress when the occupant found on site is a related group company or the co-working operator. The strong version is occupant_name_at_premises naming an unrelated third party who has been there for years, or neighbours confirming the company was never there — that is direct evidence of a fictitious address and should be escalated regardless of the nameboard leg. Note that this is one of the few rules here that needs a human on the ground, so it is best used to confirm a cluster of paper flags rather than to open a case.</t>
  </si>
  <si>
    <t xml:space="preserve">Site Visit Report, Photograph with Geotag, INC-22 Registered Office</t>
  </si>
  <si>
    <t xml:space="preserve">Google Maps / Street Imagery, Adverse Media / News Archive</t>
  </si>
  <si>
    <t xml:space="preserve">The firm rents a desk on a shared floor where only the landlord's board is displayed, and the visit was made when nobody was in.</t>
  </si>
  <si>
    <t xml:space="preserve">OPS-015 (street imagery shows a different occupant), OPS-013 (no electricity connection at the premises), CMP-021 (GST registration suspended after physical verification)</t>
  </si>
  <si>
    <t xml:space="preserve">Companies Act 2013 s.12(3); CGST Rules r.25</t>
  </si>
  <si>
    <t xml:space="preserve">OPS-009</t>
  </si>
  <si>
    <t xml:space="preserve">Address reuse</t>
  </si>
  <si>
    <t xml:space="preserve">Registered office reuses an address previously used by a struck-off or defaulting entity</t>
  </si>
  <si>
    <t xml:space="preserve">The same address was the registered office of one or more companies that were struck off, had GST cancelled, or were flagged as non-genuine. Address recycling is how the same operators keep re-launching after each shell is closed down.</t>
  </si>
  <si>
    <t xml:space="preserve">struck_off_entities_at_address_count &gt;= 1 AND (director_overlap_with_struck_off_entity == true OR gst_cancelled_entities_at_address_count &gt;= 1 OR struck_off_entities_at_address_count &gt;= 3) AND address_is_recognised_coworking_flag == false</t>
  </si>
  <si>
    <t xml:space="preserve">1 or more struck-off predecessors at the same normalised address with a shared director; or 3 or more struck-off predecessors with no overlap; co-working and commercial complexes excluded</t>
  </si>
  <si>
    <t xml:space="preserve">10 FY</t>
  </si>
  <si>
    <t xml:space="preserve">registered_office_address_normalised, struck_off_entities_at_address_count, gst_cancelled_entities_at_address_count, director_overlap_with_struck_off_entity, strike_off_dates_at_address, address_is_recognised_coworking_flag</t>
  </si>
  <si>
    <t xml:space="preserve">Address reuse by itself is meaningless in Indian metros — commercial space turns over constantly, and a struck-off firm three tenants ago says nothing about the current occupant. The rule only works with a link leg: a shared director, shareholder, auditor, DSC holder, phone number or bank branch between the current entity and the struck-off predecessor. Without any overlap, require a count of at least three predecessors and treat it as Low. Suppress for co-working operators, business centres, industrial estates and government-notified parks where MCA strike-off of dormant tenants is routine. Tighten when the current entity was incorporated within 12 months of the predecessor's strike-off, when the two share a NIC code, or when the predecessor was struck off under section 248(1) for non-carrying-on of business rather than by voluntary application — the first is a regulator's finding that no business existed there.</t>
  </si>
  <si>
    <t xml:space="preserve">MCA Struck-Off Company List, INC-22 Registered Office, Derived — cross-entity graph</t>
  </si>
  <si>
    <t xml:space="preserve">GST Cancellation / Suspension Order, MCA Company Master Data, DIN Master Data</t>
  </si>
  <si>
    <t xml:space="preserve">The company took over commercial space whose previous tenant happened to be struck off for unrelated dormancy.</t>
  </si>
  <si>
    <t xml:space="preserve">OWN-013 (same directors rotating across a cluster), OPS-001 (mass address), CMP-030 (predecessor GST registration cancelled as non-existent)</t>
  </si>
  <si>
    <t xml:space="preserve">Companies Act 2013 s.248; SEBI vanishing companies typology</t>
  </si>
  <si>
    <t xml:space="preserve">OPS-010</t>
  </si>
  <si>
    <t xml:space="preserve">Occupancy evidence</t>
  </si>
  <si>
    <t xml:space="preserve">No rent agreement, lease deed or ownership proof on record for the occupied premises</t>
  </si>
  <si>
    <t xml:space="preserve">The company occupies premises it neither owns nor can show a lease for, and pays no rent in its books. If nobody is paying for the space, the company is probably not using it.</t>
  </si>
  <si>
    <t xml:space="preserve">rent_agreement_present == false AND owned_property_in_fixed_assets == false AND rent_expense_amount == 0 AND revenue_from_operations &gt; 20000000 AND related_party_premises_flag == false</t>
  </si>
  <si>
    <t xml:space="preserve">No lease document, no property in the fixed asset schedule, zero rent expense, and turnover above INR 2 crore</t>
  </si>
  <si>
    <t xml:space="preserve">rent_agreement_present, owned_property_in_fixed_assets, rent_expense_amount, revenue_from_operations, related_party_premises_flag, promoter_owned_premises_flag, entity_age_years</t>
  </si>
  <si>
    <t xml:space="preserve">The single largest benign cause is a promoter or family member letting the company use their own property free of charge, which is completely normal for small Indian private companies and should be picked up by promoter_owned_premises_flag or by the AOC-2 related-party annexure — suppress when either shows the arrangement. Similarly suppress for group companies operating from a parent's premises under a shared-services arrangement, for entities inside an incubator or accelerator with a free desk, and for remote-first firms with no premises at all. Suppress in the first year, when documentation genuinely lags. This rule is weak alone and should mainly serve as a corroborator: read it together with zero electricity, zero property tax and no headcount, at which point the absence of every occupancy artefact stops being paperwork sloppiness. Tighten when the entity claims a factory or warehouse, where a registered lease is a licensing precondition and its absence is substantive.</t>
  </si>
  <si>
    <t xml:space="preserve">Rent Agreement / Lease Deed, AOC-4 / AOC-4 XBRL Financial Statements, AOC-2 Related Party Annexure</t>
  </si>
  <si>
    <t xml:space="preserve">Property Tax Record, Tax Audit Report (Form 3CD), TDS Returns (24Q / 26Q)</t>
  </si>
  <si>
    <t xml:space="preserve">The promoter owns the premises and lets the company use them rent-free, so no lease or rent entry exists.</t>
  </si>
  <si>
    <t xml:space="preserve">OPS-012 (municipal record shows no commercial occupancy), OPS-013 (no electricity connection), OPS-003 (premises inconsistent with declared scale)</t>
  </si>
  <si>
    <t xml:space="preserve">CARO 2020 clause 3(i)(c) title deeds; Income Tax Act s.194-I</t>
  </si>
  <si>
    <t xml:space="preserve">OPS-011</t>
  </si>
  <si>
    <t xml:space="preserve">Related-party premises</t>
  </si>
  <si>
    <t xml:space="preserve">Rent paid to a related party at a rate far away from local market value</t>
  </si>
  <si>
    <t xml:space="preserve">The company rents its premises from a director, promoter or group entity at a rent that is many times the local rate — or at a token rate that hides a real transaction. Inflated rent to an insider is a standard way to move money out of the company while showing an operating expense.</t>
  </si>
  <si>
    <t xml:space="preserve">related_party_premises_flag == true AND (rent_per_sqft_monthly &gt; 3 * market_rent_per_sqft_pincode OR rent_per_sqft_monthly &lt; 0.25 * market_rent_per_sqft_pincode) AND rent_expense_amount &gt; 1200000</t>
  </si>
  <si>
    <t xml:space="preserve">Rent per sq ft above 3x or below 0.25x the PIN-code median; annual rent above INR 12 lakh (the TDS 194-I threshold band)</t>
  </si>
  <si>
    <t xml:space="preserve">related_party_premises_flag, rent_expense_amount, rent_per_sqft_monthly, market_rent_per_sqft_pincode, leased_area_sqft, tds_194i_deducted_amount, related_party_name</t>
  </si>
  <si>
    <t xml:space="preserve">Market rent benchmarks are the fragile part: PIN-code medians mix Grade A offices with godowns and shopfronts, so band the benchmark by property type and floor, and widen the multiple to 5x where the sample behind the median is thin. Legitimately high rent per sq ft occurs for prime retail frontage, bank branches, clinics, showrooms and fit-out-inclusive leases that bundle furniture, power backup and services — check whether the agreement is bare-shell or fully serviced before comparing. Legitimately low or nil rent occurs where a promoter charges a nominal sum, and that direction is a tax and disclosure issue rather than a shell signal, so weight the over-market direction higher. Suppress when the lease is at a rate approved by an independent valuer, or when the arrangement is disclosed in AOC-2 with board and, where required, shareholder approval. Tighten when TDS under 194-I has not been deducted despite the rent crossing the threshold, when rent rises sharply in a year of otherwise flat turnover, or when the landlord is also a customer or supplier.</t>
  </si>
  <si>
    <t xml:space="preserve">AOC-2 Related Party Annexure, Rent Agreement / Lease Deed, AOC-4 / AOC-4 XBRL Financial Statements</t>
  </si>
  <si>
    <t xml:space="preserve">TDS Returns (24Q / 26Q), Tax Audit Report (Form 3CD), Property Tax Record</t>
  </si>
  <si>
    <t xml:space="preserve">The premises are prime retail or fully fitted-out space, so the per-square-foot rent legitimately far exceeds the area median.</t>
  </si>
  <si>
    <t xml:space="preserve">OWN-022 (related-party expense concentration), FIN-011 (expenses without operational counterpart), CMP-026 (related-party transaction not disclosed in AOC-2)</t>
  </si>
  <si>
    <t xml:space="preserve">Companies Act 2013 s.188; Income Tax Act s.40A(2)(b)</t>
  </si>
  <si>
    <t xml:space="preserve">OPS-012</t>
  </si>
  <si>
    <t xml:space="preserve">Municipal footprint</t>
  </si>
  <si>
    <t xml:space="preserve">Property tax or municipal record shows no commercial occupancy at the declared premises</t>
  </si>
  <si>
    <t xml:space="preserve">The municipal record for the address carries no commercial or industrial assessment, no trade licence and no non-domestic usage entry, even though a business claims to operate there. Local bodies tax commercial use, so a real shop, office or factory almost always leaves a municipal trace.</t>
  </si>
  <si>
    <t xml:space="preserve">property_tax_usage_category IN ('residential','vacant','agricultural','none') AND declared_activity_class IN ('manufacturing','wholesale_trade','retail','warehousing','hospitality') AND revenue_from_operations &gt; 50000000 AND trade_licence_present == false</t>
  </si>
  <si>
    <t xml:space="preserve">Municipal usage category not commercial or industrial, no trade licence, turnover above INR 5 crore, and a premises-dependent activity class</t>
  </si>
  <si>
    <t xml:space="preserve">property_tax_usage_category, property_tax_assessment_id, declared_activity_class, revenue_from_operations, trade_licence_present, municipal_ward_code, premises_ownership_type</t>
  </si>
  <si>
    <t xml:space="preserve">Municipal data quality varies enormously across India — many urban local bodies have no digital register, several states do not classify usage at all, and rural panchayat areas may levy no property tax on commercial premises. Treat an absent record as unknown, not as a hit, and restrict the rule to municipalities with a queryable assessment register; otherwise false positives will be geographic rather than behavioural. Suppress for services, IT and professional firms, which routinely operate from residentially assessed flats with municipal permission, and for entities in SEZ, STPI and notified industrial areas that are outside municipal assessment and licensed by the development authority instead. Suppress where the premises are leased and the assessment sits with the landlord under a different name — match on assessment ID or address rather than on entity name. Tighten when the claimed activity requires a specific municipal consent (eating house, storage of goods, factory) and none exists, since that is illegality on its face rather than record-keeping drift.</t>
  </si>
  <si>
    <t xml:space="preserve">Property Tax Record, Shops &amp; Establishment Licence, MCA Company Master Data</t>
  </si>
  <si>
    <t xml:space="preserve">Electricity / Utility Bill, Site Visit Report, Rent Agreement / Lease Deed</t>
  </si>
  <si>
    <t xml:space="preserve">The premises are leased and assessed in the landlord's name, or the local body simply does not record usage category.</t>
  </si>
  <si>
    <t xml:space="preserve">OPS-025 (no Shops and Establishment or trade licence), OPS-013 (domestic electricity tariff only), OPS-003 (residential premises inconsistent with scale)</t>
  </si>
  <si>
    <t xml:space="preserve">State municipal Acts; CGST Rules r.25 physical verification</t>
  </si>
  <si>
    <t xml:space="preserve">OPS-013</t>
  </si>
  <si>
    <t xml:space="preserve">Utility consumption</t>
  </si>
  <si>
    <t xml:space="preserve">Electricity absent, domestic-tariff only, or near-zero units vs claimed output</t>
  </si>
  <si>
    <t xml:space="preserve">The premises have no electricity connection in the company's name, or only a domestic connection, or an industrial meter whose recorded units are far too low for the output claimed. Manufacturing consumes power in a tight, well-known ratio to output, so near-zero units with crores of production is a physical impossibility.</t>
  </si>
  <si>
    <t xml:space="preserve">declared_activity_class == 'manufacturing' AND (electricity_connection_present == false OR electricity_tariff_category == 'domestic' OR (annual_electricity_units_kwh / revenue_from_operations) &lt; 0.15 * sector_median_kwh_per_inr) AND revenue_from_operations &gt; 50000000</t>
  </si>
  <si>
    <t xml:space="preserve">No connection, or domestic tariff, or kWh per rupee of turnover below 15% of the sector median; turnover floor INR 5 crore</t>
  </si>
  <si>
    <t xml:space="preserve">Current FY, compared against 3 FY sector medians</t>
  </si>
  <si>
    <t xml:space="preserve">electricity_connection_present, electricity_tariff_category, annual_electricity_units_kwh, sector_median_kwh_per_inr, revenue_from_operations, declared_activity_class, connected_load_kw, nic_code</t>
  </si>
  <si>
    <t xml:space="preserve">The energy-to-turnover ratio must be sector-specific and cannot be pooled: a rolling mill, a foundry and an electric arc furnace consume orders of magnitude more per rupee than garment stitching, assembly, packing or pharmaceutical formulation, so build medians at 4-digit NIC level and use kWh per unit of physical output where quantity data exists. Legitimate low-consumption manufacturing exists and must be carved out — job work and assembly where the principal supplies power, units on captive solar or diesel generation (check the fixed asset schedule for a genset or rooftop plant), units running a single shift in a seasonal industry, and asset-light brand owners whose entire production is outsourced to third-party manufacturers (very common in FMCG, apparel and nutraceuticals). Suppress for trading, services, holding, IT and financial entities, where power tells you nothing. Suppress when the connection is in the landlord's or parent's name and cost is recharged. Tighten to Critical when the entity claims excise-style output, files e-way bills for finished goods and shows meter readings consistent with an empty shed, because that combination is the classic bill-trading manufacturer.</t>
  </si>
  <si>
    <t xml:space="preserve">Electricity / Utility Bill, AOC-4 / AOC-4 XBRL Financial Statements, GSTR-1</t>
  </si>
  <si>
    <t xml:space="preserve">Site Visit Report, Tax Audit Report (Form 3CD), Derived — cross-entity graph</t>
  </si>
  <si>
    <t xml:space="preserve">The company outsources all production to job workers or runs on captive solar or diesel power, so its grid consumption is genuinely tiny.</t>
  </si>
  <si>
    <t xml:space="preserve">OPS-027 (no plant and machinery for declared manufacturing), TAX-002 (input tax credit claimed with no matching production), FIN-006 (inventory movement without logistics cost)</t>
  </si>
  <si>
    <t xml:space="preserve">FIU-IND shell company red flags; CBIC fake invoicing SOP; FATF TBML typology</t>
  </si>
  <si>
    <t xml:space="preserve">OPS-014</t>
  </si>
  <si>
    <t xml:space="preserve">Storage capacity</t>
  </si>
  <si>
    <t xml:space="preserve">Warehouse or factory declared but no evidence of storage capacity for the goods handled</t>
  </si>
  <si>
    <t xml:space="preserve">The company declares an additional place of business as a godown or plant, yet there is no lease, no area, no storage cost and no capacity that could hold the inventory or throughput it reports. Goods that are only on paper need no shelf space.</t>
  </si>
  <si>
    <t xml:space="preserve">additional_place_of_business_declared == true AND (warehouse_area_sqft == 0 OR warehouse_area_sqft &lt; required_area_sqft_estimate * 0.2) AND (storage_and_warehousing_expense / revenue_from_operations) &lt; 0.001 AND goods_turnover_volume_units &gt; 0</t>
  </si>
  <si>
    <t xml:space="preserve">Declared storage area below 20% of the area implied by peak inventory volume; warehousing expense below 0.1% of turnover</t>
  </si>
  <si>
    <t xml:space="preserve">additional_place_of_business_declared, warehouse_area_sqft, required_area_sqft_estimate, storage_and_warehousing_expense, revenue_from_operations, closing_inventory_value, goods_turnover_volume_units, eway_bill_dispatch_address_count</t>
  </si>
  <si>
    <t xml:space="preserve">The capacity estimate must come from physical units and a realistic density assumption, not from rupee value, since a crore of jewellery fits in a drawer and a crore of cotton bales does not — build required_area_sqft_estimate per commodity class and treat high-value low-volume trades (bullion, gems, electronics components, pharmaceuticals APIs) as out of scope or heavily relaxed. Genuinely asset-light models legitimately hold no storage: bill-to-ship-to and drop-shipping arrangements where goods move directly from supplier to customer, high-seas sales, in-transit trading, consignment and 3PL models where a logistics provider holds the stock (look for a third-party warehousing invoice before flagging), and merchant exporters shipping straight from the factory gate. Suppress for services and for entities with zero inventory throughout the year. Tighten when e-way bills name this address as the dispatch point for large tonnage, when inventory sits on the balance sheet at year end with nowhere to be, or when the declared godown address turns out to be a residential flat.</t>
  </si>
  <si>
    <t xml:space="preserve">GST Registration Certificate (REG-06), E-Way Bill Data, AOC-4 / AOC-4 XBRL Financial Statements</t>
  </si>
  <si>
    <t xml:space="preserve">Rent Agreement / Lease Deed, Site Visit Report, Insurance Policy Record</t>
  </si>
  <si>
    <t xml:space="preserve">The trader uses bill-to-ship-to or 3PL arrangements so goods never physically rest at its own premises.</t>
  </si>
  <si>
    <t xml:space="preserve">OPS-029 (no insurance on stock), FIN-007 (inventory turnover impossible for the sector), TAX-004 (invoices without corresponding e-way bills)</t>
  </si>
  <si>
    <t xml:space="preserve">CGST Rules r.56 records of goods; CBIC fake invoicing SOP</t>
  </si>
  <si>
    <t xml:space="preserve">OPS-015</t>
  </si>
  <si>
    <t xml:space="preserve">Independent imagery</t>
  </si>
  <si>
    <t xml:space="preserve">Street or satellite imagery shows vacant land or an unrelated occupant at the address</t>
  </si>
  <si>
    <t xml:space="preserve">Independent map imagery of the filed address shows an empty plot, a demolished structure, a residence or a completely different business, with no sign of the company across successive image dates. This is third-party evidence that the declared premises do not exist as claimed.</t>
  </si>
  <si>
    <t xml:space="preserve">imagery_available == true AND (imagery_structure_type IN ('vacant_land','under_construction','demolished') OR imagery_occupant_name_mismatch == true) AND imagery_observation_count &gt;= 2 AND declared_activity_class IN ('manufacturing','warehousing','wholesale_trade','retail')</t>
  </si>
  <si>
    <t xml:space="preserve">N/A — categorical; requires 2 or more independent image dates showing the same absence, imagery not older than 24 months</t>
  </si>
  <si>
    <t xml:space="preserve">Point in time, imagery within 24 months</t>
  </si>
  <si>
    <t xml:space="preserve">imagery_available, imagery_capture_dates, imagery_structure_type, imagery_occupant_name_mismatch, imagery_observation_count, declared_activity_class, registered_office_address_normalised</t>
  </si>
  <si>
    <t xml:space="preserve">Map imagery in India is frequently stale, mislocated or absent — street-level coverage stops at many interior roads, PIN centroids drag pins hundreds of metres, and building numbering is often not visible from the road, so require imagery no older than 24 months and at least two observation dates before treating absence as evidence; a single blurry pass is not a finding. Suppress where the address is an upper floor, an interior unit or inside a gated complex, since occupancy is simply not observable from outside. Suppress for services and remote-first firms where the premises are incidental. Genuine causes of a mismatch include the company trading under a brand name different from its registered name (check the trademark and website for the trade name before calling a mismatch), a recent move, and redevelopment of the plot. Tighten when the imagery shows vacant land across several years while the company reports large turnover from that address, or when the visible occupant is an unrelated long-standing business — then escalate to a physical site visit rather than closing on imagery alone.</t>
  </si>
  <si>
    <t xml:space="preserve">Google Maps / Street Imagery, INC-22 Registered Office, MCA Company Master Data</t>
  </si>
  <si>
    <t xml:space="preserve">Site Visit Report, Photograph with Geotag, Company Website Content</t>
  </si>
  <si>
    <t xml:space="preserve">The imagery predates the company's occupation, or the firm operates under a trade name that differs from its registered name on the signboard.</t>
  </si>
  <si>
    <t xml:space="preserve">OPS-008 (site visit finds no presence), OPS-006 (ACTIVE photograph or geotag inconsistent), OPS-013 (no electricity at the premises)</t>
  </si>
  <si>
    <t xml:space="preserve">FIU-IND shell company red flags; CGST Rules r.25 physical verification</t>
  </si>
  <si>
    <t xml:space="preserve">OPS-016</t>
  </si>
  <si>
    <t xml:space="preserve">Workforce registration</t>
  </si>
  <si>
    <t xml:space="preserve">No EPFO registration despite a workforce claimed in filings</t>
  </si>
  <si>
    <t xml:space="preserve">The company reports employees and salary cost but has no Provident Fund registration (EPFO, the retirement fund body every employer with 20 or more staff must join). A workforce that exists nowhere in the labour system is usually a workforce that does not exist.</t>
  </si>
  <si>
    <t xml:space="preserve">epfo_establishment_registered == false AND (declared_employee_count &gt;= 20 OR employee_benefit_expense &gt; 5000000) AND revenue_from_operations &gt; 50000000 AND entity_age_years &gt;= 2</t>
  </si>
  <si>
    <t xml:space="preserve">No EPFO establishment code with 20 or more declared employees or employee benefit expense above INR 50 lakh; turnover floor INR 5 crore</t>
  </si>
  <si>
    <t xml:space="preserve">epfo_establishment_registered, declared_employee_count, employee_benefit_expense, revenue_from_operations, entity_age_years, director_remuneration, contract_labour_expense</t>
  </si>
  <si>
    <t xml:space="preserve">Employee benefit expense includes directors' remuneration, so strip director_remuneration before applying the salary leg or every small owner-managed firm fires. The EPF Act applies from 20 employees, and firms below that are lawfully outside it, so the headcount leg must use the declared count and not an inference from cost. Genuine exemptions and carve-outs are common: exempted establishments running their own PF trust (large groups), employees drawing above the wage ceiling who are excluded, workers supplied by a registered contractor whose own EPFO code covers them (check contract_labour_expense and the contractor's compliance before flagging), apprentices and interns, and firms whose staff are on a group company's payroll under a shared-services agreement. Suppress for holding and investment companies, for professional LLPs whose partners are not employees, and for the first two years. Tighten when the company simultaneously claims a large workforce in a tender bid, a bank loan application or an MSME registration, since a claimed headcount that appears in credit documents but in no statutory record is a fabricated one.</t>
  </si>
  <si>
    <t xml:space="preserve">EPFO ECR Filing, AOC-4 / AOC-4 XBRL Financial Statements, MGT-7 / MGT-7A Annual Return</t>
  </si>
  <si>
    <t xml:space="preserve">ESIC Contribution Record, TDS Returns (24Q / 26Q), Payroll Register</t>
  </si>
  <si>
    <t xml:space="preserve">The firm has fewer than 20 employees or its staff are supplied by a registered manpower contractor who holds the EPFO code.</t>
  </si>
  <si>
    <t xml:space="preserve">OPS-022 (salaries paid entirely in cash), CMP-035 (no 24Q TDS return despite salary cost), OPS-023 (no employee has an independent footprint)</t>
  </si>
  <si>
    <t xml:space="preserve">EPF &amp; MP Act 1952 s.1(3); FIU-IND shell company red flags</t>
  </si>
  <si>
    <t xml:space="preserve">OPS-017</t>
  </si>
  <si>
    <t xml:space="preserve">Token payroll</t>
  </si>
  <si>
    <t xml:space="preserve">EPFO ECR filed with zero or token member count against material turnover</t>
  </si>
  <si>
    <t xml:space="preserve">The company holds an EPFO code but its monthly ECR return (the electronic challan listing every member and wage) reports nil or a handful of members for months on end. A registration kept alive with a token filing is a compliance shell, not a workforce.</t>
  </si>
  <si>
    <t xml:space="preserve">epfo_establishment_registered == true AND (epfo_member_count_max_12m &lt;= 3 OR nil_ecr_months_12m &gt;= 6) AND revenue_from_operations &gt; 100000000 AND declared_activity_class NOT IN ('holding_investment','financial_services')</t>
  </si>
  <si>
    <t xml:space="preserve">Peak EPFO members 3 or fewer, or 6 or more nil ECR months in 12; turnover floor INR 10 crore</t>
  </si>
  <si>
    <t xml:space="preserve">epfo_establishment_registered, epfo_member_count_max_12m, epfo_member_count_mean_12m, nil_ecr_months_12m, epfo_total_wages_12m, revenue_from_operations, declared_activity_class</t>
  </si>
  <si>
    <t xml:space="preserve">Read peak and mean separately: a genuine business with seasonal staffing shows a rising and falling curve, while a shell shows a flat two or three members forever, so the shape over 12 months is more diagnostic than the level. Legitimate low counts abound — holding and investment companies, SPVs, asset-management and treasury entities, real-estate SPVs holding one property, and firms whose staff sit on a group payroll all run at nil or near nil lawfully; suppress for those NIC codes outright. Nil ECR is also correct and lawful during a genuine business pause, a construction gap or a project handover, so check whether wages resume rather than treating a run of nils as fraud. Registered contract labour again explains a small direct payroll in manufacturing and facilities businesses. Tighten when the wage per member is at or just above the statutory minimum for every member every month (a fabricated register), when member count never changes across two years despite turnover doubling, or when the same handful of UANs appear in several related companies.</t>
  </si>
  <si>
    <t xml:space="preserve">EPFO ECR Filing, AOC-4 / AOC-4 XBRL Financial Statements</t>
  </si>
  <si>
    <t xml:space="preserve">ESIC Contribution Record, Payroll Register, TDS Returns (24Q / 26Q)</t>
  </si>
  <si>
    <t xml:space="preserve">The entity is an SPV or holding vehicle whose work is done by group employees on another company's payroll.</t>
  </si>
  <si>
    <t xml:space="preserve">OPS-018 (headcount inconsistent with turnover), FIN-002 (employee cost negligible against revenue), OPS-021 (identical round salaries in the payroll register)</t>
  </si>
  <si>
    <t xml:space="preserve">EPF &amp; MP Act 1952; CBIC fake invoicing SOP</t>
  </si>
  <si>
    <t xml:space="preserve">OPS-018</t>
  </si>
  <si>
    <t xml:space="preserve">Headcount versus scale</t>
  </si>
  <si>
    <t xml:space="preserve">Revenue per EPFO member is a sector outlier by several standard deviations</t>
  </si>
  <si>
    <t xml:space="preserve">Dividing turnover by the number of PF members gives a revenue-per-head figure far outside what firms in the same industry achieve. Every sector has a realistic productivity band; a shell breaks it because the revenue is invented and the heads are not.</t>
  </si>
  <si>
    <t xml:space="preserve">(revenue_from_operations / epfo_member_count_mean_12m) &gt; sector_revenue_per_employee_p99 AND epfo_member_count_mean_12m &gt;= 1 AND revenue_from_operations &gt; 100000000 AND peer_group_size &gt;= 30</t>
  </si>
  <si>
    <t xml:space="preserve">Revenue per member above the 4-digit NIC 99th percentile, or z-score above 3; turnover floor INR 10 crore; peer group of at least 30 firms</t>
  </si>
  <si>
    <t xml:space="preserve">Current FY against a 3 FY peer distribution</t>
  </si>
  <si>
    <t xml:space="preserve">revenue_from_operations, epfo_member_count_mean_12m, sector_revenue_per_employee_p99, sector_revenue_per_employee_zscore, peer_group_size, nic_code, contract_labour_expense, outsourced_services_expense</t>
  </si>
  <si>
    <t xml:space="preserve">Revenue per head varies by two orders of magnitude across legitimate business models, so the peer group must be built at 4-digit NIC and turnover band, and the rule must be suppressed where the denominator is meaningless by design. Commodity trading, bullion, fuel and pharmaceutical distribution run enormous turnover through a handful of people and are legitimately in the far tail; so are commission agents booking gross, power traders, and any business reporting gross rather than net revenue. Asset-light platforms and marketplaces, franchised and dealer networks, and firms that outsource operations wholesale (check contract_labour_expense and outsourced_services_expense and add the implied contractor heads to the denominator before computing) all look thin on direct payroll for honest reasons. Suppress for holding, investment and NBFC entities. Tighten when the outlier persists across three years, when the peer z-score is extreme in the same year that gross margin is abnormally thin, and when there is no outsourcing cost to explain where the work went — that combination means neither employees nor contractors did the work.</t>
  </si>
  <si>
    <t xml:space="preserve">EPFO ECR Filing, AOC-4 / AOC-4 XBRL Financial Statements, Derived — cross-entity graph</t>
  </si>
  <si>
    <t xml:space="preserve">MGT-7 / MGT-7A Annual Return, Income Tax Return (ITR-5 / ITR-6), GSTR-9 / 9C Annual Return</t>
  </si>
  <si>
    <t xml:space="preserve">A commodity trading or distribution firm legitimately turns over hundreds of crores with a dozen staff.</t>
  </si>
  <si>
    <t xml:space="preserve">OPS-017 (token EPFO member count), FIN-003 (gross margin far off sector norm), OPS-013 (no utility consumption)</t>
  </si>
  <si>
    <t xml:space="preserve">Peer-group z-score analytics; FIU-IND shell company red flags</t>
  </si>
  <si>
    <t xml:space="preserve">OPS-019</t>
  </si>
  <si>
    <t xml:space="preserve">Labour insurance</t>
  </si>
  <si>
    <t xml:space="preserve">No ESIC contributions for a declared labour-intensive activity</t>
  </si>
  <si>
    <t xml:space="preserve">ESIC (the state employees' health insurance scheme, compulsory for most staff earning up to INR 21,000 a month) shows no contributions, although the company claims a labour-heavy business such as manufacturing, construction, security or hospitality. Low-wage workers who really exist almost always appear in ESIC.</t>
  </si>
  <si>
    <t xml:space="preserve">esic_registered == false AND declared_activity_class IN ('manufacturing','construction','hospitality','security_services','facility_management','logistics') AND declared_employee_count &gt;= 10 AND establishment_in_implemented_area == true</t>
  </si>
  <si>
    <t xml:space="preserve">No ESIC code with 10 or more employees in a labour-intensive NIC class located in an ESIC-implemented area</t>
  </si>
  <si>
    <t xml:space="preserve">esic_registered, esic_contribution_amount_12m, declared_activity_class, declared_employee_count, establishment_in_implemented_area, employee_benefit_expense, average_monthly_wage, contract_labour_expense</t>
  </si>
  <si>
    <t xml:space="preserve">ESIC applies only in implemented areas and only to employees within the wage ceiling, so both legs must be checked before firing: an establishment in a non-implemented district is lawfully outside the scheme, and a firm whose entire staff draws above the ceiling (common in IT, consulting, design and senior-only teams) correctly contributes nothing. Suppress wherever average_monthly_wage sits well above the ceiling, and suppress for professional services entirely. As with PF, workers supplied through a registered contractor are covered under the contractor's code, which is the normal arrangement in construction, security and facility management — so this rule must be paired with an examination of contract_labour_expense rather than run alone, or it will hit most honest EPC and infrastructure firms. Tighten when EPFO shows members within the ESIC wage band but ESIC shows none, which is an internal contradiction in the company's own filings, and when a factory licence exists but no labour insurance does.</t>
  </si>
  <si>
    <t xml:space="preserve">ESIC Contribution Record, EPFO ECR Filing, AOC-4 / AOC-4 XBRL Financial Statements</t>
  </si>
  <si>
    <t xml:space="preserve">Payroll Register, Shops &amp; Establishment Licence, Professional Tax Record</t>
  </si>
  <si>
    <t xml:space="preserve">All employees draw above the ESIC wage ceiling, or the site is in a district where the scheme is not implemented.</t>
  </si>
  <si>
    <t xml:space="preserve">OPS-016 (no EPFO registration), OPS-025 (no trade or establishment licence), OPS-027 (no plant for declared manufacturing)</t>
  </si>
  <si>
    <t xml:space="preserve">ESI Act 1948 s.1(3), s.2(9)</t>
  </si>
  <si>
    <t xml:space="preserve">OPS-020</t>
  </si>
  <si>
    <t xml:space="preserve">Local registration</t>
  </si>
  <si>
    <t xml:space="preserve">No professional tax registration or remittance in a state that levies it</t>
  </si>
  <si>
    <t xml:space="preserve">Professional tax is a small state levy that an employer must deduct from every salary and deposit monthly. Its complete absence in a state that levies it means either no employees or no real payroll process.</t>
  </si>
  <si>
    <t xml:space="preserve">professional_tax_registered == false AND state_levies_professional_tax == true AND employee_benefit_expense &gt; 2500000 AND declared_employee_count &gt;= 5 AND entity_age_years &gt;= 2</t>
  </si>
  <si>
    <t xml:space="preserve">No PT enrolment or remittance where the state levies it; employee cost above INR 25 lakh and 5 or more employees</t>
  </si>
  <si>
    <t xml:space="preserve">professional_tax_registered, professional_tax_paid_amount_12m, state_levies_professional_tax, employee_benefit_expense, declared_employee_count, entity_age_years, registered_office_state</t>
  </si>
  <si>
    <t xml:space="preserve">Professional tax is a state subject and several states and union territories, including Delhi, Haryana, Uttar Pradesh, Rajasthan and others, do not levy it at all, so the rule must be gated on registered_office_state and on the state of each place of business, not on the registered office alone — a Delhi-registered company with a Karnataka branch owes PT in Karnataka. Digitisation of PT records is uneven, so treat an unavailable record as unknown rather than as absence. This is a weak, high-noise signal on its own: honest small firms miss PT routinely and the penalty is trivial, which is precisely why it is a poor deterrent and a poor standalone flag. Its value is as a third leg — no PF, no ESIC and no PT together mean no payroll infrastructure of any kind, which is meaningful where salary cost is material. Suppress for entities with no employees by design and for the first year. Tighten only where the state's record is machine-verifiable.</t>
  </si>
  <si>
    <t xml:space="preserve">Professional Tax Record, AOC-4 / AOC-4 XBRL Financial Statements</t>
  </si>
  <si>
    <t xml:space="preserve">Payroll Register, Shops &amp; Establishment Licence, Tax Audit Report (Form 3CD)</t>
  </si>
  <si>
    <t xml:space="preserve">The company operates in a state that does not levy professional tax, or simply overlooked a minor local registration.</t>
  </si>
  <si>
    <t xml:space="preserve">OPS-016 (no EPFO registration), OPS-019 (no ESIC contributions), OPS-025 (no Shops and Establishment licence)</t>
  </si>
  <si>
    <t xml:space="preserve">State Professional Tax Acts; Constitution Article 276</t>
  </si>
  <si>
    <t xml:space="preserve">OPS-021</t>
  </si>
  <si>
    <t xml:space="preserve">Payroll fabrication</t>
  </si>
  <si>
    <t xml:space="preserve">Payroll register shows few employees on identical round salaries</t>
  </si>
  <si>
    <t xml:space="preserve">Every name in the salary register draws the same neat figure, month after month, with no variation for grade, attendance, overtime, increments or arrears. Real payrolls are messy; fabricated ones are copy-pasted.</t>
  </si>
  <si>
    <t xml:space="preserve">payroll_distinct_salary_values / payroll_employee_count &lt; 0.3 AND round_number_salary_share &gt; 0.8 AND salary_variance_across_months == 0 AND payroll_employee_count &gt;= 3</t>
  </si>
  <si>
    <t xml:space="preserve">Fewer than 0.3 distinct salary values per employee; over 80% of salaries ending in 000; zero month-on-month variance; at least 3 employees</t>
  </si>
  <si>
    <t xml:space="preserve">payroll_employee_count, payroll_distinct_salary_values, round_number_salary_share, salary_variance_across_months, salary_increment_events_count, joiner_leaver_count_12m, epfo_wage_per_member</t>
  </si>
  <si>
    <t xml:space="preserve">Round and identical pay is genuinely normal at the bottom of the wage scale — minimum-wage workers, trainees, drivers, security guards, delivery riders and shop staff are frequently paid the same statutory figure, and many small firms deliberately set clean CTC numbers. So suppress when average pay sits at or near the state minimum wage, and suppress for entities with fewer than three employees where a uniformity statistic is meaningless. The discriminating features are not roundness alone but the absence of any payroll life: no joiners or leavers in a year, no increment events, no arrears, no leave-without-pay deductions, no variation in days paid, and a headcount identical in every month. Also compare the register against EPFO wages and 24Q TDS: a fabricated register usually cannot keep all three consistent. Tighten when the same salary figures and the same employee names appear in a related entity's register, or when total payroll exactly equals a round annual figure.</t>
  </si>
  <si>
    <t xml:space="preserve">Payroll Register, EPFO ECR Filing, TDS Returns (24Q / 26Q)</t>
  </si>
  <si>
    <t xml:space="preserve">Bank Statement, AOC-4 / AOC-4 XBRL Financial Statements, ESIC Contribution Record</t>
  </si>
  <si>
    <t xml:space="preserve">A small firm pays a uniform minimum wage to a handful of identical-grade workers, so the register is legitimately flat.</t>
  </si>
  <si>
    <t xml:space="preserve">OPS-022 (salaries paid in cash), OPS-023 (no employee has an independent footprint), FIN-014 (round-number density across the ledger)</t>
  </si>
  <si>
    <t xml:space="preserve">Benford and round-number density analytics; CARO 2020 clause 3(iii)</t>
  </si>
  <si>
    <t xml:space="preserve">OPS-022</t>
  </si>
  <si>
    <t xml:space="preserve">Cash payroll</t>
  </si>
  <si>
    <t xml:space="preserve">Salaries paid entirely in cash with no bank salary transfers</t>
  </si>
  <si>
    <t xml:space="preserve">The bank statement shows no salary payouts while the accounts show a large employee cost, meaning wages are claimed to be paid in cash. Cash payroll leaves no trace linking money to a named person, so it is the easiest expense to invent.</t>
  </si>
  <si>
    <t xml:space="preserve">bank_salary_debit_amount_12m / employee_benefit_expense &lt; 0.1 AND employee_benefit_expense &gt; 3000000 AND cash_withdrawal_amount_12m &gt; 0.5 * employee_benefit_expense AND salary_payment_mode == 'cash'</t>
  </si>
  <si>
    <t xml:space="preserve">Under 10% of employee cost paid by bank transfer; employee cost above INR 30 lakh; cash withdrawals covering over half of it</t>
  </si>
  <si>
    <t xml:space="preserve">bank_salary_debit_amount_12m, employee_benefit_expense, cash_withdrawal_amount_12m, salary_payment_mode, epfo_member_count_mean_12m, tds_24q_deducted_amount, average_monthly_wage, declared_activity_class</t>
  </si>
  <si>
    <t xml:space="preserve">Cash wages remain lawful and common in parts of the Indian economy — construction sites, farms, small retail, dhabas, loading and unloading gangs, and daily-wage labour in semi-urban areas — and the Payment of Wages Act only mandates bank transfer where the appropriate government has so notified, so this cannot be read as illegality by itself. Suppress or heavily relax where average_monthly_wage is near the minimum wage and the activity class is construction, agriculture or unorganised retail. Note the income tax limit of INR 10,000 per person per day under section 40A(3) — a firm claiming crores of cash salary is asserting either many workers or a disallowable expense, so cross-check headcount against the implied per-head cash. The strong pattern is large round cash withdrawals a day or two before month end that exactly fund a fabricated payroll while EPFO members are nil and no 24Q TDS is deducted for staff who should cross the threshold. Tighten for IT, services and white-collar sectors where cash wages are effectively unheard of.</t>
  </si>
  <si>
    <t xml:space="preserve">Bank Statement, Payroll Register, AOC-4 / AOC-4 XBRL Financial Statements</t>
  </si>
  <si>
    <t xml:space="preserve">TDS Returns (24Q / 26Q), EPFO ECR Filing, Tax Audit Report (Form 3CD)</t>
  </si>
  <si>
    <t xml:space="preserve">A construction or agricultural employer genuinely pays daily-wage labour in cash as the sector has always done.</t>
  </si>
  <si>
    <t xml:space="preserve">BNK-014 (round-figure cash withdrawals before month end), OPS-016 (no EPFO registration), OPS-021 (identical round salaries)</t>
  </si>
  <si>
    <t xml:space="preserve">Income Tax Act s.40A(3); Payment of Wages Act 1936 s.6</t>
  </si>
  <si>
    <t xml:space="preserve">OPS-023</t>
  </si>
  <si>
    <t xml:space="preserve">Employee verification</t>
  </si>
  <si>
    <t xml:space="preserve">Sampled employees have no independent verifiable footprint</t>
  </si>
  <si>
    <t xml:space="preserve">When a sample of named employees is checked, none can be independently traced — no PF member ID history, no salary TDS entry, no professional profile, no phone or bank trace, or the same identities appear as employees of several unrelated companies. Ghost employees pad cost and drain cash.</t>
  </si>
  <si>
    <t xml:space="preserve">sampled_employee_count &gt;= 5 AND employees_with_no_external_trace / sampled_employee_count &gt; 0.6 AND (employees_shared_with_other_entities_count &gt;= 2 OR duplicate_bank_account_across_employees &gt;= 2)</t>
  </si>
  <si>
    <t xml:space="preserve">Over 60% of a sample of at least 5 employees untraceable, plus shared identities or shared salary bank accounts</t>
  </si>
  <si>
    <t xml:space="preserve">sampled_employee_count, employees_with_no_external_trace, employees_shared_with_other_entities_count, duplicate_bank_account_across_employees, employee_pan_valid_count, uan_history_present_count, salary_credit_beneficiary_accounts</t>
  </si>
  <si>
    <t xml:space="preserve">Absence of a digital footprint is not evidence of non-existence: blue-collar workers, workers in semi-urban and rural India, older employees and women returning to work are routinely absent from professional networks and often have thin PF histories, so a low online presence must never be the deciding leg for such populations. Weight verifiable statutory traces (a UAN with prior employer history, a valid PAN, a 24Q entry, a salary credit to a distinct account) far above social traces, and set the sample deliberately to cover different grades rather than only the cheapest names. Suppress for genuinely new workforces where every member is a first-time employee with no UAN history, which is normal for entry-level hiring. The strong findings, which should escalate immediately, are several salaries crediting the same bank account, the same PAN drawing salary from multiple unrelated companies in the same months, and PANs that do not exist. Because this needs judgement and sampling, treat outputs as analyst-confirmed rather than automated.</t>
  </si>
  <si>
    <t xml:space="preserve">Payroll Register, EPFO ECR Filing, Bank Statement</t>
  </si>
  <si>
    <t xml:space="preserve">TDS Returns (24Q / 26Q), Social Media / Employee Listing (LinkedIn), PAN Master Data</t>
  </si>
  <si>
    <t xml:space="preserve">A genuine blue-collar or rural workforce simply has no online presence and little prior formal employment history.</t>
  </si>
  <si>
    <t xml:space="preserve">OPS-021 (fabricated-looking payroll register), OPS-037 (no employee listings against claimed headcount), BNK-009 (multiple salary credits to one account)</t>
  </si>
  <si>
    <t xml:space="preserve">Ghost employee fraud typology; ACFE occupational fraud framework</t>
  </si>
  <si>
    <t xml:space="preserve">OPS-024</t>
  </si>
  <si>
    <t xml:space="preserve">Statutory dues diversion</t>
  </si>
  <si>
    <t xml:space="preserve">Provident fund deducted from wages but not deposited with EPFO</t>
  </si>
  <si>
    <t xml:space="preserve">The accounts and payslips show PF deducted from employees, but the EPFO record shows no matching remittance, or a long gap between deduction and deposit. Withholding employee money is a criminal breach and a classic sign that the company has no real cash of its own.</t>
  </si>
  <si>
    <t xml:space="preserve">pf_deducted_amount_12m &gt; 0 AND (epfo_remitted_amount_12m / pf_deducted_amount_12m) &lt; 0.8 AND unpaid_statutory_dues_amount &gt; 500000 AND caro_statutory_dues_default_flag == true</t>
  </si>
  <si>
    <t xml:space="preserve">Less than 80% of deducted PF remitted; unpaid statutory dues above INR 5 lakh, or any arrear outstanding beyond 6 months</t>
  </si>
  <si>
    <t xml:space="preserve">pf_deducted_amount_12m, epfo_remitted_amount_12m, unpaid_statutory_dues_amount, statutory_dues_arrear_days, caro_statutory_dues_default_flag, employee_benefit_expense, esic_arrear_amount</t>
  </si>
  <si>
    <t xml:space="preserve">Timing differences explain most small gaps: March deductions are remitted in April, so compare on a payment-date basis or allow a one-month lag, and reconcile against the CARO annexure disclosure of undisputed statutory dues outstanding for more than six months, which is the auditor's own statement of the same fact. Genuine financial distress, not fraud, is the leading cause of real PF default — a struggling manufacturer with a cash crunch will show exactly this pattern, so read it alongside solvency: a distressed firm has falling turnover, bounced cheques and overdue creditors, while a shell has healthy reported profits and still does not pay. That contrast is the whole discriminating power of the rule. Suppress where an EPFO instalment or settlement order is on record. Tighten when PF is deducted from a payroll whose employees cannot otherwise be traced, since the deduction then funds nothing at all, and when directors continue to draw remuneration in the same period.</t>
  </si>
  <si>
    <t xml:space="preserve">EPFO ECR Filing, CARO Annexure, Payroll Register</t>
  </si>
  <si>
    <t xml:space="preserve">AOC-4 / AOC-4 XBRL Financial Statements, Tax Audit Report (Form 3CD), Auditor Report</t>
  </si>
  <si>
    <t xml:space="preserve">A cash-strapped but genuine business fell behind on PF remittance during a downturn and is paying it in instalments.</t>
  </si>
  <si>
    <t xml:space="preserve">CMP-017 (CARO reports statutory dues outstanding over six months), BNK-032 (cheque returns for insufficient funds), OPS-023 (untraceable employees)</t>
  </si>
  <si>
    <t xml:space="preserve">EPF &amp; MP Act 1952 s.14B and s.406 IPC; CARO 2020 clause 3(vii)</t>
  </si>
  <si>
    <t xml:space="preserve">OPS-025</t>
  </si>
  <si>
    <t xml:space="preserve">Establishment licence</t>
  </si>
  <si>
    <t xml:space="preserve">No Shops and Establishment registration or municipal trade licence</t>
  </si>
  <si>
    <t xml:space="preserve">Any commercial establishment must register under the state Shops and Establishments Act and, for many trades, hold a municipal trade licence. A company running a shop, office or godown with neither has never engaged with the local authority that would have seen it.</t>
  </si>
  <si>
    <t xml:space="preserve">shops_establishment_licence_present == false AND trade_licence_present == false AND revenue_from_operations &gt; 20000000 AND entity_age_years &gt;= 2 AND premises_type != 'none'</t>
  </si>
  <si>
    <t xml:space="preserve">Neither state establishment registration nor municipal trade licence; turnover above INR 2 crore; entity age 2 years or more</t>
  </si>
  <si>
    <t xml:space="preserve">shops_establishment_licence_present, trade_licence_present, licence_validity_status, revenue_from_operations, entity_age_years, premises_type, registered_office_state, declared_activity_class</t>
  </si>
  <si>
    <t xml:space="preserve">Coverage differs by state and by establishment type: factories registered under the Factories Act are outside the Shops Act, many states exempt establishments below a headcount threshold or have moved to self-certification with no verifiable public record, and several have dropped renewals entirely so an old registration shows as lapsed although it remains valid. Treat unavailable registers as unknown, not as a hit, and do not run the rule in states with no queryable database. Suppress for remote-first companies with no establishment, for holding companies, and for entities whose only premises is a registered office at a professional's or promoter's address. This is a weak flag alone — the value is cumulative with PF, ESIC and PT absence, which together say the entity has never touched any labour or local authority despite material turnover. Tighten where the declared activity legally cannot operate without the licence, such as an eating house, a hotel, a clinic or a shop dealing in regulated goods.</t>
  </si>
  <si>
    <t xml:space="preserve">Shops &amp; Establishment Licence, Property Tax Record, MCA Company Master Data</t>
  </si>
  <si>
    <t xml:space="preserve">GST Registration Certificate (REG-06), Site Visit Report, Professional Tax Record</t>
  </si>
  <si>
    <t xml:space="preserve">The state has moved to self-certification or exempts small establishments, so no verifiable licence record exists.</t>
  </si>
  <si>
    <t xml:space="preserve">OPS-012 (no commercial occupancy in municipal records), OPS-020 (no professional tax record), OPS-026 (sector licence absent)</t>
  </si>
  <si>
    <t xml:space="preserve">State Shops and Establishments Acts; municipal trade licence rules</t>
  </si>
  <si>
    <t xml:space="preserve">OPS-026</t>
  </si>
  <si>
    <t xml:space="preserve">Sector licensing</t>
  </si>
  <si>
    <t xml:space="preserve">Sector licence absent for a regulated activity such as drugs, food or pollution consent</t>
  </si>
  <si>
    <t xml:space="preserve">The company invoices goods or services that cannot lawfully be made or sold without a specific licence — a drug licence, an FSSAI food licence, a pollution control board consent, a BIS certification or an arms or explosives permit — and no such licence exists. Regulated goods invoiced without a licence are almost always goods that never moved.</t>
  </si>
  <si>
    <t xml:space="preserve">regulated_activity_flag == true AND required_sector_licence_present == false AND regulated_goods_invoice_value_12m &gt; 5000000 AND entity_age_years &gt;= 1</t>
  </si>
  <si>
    <t xml:space="preserve">No valid licence for the regulated HSN or activity; regulated turnover above INR 50 lakh in 12 months</t>
  </si>
  <si>
    <t xml:space="preserve">regulated_activity_flag, required_sector_licence_present, licence_number, licence_validity_status, regulated_goods_hsn_codes, regulated_goods_invoice_value_12m, declared_activity_class, entity_age_years</t>
  </si>
  <si>
    <t xml:space="preserve">Map the requirement precisely from the HSN or SAC codes actually invoiced rather than from the MOA object clause, which is always drafted expansively and proves nothing. Several licences attach to the premises or to a person rather than the seller — a trader dealing in packaged food may be covered by a registration rather than a full FSSAI licence, consent to operate from the pollution board applies only to specified categories and capacities, and a distributor may lawfully sell under the manufacturer's licence chain in some regimes — so encode the actual regulatory trigger, not a blanket rule. Suppress where the licence sits with a job worker, principal or loan licensee arrangement that is documented. Registers are fragmented across states, so verify against the specific state authority before firing. Tighten to Critical and escalate when the entity invoices high-value regulated goods, holds no licence at all, and shows no matching e-way bills or purchase trail — that is the signature of pharma and food fake-invoicing rings, and unlike most rules here it points at an offence beyond the shell itself.</t>
  </si>
  <si>
    <t xml:space="preserve">GSTR-1, GST Registration Certificate (REG-06), MCA Company Master Data</t>
  </si>
  <si>
    <t xml:space="preserve">Litigation Database, Adverse Media / News Archive, Site Visit Report</t>
  </si>
  <si>
    <t xml:space="preserve">The entity trades under a principal's or job worker's licence, or its goods fall below the threshold requiring a full licence.</t>
  </si>
  <si>
    <t xml:space="preserve">TAX-005 (invoices with no corresponding purchases), OPS-013 (no power for claimed manufacturing), OPS-027 (no plant and machinery)</t>
  </si>
  <si>
    <t xml:space="preserve">Drugs and Cosmetics Act 1940; FSS Act 2006; Water and Air Acts consent to operate</t>
  </si>
  <si>
    <t xml:space="preserve">OPS-027</t>
  </si>
  <si>
    <t xml:space="preserve">Productive assets</t>
  </si>
  <si>
    <t xml:space="preserve">No plant and machinery on the balance sheet for a declared manufacturing activity</t>
  </si>
  <si>
    <t xml:space="preserve">The company describes itself as a manufacturer and reports manufacturing turnover, yet its fixed asset schedule holds no plant, machinery or factory building, and it pays no job-work charges either. Nothing was made because there is nothing to make it with.</t>
  </si>
  <si>
    <t xml:space="preserve">declared_activity_class == 'manufacturing' AND (plant_and_machinery_gross_block / revenue_from_operations) &lt; 0.02 AND job_work_expense / revenue_from_operations &lt; 0.02 AND revenue_from_operations &gt; 50000000 AND leased_machinery_expense == 0</t>
  </si>
  <si>
    <t xml:space="preserve">Gross plant and machinery below 2% of turnover, with job work and machinery hire also below 2%; turnover floor INR 5 crore</t>
  </si>
  <si>
    <t xml:space="preserve">Current FY, with 3 FY gross block trend</t>
  </si>
  <si>
    <t xml:space="preserve">declared_activity_class, plant_and_machinery_gross_block, revenue_from_operations, job_work_expense, leased_machinery_expense, depreciation_expense, power_and_fuel_expense, nic_code</t>
  </si>
  <si>
    <t xml:space="preserve">The three legitimate escapes must all be tested before this fires, because each is a real and common business model: outsourced or contract manufacturing where a brand owner books manufacturing turnover but a third party owns the plant (visible as job_work_expense or purchases of finished goods), leased or hired machinery including operating leases that never enter the gross block, and use of a group company's or parent's plant under a documented arrangement. Assembly, packaging, printing, garment finishing and software-defined production are genuinely low-capital, so set the asset intensity threshold per 4-digit NIC rather than globally — a 2% floor is right for heavy engineering and far too high for cut-make-trim garment work. Suppress for traders misclassified as manufacturers in NIC coding, which is common, and verify the classification against the actual GSTR-1 HSN mix before relying on it. Tighten when power and fuel expense is also near zero and depreciation is nil, since a manufacturer with no assets, no job work, no power and no depreciation is not manufacturing by any route.</t>
  </si>
  <si>
    <t xml:space="preserve">AOC-4 / AOC-4 XBRL Financial Statements, Tax Audit Report (Form 3CD), CARO Annexure</t>
  </si>
  <si>
    <t xml:space="preserve">Electricity / Utility Bill, Insurance Policy Record, GSTR-1</t>
  </si>
  <si>
    <t xml:space="preserve">The company is an asset-light brand owner whose entire production is done by contract manufacturers on their own plant.</t>
  </si>
  <si>
    <t xml:space="preserve">OPS-013 (no electricity against claimed production), OPS-026 (no sector licence), FIN-009 (depreciation absent despite claimed assets)</t>
  </si>
  <si>
    <t xml:space="preserve">CARO 2020 clause 3(i); Schedule III Companies Act 2013; CBIC fake invoicing SOP</t>
  </si>
  <si>
    <t xml:space="preserve">OPS-028</t>
  </si>
  <si>
    <t xml:space="preserve">Transport capability</t>
  </si>
  <si>
    <t xml:space="preserve">No owned vehicles or transport contracts for a declared logistics business</t>
  </si>
  <si>
    <t xml:space="preserve">The company reports freight or transport revenue but owns no vehicles, pays no lorry hire and has no transporter agreements or GST transporter ID. Freight income without any means of carriage is usually a billing service, not a moving one.</t>
  </si>
  <si>
    <t xml:space="preserve">declared_activity_class == 'logistics_transport' AND vehicle_count_owned == 0 AND (freight_and_vehicle_hire_expense / revenue_from_operations) &lt; 0.3 AND revenue_from_operations &gt; 20000000 AND transporter_gstin_or_id_present == false</t>
  </si>
  <si>
    <t xml:space="preserve">Zero owned vehicles, hire and freight cost below 30% of transport revenue, no transporter ID; turnover floor INR 2 crore</t>
  </si>
  <si>
    <t xml:space="preserve">declared_activity_class, vehicle_count_owned, freight_and_vehicle_hire_expense, revenue_from_operations, transporter_gstin_or_id_present, eway_bill_transporter_records, vehicle_gross_block, subcontracted_transport_expense</t>
  </si>
  <si>
    <t xml:space="preserve">Asset-light logistics is the dominant modern model and must not be treated as suspicious by itself: freight brokers, aggregators, digital load boards, 3PL and 4PL coordinators, freight forwarders, CHAs and NVOCC operators legitimately own not a single truck and are entirely genuine — for them the tell is not vehicle ownership but the absence of any bought-in carriage, so the freight and subcontract expense leg carries almost all the weight and the ownership leg should never fire alone. A real broker shows freight cost typically 70 to 90% of freight revenue; a paper transporter shows near-zero cost and impossible margins. Suppress when a transporter ID exists and e-way bills record this entity as the transporter for real consignments. Tighten when e-way bills issued by or naming this entity carry vehicle numbers that are two-wheelers, non-existent registrations, or vehicles simultaneously recorded elsewhere, which is direct evidence of fabricated movement rather than merely thin assets.</t>
  </si>
  <si>
    <t xml:space="preserve">Tax Audit Report (Form 3CD), Insurance Policy Record, Bank Statement</t>
  </si>
  <si>
    <t xml:space="preserve">The firm is a freight broker or forwarder that lawfully arranges carriage on hired vehicles and owns none.</t>
  </si>
  <si>
    <t xml:space="preserve">TAX-008 (e-way bills with invalid or impossible vehicle numbers), OPS-014 (no storage capacity), FIN-003 (margin far outside sector norm)</t>
  </si>
  <si>
    <t xml:space="preserve">CGST Rules r.138 e-way bill; FATF TBML typology</t>
  </si>
  <si>
    <t xml:space="preserve">OPS-029</t>
  </si>
  <si>
    <t xml:space="preserve">Risk transfer absence</t>
  </si>
  <si>
    <t xml:space="preserve">No insurance on stock, plant or liability despite material assets at risk</t>
  </si>
  <si>
    <t xml:space="preserve">The company reports significant inventory or fixed assets but pays no insurance premium and holds no policy. Anyone with real goods or a real factory insures them, not least because lenders demand it, so the absence suggests there is nothing to lose.</t>
  </si>
  <si>
    <t xml:space="preserve">insurance_premium_expense == 0 AND (closing_inventory_value + plant_and_machinery_gross_block) &gt; 20000000 AND insurance_policy_count == 0 AND secured_borrowings_amount &gt; 0</t>
  </si>
  <si>
    <t xml:space="preserve">Zero insurance premium and no policy on record with insurable assets above INR 2 crore; strengthened when secured borrowings exist</t>
  </si>
  <si>
    <t xml:space="preserve">insurance_premium_expense, insurance_policy_count, closing_inventory_value, plant_and_machinery_gross_block, secured_borrowings_amount, declared_activity_class, group_master_policy_flag, revenue_from_operations</t>
  </si>
  <si>
    <t xml:space="preserve">Two structural explanations must be excluded first. Group master policies are extremely common — a parent insures the whole group and either recharges the cost or absorbs it, so the subsidiary shows no premium while being fully covered; check group_master_policy_flag and the parent's schedules before flagging. Second, insurance may sit with the counterparty by contract: goods on consignment, in a 3PL warehouse, in transit under CIF terms, or plant under an operating lease are typically insured by the owner or the operator, not by this entity. Suppress for service, IT, holding and investment entities and for firms with negligible physical assets, where the absence is simply correct. The strongest version pairs with lending: banks and NBFCs make hypothecation insurance a sanction condition, so a firm with a charge registered on stock and plant that carries no policy is either lying to its lender or has no stock at all — read this together with the CHG index and the stock statements filed with the bank. Tighten for warehousing, cold chain and manufacturing.</t>
  </si>
  <si>
    <t xml:space="preserve">Insurance Policy Record, AOC-4 / AOC-4 XBRL Financial Statements, CHG-1 / CHG-4 / CHG-9 Index of Charges</t>
  </si>
  <si>
    <t xml:space="preserve">Tax Audit Report (Form 3CD), Loan Sanction / Facility Letter, CARO Annexure</t>
  </si>
  <si>
    <t xml:space="preserve">The entity is covered under a group master policy taken by its parent, so it records no premium of its own.</t>
  </si>
  <si>
    <t xml:space="preserve">OPS-014 (no storage capacity for the stock), FIN-007 (inventory turnover impossible), BNK-028 (stock statements to bank inconsistent with books)</t>
  </si>
  <si>
    <t xml:space="preserve">CARO 2020 clause 3(ii); RBI norms on hypothecated stock insurance</t>
  </si>
  <si>
    <t xml:space="preserve">OPS-030</t>
  </si>
  <si>
    <t xml:space="preserve">Technology footprint</t>
  </si>
  <si>
    <t xml:space="preserve">No software, cloud or IT spend for a declared technology business</t>
  </si>
  <si>
    <t xml:space="preserve">The company says it builds or sells software or IT services, but has no software licences, no cloud or hosting cost, no computer hardware and no technical payroll. A technology firm with no technology spend is selling invoices, not code.</t>
  </si>
  <si>
    <t xml:space="preserve">declared_activity_class IN ('software_it_services','ites_bpo','digital_platform') AND (it_and_software_expense + cloud_hosting_expense + computer_hardware_gross_block) / revenue_from_operations &lt; 0.02 AND (employee_benefit_expense / revenue_from_operations) &lt; 0.15 AND revenue_from_operations &gt; 50000000</t>
  </si>
  <si>
    <t xml:space="preserve">Combined IT, cloud and hardware spend below 2% of turnover and employee cost below 15% of turnover; turnover floor INR 5 crore</t>
  </si>
  <si>
    <t xml:space="preserve">declared_activity_class, it_and_software_expense, cloud_hosting_expense, computer_hardware_gross_block, employee_benefit_expense, revenue_from_operations, subcontracting_expense, domain_registration_present</t>
  </si>
  <si>
    <t xml:space="preserve">A genuine IT services firm's cost base is people, not infrastructure, so the payroll leg is essential — a body-shopping or staff-augmentation company can legitimately spend almost nothing on software while spending 60 to 70% of revenue on salaries, and must be suppressed. Equally, offshore development centres working on a client's own environment and licences carry no tooling cost of their own, hardware may be leased or employee-owned under BYOD policies, and cloud costs may be billed directly to the client or borne by the parent — check subcontracting_expense and group recharges before concluding. Suppress for IT trading and hardware reselling entities miscoded as services. The rule bites only when neither people nor tools nor subcontractors account for the revenue, which means the revenue has no production function at all. Tighten when the entity also has no domain, no code repositories, no client contracts and claims software exports under LUT, since software export invoicing without any development capability is a common round-tripping and remittance route.</t>
  </si>
  <si>
    <t xml:space="preserve">AOC-4 / AOC-4 XBRL Financial Statements, Tax Audit Report (Form 3CD), Company Website Content</t>
  </si>
  <si>
    <t xml:space="preserve">GSTR-3B, Website WHOIS / Domain Record, EPFO ECR Filing</t>
  </si>
  <si>
    <t xml:space="preserve">A staff-augmentation IT firm works entirely on client-provided systems and licences, so it carries no tooling cost.</t>
  </si>
  <si>
    <t xml:space="preserve">OPS-031 (no website or a website created after the first big invoice), OPS-037 (no employees listed against claimed headcount), BNK-021 (software export receipts with no development footprint)</t>
  </si>
  <si>
    <t xml:space="preserve">FEMA software export scrutiny; FIU-IND shell company red flags</t>
  </si>
  <si>
    <t xml:space="preserve">OPS-031</t>
  </si>
  <si>
    <t xml:space="preserve">Digital existence</t>
  </si>
  <si>
    <t xml:space="preserve">No website, or domain registered after the first large invoice was raised</t>
  </si>
  <si>
    <t xml:space="preserve">The company has no web presence at all, or its domain was created only after it had already billed crores (WHOIS records the exact date a domain was first registered). A business that invoiced before it existed online was usually built around the invoice.</t>
  </si>
  <si>
    <t xml:space="preserve">(domain_registration_present == false OR domain_creation_date &gt; first_large_invoice_date) AND revenue_from_operations &gt; 100000000 AND entity_age_years &gt;= 2 AND declared_activity_class NOT IN ('holding_investment')</t>
  </si>
  <si>
    <t xml:space="preserve">No domain, or domain created after the first invoice above INR 50 lakh; turnover floor INR 10 crore; entity age 2 years or more</t>
  </si>
  <si>
    <t xml:space="preserve">domain_registration_present, domain_creation_date, first_large_invoice_date, revenue_from_operations, entity_age_years, declared_activity_class, domain_privacy_protected_flag, website_live_status</t>
  </si>
  <si>
    <t xml:space="preserve">Whole legitimate sectors have no need for a website: B2B contract manufacturers, job workers, commodity traders, sub-contractors on a single client, SPVs, holding and investment vehicles, and family firms that have traded on relationships for decades — so suppress on activity class rather than assuming that every real company markets itself online. Also note that many small firms operate entirely through a marketplace listing, a social page or WhatsApp Business instead of a domain; check those before recording absence. The timing leg is the sharper one and largely immune to these objections: a company that raised its first eight-figure invoice before it registered a domain, or that built a site only after a tender was announced, has an origin story worth reading. WHOIS privacy masks the registrant but not the creation date, so privacy protection alone means nothing. Suppress for the first year. Tighten when the domain was created within days of incorporation of several sibling entities on the same registrar and nameserver, which points to a fabricated group identity.</t>
  </si>
  <si>
    <t xml:space="preserve">Website WHOIS / Domain Record, GSTR-1, MCA Company Master Data</t>
  </si>
  <si>
    <t xml:space="preserve">Company Website Content, Email Header / MX Record, Adverse Media / News Archive</t>
  </si>
  <si>
    <t xml:space="preserve">A long-standing B2B supplier sells to a handful of known buyers and has genuinely never needed a website.</t>
  </si>
  <si>
    <t xml:space="preserve">OPS-039 (incorporated just before winning a tender), OPS-034 (free webmail for a large-turnover entity), TAX-005 (large invoices with no matching purchases)</t>
  </si>
  <si>
    <t xml:space="preserve">FIU-IND shell company red flags; FATF TBML typology</t>
  </si>
  <si>
    <t xml:space="preserve">OPS-032</t>
  </si>
  <si>
    <t xml:space="preserve">Fabricated identity</t>
  </si>
  <si>
    <t xml:space="preserve">Website content copied from another site or built entirely from stock imagery</t>
  </si>
  <si>
    <t xml:space="preserve">The company's website text is lifted from a competitor or a template, its team and facility photographs are stock images, and its client logos are unverifiable. A copied shopfront means nobody ever described a real business because there was none to describe.</t>
  </si>
  <si>
    <t xml:space="preserve">website_live_status == true AND (content_similarity_to_other_site &gt; 0.7 OR stock_image_share &gt; 0.8 OR reverse_image_match_count &gt;= 3) AND (contact_page_address_mismatch == true OR listed_client_verification_rate &lt; 0.3)</t>
  </si>
  <si>
    <t xml:space="preserve">Text similarity above 0.7 with another site, or over 80% stock images, or 3 or more reverse-image matches, plus a contact or client inconsistency</t>
  </si>
  <si>
    <t xml:space="preserve">website_live_status, content_similarity_to_other_site, stock_image_share, reverse_image_match_count, contact_page_address_mismatch, listed_client_verification_rate, website_page_count, domain_creation_date</t>
  </si>
  <si>
    <t xml:space="preserve">Template reuse is not fraud. Small firms buy the same WordPress themes, agencies recycle boilerplate across clients, and stock photography on an About page is ordinary marketing practice, so none of the individual signals means anything alone and the rule must require a substantive inconsistency as a second leg — a contact address that differs from every filed address, named clients that cannot be verified, or a copied site belonging to a firm in a different country. Franchisees and authorised dealers legitimately publish the principal's content verbatim, so suppress where a franchise or distribution agreement exists. Similarity scoring must ignore navigation, legal boilerplate and privacy policies, which are near-identical everywhere. Tighten when the copied source is a genuine foreign company whose identity is being borrowed, when several sibling entities share one template with only the name changed, and when the site claims certifications, awards or plant photographs that belong to someone else. Because this needs a human to look at the page, treat the output as an analyst finding, not an automated score.</t>
  </si>
  <si>
    <t xml:space="preserve">Company Website Content, Website WHOIS / Domain Record</t>
  </si>
  <si>
    <t xml:space="preserve">Adverse Media / News Archive, Social Media / Employee Listing (LinkedIn), Google Maps / Street Imagery</t>
  </si>
  <si>
    <t xml:space="preserve">A small business used a bought template with stock photographs because it could not afford custom design or a photoshoot.</t>
  </si>
  <si>
    <t xml:space="preserve">OPS-031 (domain created after the first large invoice), OPS-035 (no trademark for a claimed brand), OPS-037 (no employees findable online)</t>
  </si>
  <si>
    <t xml:space="preserve">FIU-IND shell company red flags; corporate identity fraud typology</t>
  </si>
  <si>
    <t xml:space="preserve">OPS-033</t>
  </si>
  <si>
    <t xml:space="preserve">Contactability</t>
  </si>
  <si>
    <t xml:space="preserve">No listed landline or a contact number that is VoIP or virtual only</t>
  </si>
  <si>
    <t xml:space="preserve">The only contact number on record is a virtual, VoIP or call-forwarding line, or no working number exists at all, and the number is not tied to the registered premises. A number that can be switched off from anywhere is the communication equivalent of a mailbox address.</t>
  </si>
  <si>
    <t xml:space="preserve">(landline_present == false AND voip_or_virtual_number_flag == true) AND phone_number_reachable == false AND revenue_from_operations &gt; 50000000 AND phone_number_shared_with_other_entities &gt;= 2</t>
  </si>
  <si>
    <t xml:space="preserve">No landline plus a virtual or VoIP number that is unreachable; turnover floor INR 5 crore; number shared with 2 or more other entities</t>
  </si>
  <si>
    <t xml:space="preserve">landline_present, voip_or_virtual_number_flag, phone_number_reachable, phone_number_shared_with_other_entities, phone_registered_address_match, revenue_from_operations, contact_number_change_count_24m, number_registration_holder_name</t>
  </si>
  <si>
    <t xml:space="preserve">Landlines are obsolete for most Indian small businesses, and cloud telephony from providers such as Exotel, Knowlarity or MyOperator is standard for genuine customer-facing companies, so a VoIP number is normal and the absence of a landline proves nothing whatever — on its own this rule is close to worthless and is rated Low for that reason. The only informative legs are reachability and sharing: a number that never connects during business hours across repeated attempts, and one number serving as the contact for several unrelated entities, which is how one operator fronts a cluster. Suppress for remote-first firms, e-commerce sellers, and any entity where a mobile number is registered in a director's name, which is normal for owner-managed businesses. Tighten when the same number appears in GST registrations, bank KYC files and tender bids of multiple entities, since that turns a telephony preference into a shared-control graph edge. Verify the number against GST and bank KYC records rather than the website, which anyone can edit.</t>
  </si>
  <si>
    <t xml:space="preserve">Telephone Directory / Telecom Record, GST Registration Certificate (REG-06), Company Website Content</t>
  </si>
  <si>
    <t xml:space="preserve">Bank Account Opening / KYC File, MCA Company Master Data, Derived — cross-entity graph</t>
  </si>
  <si>
    <t xml:space="preserve">The business runs entirely on mobile and cloud telephony, as most small Indian firms now do.</t>
  </si>
  <si>
    <t xml:space="preserve">OPS-002 (virtual office address), OWN-016 (shared contact details across a cluster), OPS-034 (free webmail contact address)</t>
  </si>
  <si>
    <t xml:space="preserve">FIU-IND shell company red flags; CGST Rules r.9 verification</t>
  </si>
  <si>
    <t xml:space="preserve">OPS-034</t>
  </si>
  <si>
    <t xml:space="preserve">Corporate email</t>
  </si>
  <si>
    <t xml:space="preserve">Business correspondence on free webmail despite large turnover</t>
  </si>
  <si>
    <t xml:space="preserve">The email address used for statutory filings, GST registration and bank KYC is a free consumer webmail account rather than a company domain, even though the company reports substantial turnover. A firm large enough to invoice crores but not to buy a mailbox is usually not being run as a business.</t>
  </si>
  <si>
    <t xml:space="preserve">primary_email_domain_type == 'free_webmail' AND revenue_from_operations &gt; 100000000 AND entity_age_years &gt;= 3 AND (domain_registration_present == false OR mx_record_present == false)</t>
  </si>
  <si>
    <t xml:space="preserve">Free webmail as the primary filing and KYC email; turnover floor INR 10 crore; entity age 3 years or more; no corporate MX record</t>
  </si>
  <si>
    <t xml:space="preserve">primary_email_domain_type, mx_record_present, domain_registration_present, revenue_from_operations, entity_age_years, email_shared_with_other_entities, email_domain_creation_date, director_personal_email_match</t>
  </si>
  <si>
    <t xml:space="preserve">Free webmail is the norm for small and medium Indian firms and for proprietorships, and remains common even at moderate turnover in trading, transport and agri businesses, so the turnover floor and the age gate do all the work here — set the floor by sector rather than globally, because a INR 10 crore commodity trader is a two-person operation while a INR 10 crore services firm is not. Suppress for proprietorships, first-time filers and entities under three years old. Also check that the free address is not merely a secondary contact while a corporate domain handles real correspondence; use the MX record to establish whether a working corporate mailbox exists at all. The far stronger derived signal is sharing: one webmail address serving as the registered email for several unrelated companies, or an address matching a director's personal mail used across a cluster, converts this from a hygiene observation into a common-control edge worth a graph query. Tighten when the same email appears in the GST registration, bank KYC and MCA record of multiple entities.</t>
  </si>
  <si>
    <t xml:space="preserve">MCA Company Master Data, Email Header / MX Record, GST Registration Certificate (REG-06)</t>
  </si>
  <si>
    <t xml:space="preserve">Bank Account Opening / KYC File, Website WHOIS / Domain Record, DIR-3 KYC</t>
  </si>
  <si>
    <t xml:space="preserve">A traditional family trading firm has always used a Gmail address and never saw a reason to change.</t>
  </si>
  <si>
    <t xml:space="preserve">OWN-016 (contact details shared across entities), OPS-031 (no website), OPS-033 (unreachable or shared phone number)</t>
  </si>
  <si>
    <t xml:space="preserve">FIU-IND shell company red flags; RBI KYC master direction</t>
  </si>
  <si>
    <t xml:space="preserve">OPS-035</t>
  </si>
  <si>
    <t xml:space="preserve">Intangible footprint</t>
  </si>
  <si>
    <t xml:space="preserve">No trademark, patent or design registration for a claimed brand business</t>
  </si>
  <si>
    <t xml:space="preserve">The company says it owns brands or proprietary products, and may even carry brand value or intangibles on its balance sheet, but the IP registry shows no filing in its name. Real brand owners register their marks because unregistered ones cannot be defended.</t>
  </si>
  <si>
    <t xml:space="preserve">brand_or_ip_claimed == true AND trademark_registration_count == 0 AND patent_or_design_count == 0 AND (intangible_assets_gross_block &gt; 5000000 OR advertising_expense &gt; 10000000) AND entity_age_years &gt;= 3</t>
  </si>
  <si>
    <t xml:space="preserve">Zero trademark, patent or design filings with intangibles above INR 50 lakh or advertising above INR 1 crore; entity age 3 years or more</t>
  </si>
  <si>
    <t xml:space="preserve">brand_or_ip_claimed, trademark_registration_count, patent_or_design_count, intangible_assets_gross_block, advertising_expense, entity_age_years, licensed_brand_agreement_flag, related_party_royalty_expense</t>
  </si>
  <si>
    <t xml:space="preserve">The commonest legitimate structure defeats the naive rule entirely: in Indian groups the trademark is very often held by a promoter individually, by a family trust or by a separate IP holding company, and licensed to the operating entity — so search the registry by promoter and group name, not only by the company name, and suppress when licensed_brand_agreement_flag or a royalty payment shows a licence in place. Distributors, resellers, franchisees, contract manufacturers and white-label suppliers legitimately own no IP at all and should be excluded on activity class. Registration also takes years, so a pending application counts as presence, and unregistered common-law marks are lawful. Suppress for B2B firms with no consumer brand. The rule earns its keep in one specific situation: a company capitalising brand or goodwill on its balance sheet, or paying heavy royalty to a related party, for IP that exists in no registry anywhere — that is a valuation and round-tripping question, not a marketing one. Tighten there and treat the intangible as unsupported.</t>
  </si>
  <si>
    <t xml:space="preserve">Trademark / IP Registry, AOC-4 / AOC-4 XBRL Financial Statements, Company Website Content</t>
  </si>
  <si>
    <t xml:space="preserve">AOC-2 Related Party Annexure, Board Report, Adverse Media / News Archive</t>
  </si>
  <si>
    <t xml:space="preserve">The promoter or a group IP company owns the trademark and licenses it to the operating entity.</t>
  </si>
  <si>
    <t xml:space="preserve">OWN-024 (intangibles acquired from a related party at inflated value), OPS-032 (website content copied), FIN-012 (unsupported intangible asset capitalisation)</t>
  </si>
  <si>
    <t xml:space="preserve">Trade Marks Act 1999; Ind AS 38 intangible recognition</t>
  </si>
  <si>
    <t xml:space="preserve">OPS-036</t>
  </si>
  <si>
    <t xml:space="preserve">Market presence</t>
  </si>
  <si>
    <t xml:space="preserve">No presence on trade, procurement or industry portals despite claimed market activity</t>
  </si>
  <si>
    <t xml:space="preserve">The company appears in no procurement portal, no industry association list, no trade directory and no exhibitor record, although it claims to sell into markets where such listings are routine. A business with customers usually leaves marketing traces somewhere.</t>
  </si>
  <si>
    <t xml:space="preserve">tender_portal_registration_present == false AND industry_association_membership == false AND trade_directory_listing_count == 0 AND revenue_from_operations &gt; 100000000 AND government_contract_revenue_share &gt; 0.3</t>
  </si>
  <si>
    <t xml:space="preserve">Zero listings across procurement portals, associations and directories; turnover floor INR 10 crore; government revenue share above 30%</t>
  </si>
  <si>
    <t xml:space="preserve">tender_portal_registration_present, industry_association_membership, trade_directory_listing_count, government_contract_revenue_share, revenue_from_operations, export_revenue_share, customer_count, declared_activity_class</t>
  </si>
  <si>
    <t xml:space="preserve">Absence of listings is normal for most private companies and this rule should never fire on general commercial businesses — job workers, single-client suppliers, sub-contractors, family trading firms and B2B component makers have no reason to appear anywhere public. The rule is scoped deliberately narrow by the government-revenue leg: an entity claiming substantial public-sector sales must be registered on GeM, CPPP or a state procurement portal, because it cannot legally be paid otherwise, so its absence there is an internal contradiction rather than a marketing preference. The same logic can be extended to exporters, who should appear in DGFT IEC data and shipping records. Suppress entirely when government and export revenue are both immaterial. Directory data is commercially scraped and patchy, so weight portal registration far above directory listings. Tighten when the entity claims a specific awarded contract that does not appear in the awarding body's published award data, which is checkable and decisive.</t>
  </si>
  <si>
    <t xml:space="preserve">Tender / Procurement Portal, AOC-4 / AOC-4 XBRL Financial Statements, Company Website Content</t>
  </si>
  <si>
    <t xml:space="preserve">DGFT IEC Data, Adverse Media / News Archive, Udyam / MSME Registration</t>
  </si>
  <si>
    <t xml:space="preserve">A purely private B2B supplier sells to a few known buyers and has never needed to list itself anywhere.</t>
  </si>
  <si>
    <t xml:space="preserve">OPS-039 (incorporated shortly before winning a tender), FIN-004 (single-customer revenue concentration), OPS-031 (no website)</t>
  </si>
  <si>
    <t xml:space="preserve">GeM and CPPP registration requirements; public procurement typology</t>
  </si>
  <si>
    <t xml:space="preserve">OPS-037</t>
  </si>
  <si>
    <t xml:space="preserve">Workforce visibility</t>
  </si>
  <si>
    <t xml:space="preserve">Almost no employee profiles online against a large claimed white-collar headcount</t>
  </si>
  <si>
    <t xml:space="preserve">The company claims hundreds of professional staff, but only a handful of people anywhere list it as their employer. In white-collar sectors where nearly everyone maintains a professional profile, a workforce that is invisible is usually a workforce that is not there.</t>
  </si>
  <si>
    <t xml:space="preserve">declared_employee_count &gt;= 100 AND (linkedin_employee_profile_count / declared_employee_count) &lt; 0.1 AND declared_activity_class IN ('software_it_services','ites_bpo','consulting','financial_services') AND entity_age_years &gt;= 3</t>
  </si>
  <si>
    <t xml:space="preserve">Fewer than 10% of the claimed headcount findable as employee profiles; minimum claimed headcount 100; white-collar sectors only</t>
  </si>
  <si>
    <t xml:space="preserve">declared_employee_count, linkedin_employee_profile_count, epfo_member_count_mean_12m, declared_activity_class, entity_age_years, company_page_present, employee_profile_creation_date_clustering, revenue_from_operations</t>
  </si>
  <si>
    <t xml:space="preserve">Restrict this hard to white-collar urban sectors where profile-keeping is near universal, and never apply it to manufacturing, construction, logistics, retail, security, facility management or agriculture, where most of a genuine workforce has no professional profile at all and the rule would simply detect blue-collar employment. Also account for name variation: staff may list a group brand, a parent company, a trade name or a former name rather than the registered entity, so search all known aliases before counting, and remember that platform coverage is weaker outside the metros and skews young. Prefer EPFO member count as the ground truth for headcount and use the online count only as a cross-check on the company's claimed number in tenders, credit applications and pitch decks. Suppress for entities under three years old and for those in stealth. Tighten when the few existing profiles were all created within days of each other, when the profiles list no prior or subsequent employers, or when the same faces appear across several sibling entities.</t>
  </si>
  <si>
    <t xml:space="preserve">Social Media / Employee Listing (LinkedIn), EPFO ECR Filing, AOC-4 / AOC-4 XBRL Financial Statements</t>
  </si>
  <si>
    <t xml:space="preserve">Payroll Register, Company Website Content, Tender / Procurement Portal</t>
  </si>
  <si>
    <t xml:space="preserve">The workforce is blue-collar or non-metro and simply does not maintain professional profiles online.</t>
  </si>
  <si>
    <t xml:space="preserve">OPS-017 (token EPFO member count), OPS-023 (employees with no independent footprint), OPS-030 (no IT spend for a technology business)</t>
  </si>
  <si>
    <t xml:space="preserve">Ghost workforce typology; FIU-IND shell company red flags</t>
  </si>
  <si>
    <t xml:space="preserve">OPS-038</t>
  </si>
  <si>
    <t xml:space="preserve">Self-declared size</t>
  </si>
  <si>
    <t xml:space="preserve">Udyam MSME size band contradicts turnover and investment in filings</t>
  </si>
  <si>
    <t xml:space="preserve">The Udyam registration (the self-declared MSME record) claims a micro or small size band while the audited accounts show turnover or plant investment far above the limit, or the reverse. The declaration is self-made and is used to win reserved tenders, cheaper credit and delayed-payment protection.</t>
  </si>
  <si>
    <t xml:space="preserve">udyam_registration_present == true AND ((udyam_declared_category == 'micro' AND (revenue_from_operations &gt; 50000000 OR plant_and_machinery_gross_block &gt; 10000000)) OR (udyam_declared_turnover / revenue_from_operations) &lt; 0.5) AND filing_year_gap_days &lt; 400</t>
  </si>
  <si>
    <t xml:space="preserve">Micro band declared against turnover above INR 5 crore or plant above INR 1 crore; or declared turnover under half the audited figure, for the same year</t>
  </si>
  <si>
    <t xml:space="preserve">udyam_registration_present, udyam_declared_category, udyam_declared_turnover, udyam_declared_investment, revenue_from_operations, plant_and_machinery_gross_block, filing_year_gap_days, msme_tender_benefit_claimed</t>
  </si>
  <si>
    <t xml:space="preserve">Compare like with like or this rule will be noise: Udyam classification uses turnover excluding exports and investment in plant and machinery as defined by the Act, both drawn from the previous year's ITR and GST data, so a mismatch against current-year audited revenue is expected in any growing firm and the comparison must be aligned to the same financial year and the same definitions. Udyam also updates automatically from filed returns with a lag, and a genuine business crossing a threshold retains its benefits for a transition period under the Act, so a company that recently outgrew its band is not misdeclaring. Exporters in particular will show a large gap for entirely lawful reasons — exclude export turnover before comparing. Suppress where the gap is under 20% or where the entity crossed the band within the last transition window. Tighten when the understated band was used to win a reserved procurement contract, to claim priority-sector or subsidised credit, or to invoke section 15 delayed-payment interest, since the declaration then produced a benefit and the misstatement has an obvious motive.</t>
  </si>
  <si>
    <t xml:space="preserve">Udyam / MSME Registration, AOC-4 / AOC-4 XBRL Financial Statements, GSTR-9 / 9C Annual Return</t>
  </si>
  <si>
    <t xml:space="preserve">Income Tax Return (ITR-5 / ITR-6), MSME-1 Return, Tender / Procurement Portal</t>
  </si>
  <si>
    <t xml:space="preserve">The company genuinely grew past its band and Udyam has not yet refreshed from the latest returns.</t>
  </si>
  <si>
    <t xml:space="preserve">OPS-036 (no procurement portal presence despite public contracts), CMP-041 (MSME-1 return inconsistencies), OPS-039 (incorporated just before a tender win)</t>
  </si>
  <si>
    <t xml:space="preserve">MSMED Act 2006 s.7 and s.15; Udyam registration notification 2020</t>
  </si>
  <si>
    <t xml:space="preserve">OPS-039</t>
  </si>
  <si>
    <t xml:space="preserve">Lifecycle timing</t>
  </si>
  <si>
    <t xml:space="preserve">Entity incorporated shortly before the tender or allotment it went on to win</t>
  </si>
  <si>
    <t xml:space="preserve">The company was formed only weeks or months before bidding for and winning a contract, tender, licence or land allotment, often with no track record of its own. Purpose-built entities are used to route a pre-decided award or to satisfy a bid condition on paper.</t>
  </si>
  <si>
    <t xml:space="preserve">days_between_incorporation_and_first_award &lt;= 180 AND first_award_value &gt; 10000000 AND (revenue_before_award == 0 OR prior_similar_contract_count == 0) AND paid_up_capital &lt; 0.1 * first_award_value</t>
  </si>
  <si>
    <t xml:space="preserve">Award within 180 days of incorporation; award value above INR 1 crore; no prior revenue or comparable experience; paid-up capital under 10% of the award</t>
  </si>
  <si>
    <t xml:space="preserve">3 FY from incorporation</t>
  </si>
  <si>
    <t xml:space="preserve">incorporation_date, first_award_date, days_between_incorporation_and_first_award, first_award_value, revenue_before_award, prior_similar_contract_count, paid_up_capital, promoter_related_bidder_count</t>
  </si>
  <si>
    <t xml:space="preserve">Incorporating an entity for a specific project is normal and often mandatory, so the rule must exclude the legitimate SPV world: concession, EPC, infrastructure, real estate and renewable projects are routinely bid through a project SPV, joint-venture vehicles are formed after a consortium is shortlisted, and many tenders require a dedicated entity as a condition of award. In all those cases the SPV leans on a parent's balance sheet and experience, so suppress when the promoter or a group entity has the qualifying track record and has furnished a guarantee or net-worth support. The genuinely suspicious version is the opposite: a thinly capitalised new company with no parent support, no experience and no staff that nevertheless clears technical qualification. Tighten sharply when other bidders in the same tender share directors, addresses, phone numbers or bank branches with the winner, which is bid rigging rather than merely a fresh entity, and when the entity goes dormant after the contract is completed and paid.</t>
  </si>
  <si>
    <t xml:space="preserve">Tender / Procurement Portal, MCA Company Master Data, SPICe+ / INC-32 Incorporation</t>
  </si>
  <si>
    <t xml:space="preserve">AOC-4 / AOC-4 XBRL Financial Statements, Adverse Media / News Archive, Derived — cross-entity graph</t>
  </si>
  <si>
    <t xml:space="preserve">The entity is a legitimate project SPV formed because the tender itself required a dedicated bidding vehicle.</t>
  </si>
  <si>
    <t xml:space="preserve">OWN-036 (shared directors across competing bidders), OPS-040 (activity confined to the contract window), BNK-019 (contract receipts immediately paid out to related parties)</t>
  </si>
  <si>
    <t xml:space="preserve">Public procurement fraud typology; CVC guidelines on bid rigging; PMLA</t>
  </si>
  <si>
    <t xml:space="preserve">OPS-040</t>
  </si>
  <si>
    <t xml:space="preserve">Burst lifecycle</t>
  </si>
  <si>
    <t xml:space="preserve">Turnover concentrated in a 6 to 18 month burst followed by dormancy</t>
  </si>
  <si>
    <t xml:space="preserve">Almost all of the company's lifetime turnover falls inside one short window, after which filings go nil and the entity stops trading. That is the shape of a conduit built for a purpose, used, and abandoned.</t>
  </si>
  <si>
    <t xml:space="preserve">lifetime_revenue_concentration_max_window &lt;= 18 AND revenue_in_peak_window / lifetime_revenue &gt; 0.85 AND months_since_last_taxable_supply &gt;= 12 AND lifetime_revenue &gt; 50000000 AND entity_status != 'Struck Off'</t>
  </si>
  <si>
    <t xml:space="preserve">Over 85% of lifetime turnover inside a window of 18 months or less, followed by 12 or more months of nil supplies; lifetime turnover above INR 5 crore</t>
  </si>
  <si>
    <t xml:space="preserve">Entity lifetime</t>
  </si>
  <si>
    <t xml:space="preserve">lifetime_revenue, revenue_in_peak_window, lifetime_revenue_concentration_max_window, months_since_last_taxable_supply, monthly_taxable_turnover_series, entity_status, gst_return_nil_months_count, entity_age_years</t>
  </si>
  <si>
    <t xml:space="preserve">Lumpy revenue is a legitimate and widespread pattern, so the discriminator is not the burst but the death that follows it. Project and EPC contractors, film and event production companies, seasonal agri and festival traders, export order houses, real estate SPVs selling out one building, and construction firms recognising revenue on completion all show one or two dominant periods — but they keep filing, keep some cost base, and eventually take another contract, so require a sustained silence of at least 12 months and check whether the company still has employees, bank activity or a live GST registration before concluding. A shell shows the burst plus complete inertness: nil returns, no payroll, no expenses, no new contracts. Suppress for entities under two years old, where any first contract will trivially dominate a short lifetime. Tighten when the burst coincides with a counterparty later found non-genuine, when the turnover is round-numbered, and when directors resign or the bank account is closed immediately after the window ends.</t>
  </si>
  <si>
    <t xml:space="preserve">GSTR-3B, GSTR-1, AOC-4 / AOC-4 XBRL Financial Statements</t>
  </si>
  <si>
    <t xml:space="preserve">Bank Statement, MGT-7 / MGT-7A Annual Return, Income Tax Return (ITR-5 / ITR-6)</t>
  </si>
  <si>
    <t xml:space="preserve">A project or event company completed one large contract and is genuinely waiting for the next one.</t>
  </si>
  <si>
    <t xml:space="preserve">OPS-042 (strike off applied for soon after the burst), BNK-004 (account emptied and closed after the window), TAX-011 (counterparties later found non-existent)</t>
  </si>
  <si>
    <t xml:space="preserve">CBIC fake invoicing SOP; FIU-IND shell company red flags; entity lifecycle analytics</t>
  </si>
  <si>
    <t xml:space="preserve">OPS-041</t>
  </si>
  <si>
    <t xml:space="preserve">Dormancy reactivation</t>
  </si>
  <si>
    <t xml:space="preserve">Three or more dormant years followed by a sudden large turnover surge</t>
  </si>
  <si>
    <t xml:space="preserve">A company that filed nil or negligible turnover for years suddenly reports very large revenue, with no matching growth in staff, assets or premises. Aged shells are bought and reactivated precisely because an old incorporation date looks respectable to banks and buyers.</t>
  </si>
  <si>
    <t xml:space="preserve">dormant_years_count &gt;= 3 AND revenue_from_operations &gt; 20 * prior_3fy_mean_revenue AND revenue_from_operations &gt; 50000000 AND (employee_count_epfo_growth &lt; 0.2 AND fixed_assets_growth &lt; 0.2) AND ownership_change_within_12m_of_surge == true</t>
  </si>
  <si>
    <t xml:space="preserve">3 or more near-nil years, then turnover above 20x the prior three-year mean and above INR 5 crore, with under 20% growth in staff and assets</t>
  </si>
  <si>
    <t xml:space="preserve">dormant_years_count, prior_3fy_mean_revenue, revenue_from_operations, employee_count_epfo_growth, fixed_assets_growth, ownership_change_within_12m_of_surge, working_capital_borrowings_growth, entity_age_years</t>
  </si>
  <si>
    <t xml:space="preserve">Genuine revivals happen and look superficially identical, so the capacity legs are what separate them: a real turnaround is preceded or accompanied by investment — new equity or debt, hiring, plant, a new lease, a new licence — while a reactivated shell shows revenue appearing with no new capacity of any kind. Legitimate causes to check and suppress include an SPV that finally received its approval or land and began its project, a dormant subsidiary revived to house a new group business with the group's own resources, a startup that pivoted after years of pre-revenue work, and a company emerging from litigation or insolvency resolution where the NCLT record explains the restart. The change-of-control leg is the most probative: an aged entity whose shares changed hands, whose directors were replaced and whose bank signatories were changed shortly before the surge is the textbook purchased shell. Tighten when the new turnover is concentrated in a few counterparties, when it is round-numbered, and when the entity previously held dormant status under MSC-1.</t>
  </si>
  <si>
    <t xml:space="preserve">AOC-4 / AOC-4 XBRL Financial Statements, GSTR-3B, MGT-7 / MGT-7A Annual Return</t>
  </si>
  <si>
    <t xml:space="preserve">MSC-1 / MSC-3 Dormant Status, DIR-12 Director Change, Bank Statement</t>
  </si>
  <si>
    <t xml:space="preserve">A dormant group SPV was genuinely revived to run a new business using the parent's resources.</t>
  </si>
  <si>
    <t xml:space="preserve">OWN-018 (control transferred shortly before the surge), BNK-002 (dormant account reactivated with high velocity), OPS-018 (revenue per employee an extreme outlier)</t>
  </si>
  <si>
    <t xml:space="preserve">Companies Act 2013 s.455 dormant status; FIU-IND aged shell typology</t>
  </si>
  <si>
    <t xml:space="preserve">OPS-042</t>
  </si>
  <si>
    <t xml:space="preserve">Exit behaviour</t>
  </si>
  <si>
    <t xml:space="preserve">Heavy trading followed by a strike-off application within three years</t>
  </si>
  <si>
    <t xml:space="preserve">The company pushed large turnover through its books and then applied to be struck off (STK-2, the voluntary removal route) or let itself be removed shortly afterwards, usually with no assets, no tax settled and no wind-down. Real businesses of that size do not simply evaporate.</t>
  </si>
  <si>
    <t xml:space="preserve">strike_off_applied == true AND years_between_peak_turnover_and_strike_off &lt;= 3 AND peak_annual_turnover &gt; 100000000 AND (total_assets_at_strike_off / peak_annual_turnover) &lt; 0.05 AND outstanding_tax_demand_amount &gt; 0</t>
  </si>
  <si>
    <t xml:space="preserve">STK-2 filed or strike off effected within 3 years of a peak turnover above INR 10 crore, with residual assets under 5% of peak turnover</t>
  </si>
  <si>
    <t xml:space="preserve">strike_off_applied, strike_off_date, years_between_peak_turnover_and_strike_off, peak_annual_turnover, total_assets_at_strike_off, outstanding_tax_demand_amount, accumulated_losses, director_resignation_count_12m</t>
  </si>
  <si>
    <t xml:space="preserve">Voluntary strike off is a lawful and inexpensive way to close a company that has genuinely stopped trading, and the ordinary case is a failed business: a firm that lost its single customer, a venture that ran out of runway, or a group tidying up an idle subsidiary after a restructuring. Those cases show accumulated losses, a wind-down of receivables and creditors, settled dues and often a formal transfer of the business — check accumulated_losses and whether liabilities were actually discharged before treating the exit as evasive. Also note that STK-2 cannot lawfully be filed with outstanding liabilities, so an application made while a tax demand is live is itself a misdeclaration and should raise, not lower, the score. Suppress for dormant subsidiaries with immaterial turnover and for entities dissolved after a court-approved amalgamation. Tighten when the strike-off follows a GST cancellation, a search or a demand, when directors resigned en masse just before, when the assets left the company to related parties, and when the same promoters have already closed similar entities this way.</t>
  </si>
  <si>
    <t xml:space="preserve">STK-2 Strike Off Application, MCA Struck-Off Company List, AOC-4 / AOC-4 XBRL Financial Statements</t>
  </si>
  <si>
    <t xml:space="preserve">GSTR-9 / 9C Annual Return, DIR-11 Director Resignation, NCLT / NCLAT Orders</t>
  </si>
  <si>
    <t xml:space="preserve">A genuine business failed after losing its main customer and was closed properly through the voluntary route.</t>
  </si>
  <si>
    <t xml:space="preserve">OPS-040 (turnover confined to a short burst), CMP-009 (tax demand outstanding at strike off), OWN-019 (assets transferred to related parties before exit)</t>
  </si>
  <si>
    <t xml:space="preserve">Companies Act 2013 s.248 and s.252; SEBI vanishing companies typology</t>
  </si>
  <si>
    <t xml:space="preserve">TRD-001</t>
  </si>
  <si>
    <t xml:space="preserve">Trade, Customs &amp; Cross-Border</t>
  </si>
  <si>
    <t xml:space="preserve">Valuation deviation</t>
  </si>
  <si>
    <t xml:space="preserve">Import unit price far above the customs reference price for the same tariff heading</t>
  </si>
  <si>
    <t xml:space="preserve">The per-unit price on the Bill of Entry is well above the contemporaneous price customs records for identical goods under the same tariff heading and origin. Paying too much for imports is the classic way to push value out of India, because the excess money leaves as a genuine trade payment.</t>
  </si>
  <si>
    <t xml:space="preserve">(declared_unit_price_inr / nidb_reference_unit_price_inr) &gt;= 1.50 AND declared_assessable_value_inr &gt; 5000000 AND bill_of_entry_count_same_cth &gt;= 3</t>
  </si>
  <si>
    <t xml:space="preserve">Declared unit price &gt;= 150% of NIDB reference (National Import Database contemporaneous price); assessable value floor INR 50 lakh per Bill of Entry; at least 3 comparable consignments before calling it a pattern</t>
  </si>
  <si>
    <t xml:space="preserve">declared_unit_price_inr, nidb_reference_unit_price_inr, declared_assessable_value_inr, cth_code, country_of_origin, bill_of_entry_count_same_cth</t>
  </si>
  <si>
    <t xml:space="preserve">Everything depends on comparing like with like. Normalise the unit of measure first — a price quoted per piece against a reference per kilogram will produce a 1000x deviation that means nothing — and always match on 8-digit CTH plus country of origin, because Chinese and German goods under one heading are simply different products. Commodity price volatility is the main honest driver: for metals, polymers, edible oils, crude derivatives and electronic components a 50% swing inside a quarter is ordinary, so compare against the reference price for the week of the Bill of Entry, not an annual average. Suppress or heavily relax where the deviation is explained by contract terms — a long-term fixed-price supply contract signed before a price crash, an air-freighted emergency spare, a small trial or sample lot, branded versus generic goods under the same heading, or an Incoterm mismatch (a CIF declaration compared against an FOB reference will always look 5-15% high). Project imports under Heading 9801 and second-hand capital goods have no meaningful reference price at all — exclude them. Tighten to 1.20 and drop the value floor when the supplier sits in a secrecy jurisdiction, when the supplier is related, when payment is routed to a third country, or when the importer is a first-year IEC holder. The strongest version is a persistent one-directional bias: the same importer paying above reference on nearly every consignment from one supplier, which is a transfer of value, not a bad negotiation.</t>
  </si>
  <si>
    <t xml:space="preserve">Bill of Entry, Customs / ICEGATE Data, Packing List / Commercial Invoice</t>
  </si>
  <si>
    <t xml:space="preserve">Bill of Lading / Airway Bill, SWIFT / Wire Messages</t>
  </si>
  <si>
    <t xml:space="preserve">The goods are a branded or higher-specification variant sitting under the same tariff heading as the cheap generic imports that set the reference price.</t>
  </si>
  <si>
    <t xml:space="preserve">TRD-019 (related-party import priced above comparables), TRD-011 (payment made to an unrelated third country), FIN-042 (import cost of goods not reflected in gross margin)</t>
  </si>
  <si>
    <t xml:space="preserve">FATF TBML typology; Customs Act 1962 s.14; Customs Valuation (Imported Goods) Rules 2007 r.12</t>
  </si>
  <si>
    <t xml:space="preserve">TRD-002</t>
  </si>
  <si>
    <t xml:space="preserve">Declared unit price far below the customs reference or market price for the goods</t>
  </si>
  <si>
    <t xml:space="preserve">The per-unit price declared on the Bill of Entry or Shipping Bill sits far under the contemporaneous customs reference for the same goods. Under-declaring the import price evades duty and leaves an unpaid balance abroad that is settled outside the banking channel.</t>
  </si>
  <si>
    <t xml:space="preserve">(declared_unit_price_inr / nidb_reference_unit_price_inr) &lt;= 0.60 AND declared_assessable_value_inr &gt; 2500000 AND duty_rate_percent &gt;= 5 AND cth_code NOT IN scrap_and_used_goods_headings</t>
  </si>
  <si>
    <t xml:space="preserve">Declared unit price &lt;= 60% of NIDB reference for the same 8-digit CTH and origin; assessable value floor INR 25 lakh; escalate below 40%</t>
  </si>
  <si>
    <t xml:space="preserve">declared_unit_price_inr, nidb_reference_unit_price_inr, declared_assessable_value_inr, cth_code, country_of_origin, duty_rate_percent</t>
  </si>
  <si>
    <t xml:space="preserve">Low prices are honest far more often than high ones, so this rule needs more suppression than TRD-001. Genuine distress and clearance sales, end-of-line stock, factory seconds, over-runs, obsolete electronics, off-spec or near-expiry chemical and pharma lots, and refurbished or used machinery all legitimately clear at a fraction of the reference. Exclude scrap, waste, used goods and rag-grade textile headings outright, because the reference distribution there is meaningless. Bulk contract pricing is another honest driver — a full-vessel parcel of a commodity will always beat the reference set by container-load imports, so segment the reference by consignment size. Suppress when a preferential rate of duty under a free trade agreement applies with a valid certificate of origin, since the incentive to under-declare largely disappears. Tighten sharply where the duty rate on the heading is high (the motive is strongest at 20%+ effective duty), where the goods are high-value-density items such as gems, watches, mobile handsets or integrated circuits, where the same importer's declared price falls steadily across consignments from one supplier, or where remittance out of India is materially less than the market value of the goods received. Cross-check against the resale price: if the domestic sale price in GSTR-1 sits far above the landed cost, the import was under-declared and the difference was settled off the books.</t>
  </si>
  <si>
    <t xml:space="preserve">GSTR-1, Shipping Bill</t>
  </si>
  <si>
    <t xml:space="preserve">The consignment is genuine distress, clearance or off-spec stock bought at a deep discount, or a bulk parcel far larger than the consignments that set the reference price.</t>
  </si>
  <si>
    <t xml:space="preserve">TRD-003 (weight-to-value ratio implausible), TRD-004 (tariff heading inconsistent with the goods description), BNK-058 (cash purchases funding an unexplained payment gap)</t>
  </si>
  <si>
    <t xml:space="preserve">TRD-003</t>
  </si>
  <si>
    <t xml:space="preserve">Physical plausibility</t>
  </si>
  <si>
    <t xml:space="preserve">Weight-to-value ratio implausible for the declared commodity</t>
  </si>
  <si>
    <t xml:space="preserve">The declared value per kilogram of net weight does not fit the commodity claimed. A container of textiles invoiced at the value density of microchips, or of electronics at the density of scrap, means the goods in the box are not the goods on the paper.</t>
  </si>
  <si>
    <t xml:space="preserve">net_weight_kg &gt; 100 AND hs_code_4digit IS NOT NULL AND ((declared_invoice_value_inr / net_weight_kg) &gt; commodity_value_density_p95_inr_per_kg OR (declared_invoice_value_inr / net_weight_kg) &lt; commodity_value_density_p05_inr_per_kg)</t>
  </si>
  <si>
    <t xml:space="preserve">Value per kg outside the 5th-95th percentile band of the commodity's own value-density distribution at 4-digit HS level; require net_weight_kg &gt; 100 to avoid sample-size noise</t>
  </si>
  <si>
    <t xml:space="preserve">Rolling 24 months for the reference distribution; per consignment for the test</t>
  </si>
  <si>
    <t xml:space="preserve">declared_invoice_value_inr, net_weight_kg, gross_weight_kg, hs_code_4digit, commodity_value_density_p05_inr_per_kg, commodity_value_density_p95_inr_per_kg</t>
  </si>
  <si>
    <t xml:space="preserve">Build the reference distribution from the same 4-digit heading and the same trade direction, and rebuild it every quarter so commodity price moves do not drag honest shipments outside the band. Use net weight, never gross, or packaging mass will distort light-but-bulky cargo such as garments, furniture and plastic mouldings. The most common benign trigger is a mixed consignment: one Bill of Entry covering several items where only the dominant line's heading is captured, so relax when line_count is high and test line by line instead. Air cargo skews high on value density by design because only valuable goods justify air freight, so segment by mode of transport. Legitimate outliers include spares and warranty replacements, prototypes and moulds, machinery with embedded software or licences, and jewellery where the metal content varies hugely inside one heading. Tighten and treat as near-conclusive when the deviation runs the same direction across a series of shipments, when the number of packages is also inconsistent with the weight, or when the container is declared full but the weight is a fraction of the payload — an empty or part-empty box moving on full paperwork is the physical signature of a phantom trade.</t>
  </si>
  <si>
    <t xml:space="preserve">Bill of Entry, Shipping Bill, Packing List / Commercial Invoice</t>
  </si>
  <si>
    <t xml:space="preserve">Bill of Lading / Airway Bill, Customs / ICEGATE Data</t>
  </si>
  <si>
    <t xml:space="preserve">The consignment is a mixed lot or an air-freighted spare, so its value density does not match the bulk sea-freight population used to build the reference band.</t>
  </si>
  <si>
    <t xml:space="preserve">TRD-006 (declared quantity exceeds container capacity), TRD-002 (unit price far below reference), TRD-013 (vessel not at the declared port)</t>
  </si>
  <si>
    <t xml:space="preserve">FATF TBML typology; Wolfsberg Trade Finance Principles</t>
  </si>
  <si>
    <t xml:space="preserve">TRD-004</t>
  </si>
  <si>
    <t xml:space="preserve">Document consistency</t>
  </si>
  <si>
    <t xml:space="preserve">HS or RITC code declared does not match the written goods description</t>
  </si>
  <si>
    <t xml:space="preserve">The tariff code on the Bill of Entry or Shipping Bill classifies goods that are not what the description field says. Mis-classification is used to move goods into a heading with a lower duty, a higher export incentive, or no reference price at all.</t>
  </si>
  <si>
    <t xml:space="preserve">hs_code_description_match_score &lt; 0.40 AND LENGTH(goods_description_text) &gt; 15 AND hs_code_8digit IS NOT NULL AND declared_assessable_value_inr &gt; 1000000 AND (duty_rate_declared_percent &lt; duty_rate_description_implied_percent OR incentive_rate_declared_percent &gt; incentive_rate_description_implied_percent)</t>
  </si>
  <si>
    <t xml:space="preserve">Semantic match score below 0.40 between the goods description text and the official tariff heading text; value floor INR 10 lakh; require an economic benefit leg (lower duty or higher incentive)</t>
  </si>
  <si>
    <t xml:space="preserve">Point in time, aggregated over current FY</t>
  </si>
  <si>
    <t xml:space="preserve">hs_code_8digit, goods_description_text, hs_code_description_match_score, duty_rate_declared_percent, duty_rate_description_implied_percent, incentive_rate_declared_percent, declared_assessable_value_inr</t>
  </si>
  <si>
    <t xml:space="preserve">Classification is genuinely hard and honest error is everywhere, so never fire on the mismatch alone — the economic-benefit leg is what separates a clerical slip from a scheme. Trade descriptions are terse, abbreviated and full of internal part numbers, so calibrate the match score on your own corpus rather than trusting an off-the-shelf threshold, and treat a low score on a one-word description as unscorable rather than suspicious. Suppress where the classification is supported by an advance ruling, a settled assessment, or a consistent multi-year history on the same heading that customs has examined without objection; genuinely ambiguous headings (parts versus complete articles, mixtures, sets put up for retail sale, composite machines) should be on an exclusion list. Relax for first-time importers of a new product line. Tighten when the declared heading conveniently sits just outside an anti-dumping or safeguard duty notification, when it attracts a higher drawback or RoDTEP rate than the described goods, when the same entity's chosen heading changes after a rate notification, or when the heading differs between the Shipping Bill and the buyer's import declaration in the destination country.</t>
  </si>
  <si>
    <t xml:space="preserve">Customs / ICEGATE Data, E-Way Bill Data</t>
  </si>
  <si>
    <t xml:space="preserve">Classification of the item is genuinely debatable and the customs broker used a heading that the description field, written for the buyer rather than for customs, does not obviously mirror.</t>
  </si>
  <si>
    <t xml:space="preserve">TRD-005 (description differs across shipping bill, bill of lading and invoice), TRD-025 (export incentive disproportionate to the export profile), TRD-002 (price far below reference)</t>
  </si>
  <si>
    <t xml:space="preserve">Customs Tariff Act 1975; DRI mis-declaration typology</t>
  </si>
  <si>
    <t xml:space="preserve">TRD-005</t>
  </si>
  <si>
    <t xml:space="preserve">Goods description differs across the shipping bill, bill of lading and commercial invoice</t>
  </si>
  <si>
    <t xml:space="preserve">The same consignment is described as different goods on the customs declaration, the carrier's transport document and the seller's invoice. In a genuine shipment these three papers are cut from one set of facts, so a substantive divergence means at least one document was written for a purpose other than describing the cargo.</t>
  </si>
  <si>
    <t xml:space="preserve">goods_description_shipping_bill IS NOT NULL AND goods_description_bol IS NOT NULL AND goods_description_invoice IS NOT NULL AND (description_similarity_shipping_bill_vs_bol &lt; 0.50 OR description_similarity_shipping_bill_vs_invoice &lt; 0.50 OR hs_code_shipping_bill != hs_code_invoice)</t>
  </si>
  <si>
    <t xml:space="preserve">Pairwise description similarity below 0.50 on any pair, or an outright tariff-heading conflict between customs and commercial documents; ignore pure formatting and abbreviation differences</t>
  </si>
  <si>
    <t xml:space="preserve">Point in time, per consignment</t>
  </si>
  <si>
    <t xml:space="preserve">goods_description_shipping_bill, goods_description_bol, goods_description_invoice, description_similarity_shipping_bill_vs_bol, description_similarity_shipping_bill_vs_invoice, hs_code_shipping_bill, hs_code_invoice</t>
  </si>
  <si>
    <t xml:space="preserve">Normalise before comparing or the rule drowns in noise: carriers routinely compress descriptions to a generic clause such as 'said to contain general merchandise' or 'textile articles' because they never open the box, and a bill of lading that is simply less specific than the invoice is not a discrepancy — score containment, not equality, and only flag when the documents name mutually exclusive commodities. Suppress where the transport document uses the carrier's standard short-form wording, where the invoice carries buyer part numbers and the customs declaration carries tariff wording, and where a consolidated house bill covers several invoices. Multi-line consignments need line-level matching rather than whole-document matching. Tighten to treat as near-conclusive when the descriptions belong to different chapters of the tariff, when the divergence is on the leg carrying the duty or incentive benefit, when the quantity or weight also differs across the same three documents, or when the discrepancy repeats across consignments — a one-off typing error does not recur ten times with the same counterparty.</t>
  </si>
  <si>
    <t xml:space="preserve">Shipping Bill, Bill of Lading / Airway Bill, Packing List / Commercial Invoice</t>
  </si>
  <si>
    <t xml:space="preserve">Bill of Entry, Letter of Credit</t>
  </si>
  <si>
    <t xml:space="preserve">The carrier used its own generic short-form cargo wording on the bill of lading while the invoice and customs declaration carry the full commercial description.</t>
  </si>
  <si>
    <t xml:space="preserve">TRD-004 (tariff code inconsistent with description), TRD-014 (bill of lading number invalid or reused), TRD-010 (documents issued by connected parties)</t>
  </si>
  <si>
    <t xml:space="preserve">FATF TBML typology; ICC UCP 600 art.14; FIU-IND trade red flag</t>
  </si>
  <si>
    <t xml:space="preserve">TRD-006</t>
  </si>
  <si>
    <t xml:space="preserve">Declared quantity or volume exceeds the capacity of the containers or vessel booked</t>
  </si>
  <si>
    <t xml:space="preserve">The quantity, volume or weight declared cannot physically fit in the number and type of containers on the transport document, or exceeds the vessel's capacity. Goods that cannot fit did not move, so the paperwork is documenting value, not cargo.</t>
  </si>
  <si>
    <t xml:space="preserve">container_type_code IS NOT NULL AND (declared_cargo_volume_cbm &gt; (container_count * container_type_capacity_cbm * 1.05) OR declared_gross_weight_kg &gt; (container_count * container_type_payload_kg * 1.05) OR declared_gross_weight_kg &gt; vessel_deadweight_kg)</t>
  </si>
  <si>
    <t xml:space="preserve">Declared volume or weight more than 105% of the booked containers' rated capacity (20ft ~33 CBM / 28,000 kg gross, 40ft ~67 CBM / 30,480 kg gross, 40ft HC ~76 CBM), or above the named vessel's deadweight</t>
  </si>
  <si>
    <t xml:space="preserve">declared_cargo_volume_cbm, declared_gross_weight_kg, container_count, container_type_code, container_type_capacity_cbm, container_type_payload_kg, vessel_deadweight_kg</t>
  </si>
  <si>
    <t xml:space="preserve">This is arithmetic, so the false positives come from bad data rather than from honest business. Guard hard against unit errors — kilograms filed as tonnes, litres as cubic metres, pieces as cartons — and reject rather than flag any consignment where the unit of quantity code is missing or non-standard. Allow a 5% tolerance for rounding and for stowage estimates. Suppress where the shipment is break-bulk, flat-rack, out-of-gauge or bulk in a vessel hold rather than containerised, where a single bill of lading covers containers listed on a separate annexure your parser did not read, and where part shipments under one contract are being aggregated by mistake. Note that the volume leg is weaker than the weight leg, because declared volume is often a rough figure while gross weight is measured and now cross-checked by the carrier's verified gross mass certificate; treat a weight breach as materially stronger. Tighten to zero tolerance and treat as Critical when the same container number appears on more than one live consignment, when the container is a standard dry box but the cargo is declared as requiring reefer or tank equipment, or when the declared quantity exceeds capacity by a multiple rather than a margin.</t>
  </si>
  <si>
    <t xml:space="preserve">Bill of Lading / Airway Bill, Shipping Bill, Packing List / Commercial Invoice</t>
  </si>
  <si>
    <t xml:space="preserve">Customs / ICEGATE Data, Vessel AIS Tracking</t>
  </si>
  <si>
    <t xml:space="preserve">A unit-of-measure conversion error in the filing, such as weight keyed in kilograms against a field expecting tonnes.</t>
  </si>
  <si>
    <t xml:space="preserve">TRD-013 (vessel not at the declared port on the declared date), TRD-003 (weight-to-value ratio implausible), TRD-014 (bill of lading number invalid or reused)</t>
  </si>
  <si>
    <t xml:space="preserve">FATF TBML typology; SOLAS VGM requirement; FIU-IND trade red flag</t>
  </si>
  <si>
    <t xml:space="preserve">TRD-007</t>
  </si>
  <si>
    <t xml:space="preserve">Commercial logic</t>
  </si>
  <si>
    <t xml:space="preserve">Goods exported to a destination with no realistic market or consumption for them</t>
  </si>
  <si>
    <t xml:space="preserve">The declared destination country has no plausible demand for the commodity — heavy machinery to a micro-state, monsoon goods to an arid country, or volumes that dwarf the destination's entire recorded imports of that item. The destination is a paper endpoint chosen for the payment route, not a buyer.</t>
  </si>
  <si>
    <t xml:space="preserve">destination_country_code NOT IN entrepot_hub_list AND hs_code_4digit IS NOT NULL AND (export_value_to_country_inr / destination_country_annual_imports_of_hs_code_inr) &gt; 0.25 AND export_value_to_country_inr &gt; 10000000 AND destination_country_population &lt; 5000000</t>
  </si>
  <si>
    <t xml:space="preserve">Exporter's own shipments exceed 25% of the destination's total recorded annual imports of that 4-digit heading; export value floor INR 1 crore; small-market test at population under 5 million</t>
  </si>
  <si>
    <t xml:space="preserve">destination_country_code, hs_code_4digit, export_value_to_country_inr, destination_country_annual_imports_of_hs_code_inr, destination_country_population, buyer_name</t>
  </si>
  <si>
    <t xml:space="preserve">The rule rests on mirror-statistics data (the destination's own reported imports), which lags by a year or more and is missing or unreliable for many small and offshore economies — treat absent mirror data as unscorable, not as a hit. The single biggest legitimate explanation is re-export and entrepot trade: Dubai, Singapore, Hong Kong, Panama, Rotterdam and Antwerp routinely import many multiples of their own consumption because they redistribute onward, so suppress the small-market and consumption tests for recognised entrepot hubs and rely instead on the ultimate-consignee field. Also suppress for legitimate merchanting trade, project exports where an entire plant ships to one site, humanitarian and government aid consignments, defence and offshore-oil supply, ship stores and bunkers, and exhibition or sample goods moving on ATA carnet. Genuine niche exporters can dominate a tiny market — being 25% of Mauritius's imports of one heading is not by itself wrong. Tighten when the buyer has no website or trade footprint, when the goods are high-risk TBML commodities, when the payment comes from a country other than the destination, or when the consignment is climatically or infrastructurally absurd for the destination. This one usually needs an analyst to confirm.</t>
  </si>
  <si>
    <t xml:space="preserve">Shipping Bill, Customs / ICEGATE Data, Derived — cross-entity graph</t>
  </si>
  <si>
    <t xml:space="preserve">Bill of Lading / Airway Bill, Adverse Media / News Archive</t>
  </si>
  <si>
    <t xml:space="preserve">The destination is a re-export and distribution hub, so its recorded imports far exceed local consumption and the goods move onward to real end markets.</t>
  </si>
  <si>
    <t xml:space="preserve">TRD-016 (counterparty in a secrecy or high-risk jurisdiction), TRD-017 (routing with no commercial logic), TRD-027 (a single overseas counterparty accounts for nearly all trade)</t>
  </si>
  <si>
    <t xml:space="preserve">FATF TBML typology; UN Comtrade mirror-statistics analysis</t>
  </si>
  <si>
    <t xml:space="preserve">TRD-008</t>
  </si>
  <si>
    <t xml:space="preserve">Trade finance abuse</t>
  </si>
  <si>
    <t xml:space="preserve">Letter of credit amended repeatedly, especially in beneficiary or amount</t>
  </si>
  <si>
    <t xml:space="preserve">A documentary credit (a bank's conditional payment undertaking) is amended many times before it is used, particularly to change who gets paid or how much. Frequent substantive amendment turns a trade instrument into a flexible payment channel and is a way to move the beneficiary to a party the bank never assessed.</t>
  </si>
  <si>
    <t xml:space="preserve">(lc_amendment_count - lc_expiry_extension_count) &gt;= 3 AND (lc_beneficiary_changed_flag == true OR lc_beneficiary_country_changed_flag == true OR (lc_amount_final_inr / lc_amount_original_inr) &gt;= 1.30 OR (lc_amount_final_inr / lc_amount_original_inr) &lt;= 0.70) AND lc_amount_final_inr &gt; 5000000</t>
  </si>
  <si>
    <t xml:space="preserve">3 or more amendments to one credit, with a beneficiary change or a 30% move in value; LC value floor INR 50 lakh; treat any beneficiary change to a different country as a hit on its own</t>
  </si>
  <si>
    <t xml:space="preserve">Life of the credit; aggregated over rolling 12 months per applicant</t>
  </si>
  <si>
    <t xml:space="preserve">lc_amendment_count, lc_beneficiary_changed_flag, lc_beneficiary_country_changed_flag, lc_amount_original_inr, lc_amount_final_inr, lc_expiry_extension_count, lc_applicant_iec</t>
  </si>
  <si>
    <t xml:space="preserve">Amendments are ordinary in real trade and most of them are dull — shipment date extensions after a vessel rollover, port-of-loading changes, tolerance clauses on bulk quantity, corrections to document requirements after a discrepancy, and partial-shipment permissions. Classify amendments by type and only count substantive ones: beneficiary, amount, goods description, and the identity of the negotiating bank. Suppress amendment counts driven purely by expiry and latest-shipment-date extensions during port congestion, strikes or sanctions-related re-routing, and for long-cycle capital goods and project supplies where a credit legitimately lives for a year and flexes with the build schedule. Commodity credits with price-linked clauses will move in value with the market — relax the amount test where the underlying is exchange-traded. Tighten hard when the beneficiary changes to an entity in a different country from the original, when the new beneficiary shares an address, director or bank account with the applicant, when amendments cluster in the days before negotiation, or when the credit is transferable and back-to-back, which is the structure most often used to insert a value-shifting middleman.</t>
  </si>
  <si>
    <t xml:space="preserve">Letter of Credit, SWIFT / Wire Messages, Bank Statement</t>
  </si>
  <si>
    <t xml:space="preserve">Loan Sanction / Facility Letter, Packing List / Commercial Invoice</t>
  </si>
  <si>
    <t xml:space="preserve">Shipment delays and quantity tolerances on a bulk commodity contract forced routine extensions and value adjustments to the credit.</t>
  </si>
  <si>
    <t xml:space="preserve">TRD-009 (same shipment financed at two banks), TRD-011 (third-party payment from an unrelated entity), TRD-010 (documents issued by connected parties)</t>
  </si>
  <si>
    <t xml:space="preserve">ICC UCP 600; Wolfsberg Trade Finance Principles; FIU-IND trade red flag</t>
  </si>
  <si>
    <t xml:space="preserve">TRD-009</t>
  </si>
  <si>
    <t xml:space="preserve">Same shipment documents financed at two or more banks (double financing)</t>
  </si>
  <si>
    <t xml:space="preserve">The same invoice, bill of lading or shipping bill is discounted or used to draw finance at more than one bank. Only one set of goods exists, so at least one bank is lending against a shipment that will never repay it — a classic exit route for funds through a shell trading entity.</t>
  </si>
  <si>
    <t xml:space="preserve">distinct_financing_bank_count_for_document &gt;= 2 AND borrower_iec IS NOT NULL AND (invoice_number_hash IS REUSED OR bill_of_lading_number IS REUSED OR shipping_bill_number IS REUSED) AND financed_amount_total_inr &gt; (shipment_declared_value_inr * 1.10)</t>
  </si>
  <si>
    <t xml:space="preserve">Same invoice, bill of lading or shipping bill number financed at 2 or more lenders; aggregate finance above 110% of the declared shipment value; any reuse of a bill of lading number is a hit regardless of amount</t>
  </si>
  <si>
    <t xml:space="preserve">invoice_number_hash, bill_of_lading_number, shipping_bill_number, distinct_financing_bank_count_for_document, financed_amount_total_inr, shipment_declared_value_inr, borrower_iec</t>
  </si>
  <si>
    <t xml:space="preserve">This needs a cross-bank view — the Trade Receivables Discounting System, the Trade Finance Exchange registry, CERSAI or a consortium data pool — so it is unrunnable from one bank's own book and should be scored as unavailable rather than clean when the population is partial. Normalise document numbers aggressively before matching: strip prefixes, leading zeros, port codes and year suffixes, but keep enough to avoid collisions, because short invoice numbers like 'INV/001' collide across unrelated firms and will generate garbage matches — always require the counterparty or IEC to match too. Legitimate structures that look like double financing and must be suppressed: pre-shipment packing credit converted into post-shipment finance at the same bank, a genuine consortium or multiple-banking arrangement with a documented sharing agreement, factoring where the original lender has released its charge, back-to-back credits in merchanting trade where two legs genuinely exist, and a supplier and buyer each financing their own side of the same physical shipment at different banks. Tighten to Critical and escalate immediately where the same original bill of lading is presented at two lenders, where the borrower is a recent IEC holder, or where the counterparty on both facilities resolves to the same group.</t>
  </si>
  <si>
    <t xml:space="preserve">Bill of Lading / Airway Bill, Loan Sanction / Facility Letter, Derived — cross-entity graph</t>
  </si>
  <si>
    <t xml:space="preserve">Bank Statement, Letter of Credit, CERSAI Charge Registry</t>
  </si>
  <si>
    <t xml:space="preserve">A documented multiple-banking or consortium arrangement, or pre-shipment credit rolling into post-shipment finance, recorded twice by two lenders against one shipment.</t>
  </si>
  <si>
    <t xml:space="preserve">TRD-014 (bill of lading number invalid or reused), TRD-008 (letter of credit amended repeatedly), BNK-071 (borrowings across many banks with no consortium agreement)</t>
  </si>
  <si>
    <t xml:space="preserve">FATF TBML typology; RBI Master Direction on Frauds; Wolfsberg Trade Finance Principles</t>
  </si>
  <si>
    <t xml:space="preserve">TRD-010</t>
  </si>
  <si>
    <t xml:space="preserve">Counterparty linkage</t>
  </si>
  <si>
    <t xml:space="preserve">Invoice, packing list and bill of lading issued by parties sharing an address or director</t>
  </si>
  <si>
    <t xml:space="preserve">The supposedly independent parties in the trade chain — seller, freight forwarder, inspection agency, notify party — resolve to the same address, phone, email domain or director. An arm's length trade has arm's length parties; a manufactured one is written by a single hand.</t>
  </si>
  <si>
    <t xml:space="preserve">shared_attribute_count_between_trade_parties &gt;= 2 AND distinct_trade_party_count &gt;= 3 AND trade_party_addresses_normalised NOT IN freezone_business_centre_exclusion_list AND (address_match_flag == true OR director_overlap_flag == true OR email_domain_match_flag == true OR telephone_match_flag == true)</t>
  </si>
  <si>
    <t xml:space="preserve">2 or more shared identifiers (normalised address, director or beneficial owner, email domain, telephone, bank account) across 3 or more nominally independent parties to one consignment</t>
  </si>
  <si>
    <t xml:space="preserve">Point in time, per consignment; aggregated over 3 FY for the party graph</t>
  </si>
  <si>
    <t xml:space="preserve">trade_party_addresses_normalised, director_overlap_flag, address_match_flag, email_domain_match_flag, telephone_match_flag, shared_attribute_count_between_trade_parties, distinct_trade_party_count</t>
  </si>
  <si>
    <t xml:space="preserve">Address normalisation carries this rule: strip unit, floor and building tokens, and exclude free-zone and business-centre addresses such as Jebel Ali, DMCC, Sharjah and Hong Kong company-secretary addresses, where hundreds of unconnected traders share one registered premises and the rule would otherwise fire on the entire Gulf trade. Also exclude the customs broker, the shipping line's own agency and consolidator addresses, and the freight forwarder's office as the notify party, all of which legitimately repeat across a firm's shipments. Group companies trading with each other is not itself an offence — an Indian exporter selling to its own overseas distribution arm shares directors by design — so suppress where the relationship is disclosed in AOC-2 or Form 3CEB and the pricing tests pass. What makes this a real finding is undisclosed connectedness: the parties present as independent, the relationship is nowhere in the related-party annexure, and the shared attributes are personal rather than institutional (a residential address, a personal mobile number, a free email account used by both sides). Tighten when the shared party is also the inspection or quality-certification agency, which destroys the only independent verification of the goods, and when the same bank account receives both the seller's proceeds and the forwarder's fees.</t>
  </si>
  <si>
    <t xml:space="preserve">Packing List / Commercial Invoice, Bill of Lading / Airway Bill, Derived — cross-entity graph</t>
  </si>
  <si>
    <t xml:space="preserve">AOC-2 Related Party Annexure, Letter of Credit, Email Header / MX Record</t>
  </si>
  <si>
    <t xml:space="preserve">The shared address is a free-zone or business-centre registration used by many unrelated traders, or the repeated party is the firm's own customs broker or forwarder.</t>
  </si>
  <si>
    <t xml:space="preserve">TRD-028 (circular trade returning goods to the origin group), TRD-019 (related-party import priced above comparables), OWN-018 (undisclosed common control across counterparties)</t>
  </si>
  <si>
    <t xml:space="preserve">FATF TBML typology; Companies Act 2013 s.188; FIU-IND trade red flag</t>
  </si>
  <si>
    <t xml:space="preserve">TRD-011</t>
  </si>
  <si>
    <t xml:space="preserve">Payment routing</t>
  </si>
  <si>
    <t xml:space="preserve">Trade settled by third-party payment from an unrelated entity in a third country</t>
  </si>
  <si>
    <t xml:space="preserve">Money for the shipment comes from, or goes to, a party that is not the buyer or seller named on the invoice, and sits in a country unconnected to the trade. RBI allows third-party trade payments only under strict documented conditions, so an undocumented one usually means the trade is a cover for someone else's money.</t>
  </si>
  <si>
    <t xml:space="preserve">payer_name_normalised != invoice_counterparty_name_normalised AND payer_country_code != counterparty_country_code AND third_party_payment_agreement_on_file == false AND remittance_purpose_code IN trade_purpose_codes AND remittance_amount_inr &gt; 1000000</t>
  </si>
  <si>
    <t xml:space="preserve">Any settlement above INR 10 lakh where the remitter or beneficiary differs from the invoice counterparty and sits in a third country, with no tripartite agreement or irrevocable payment order on file</t>
  </si>
  <si>
    <t xml:space="preserve">payer_name_normalised, invoice_counterparty_name_normalised, payer_country_code, counterparty_country_code, third_party_payment_agreement_on_file, remittance_amount_inr, remittance_purpose_code</t>
  </si>
  <si>
    <t xml:space="preserve">RBI's third-party payment framework makes this scorable rather than judgemental: the transaction is permitted where there is a tripartite agreement or an irrevocable order in writing, the third party's name appears in the trade documents, and the authorised dealer bank is satisfied on the bona fides — so the presence or absence of that documentation, not the payment itself, is the signal. Suppress for genuine and common structures: a group treasury or payment factory settling on behalf of an overseas subsidiary, a factoring or forfaiting company paying an exporter, an insurer or export credit agency paying a claim, a bank paying under a documentary credit or guarantee, an escrow or platform intermediary, and merchanting trade where the payer is the ultimate buyer in a different country by design. Name matching must tolerate branch and legal-form suffixes, transliteration and abbreviations, or every 'Ltd' versus 'Limited' becomes a hit. Tighten sharply when the third-party payer is an individual, a money-service business, an exchange house, or an entity in a jurisdiction on the FATF grey or black list; when several unrelated payers settle invoices for one counterparty; or when payments arrive split just under a reporting or scrutiny threshold. Repetition matters more than any single instance.</t>
  </si>
  <si>
    <t xml:space="preserve">SWIFT / Wire Messages, Bank Statement, Packing List / Commercial Invoice</t>
  </si>
  <si>
    <t xml:space="preserve">Letter of Credit, Bill of Entry, Shipping Bill</t>
  </si>
  <si>
    <t xml:space="preserve">A group treasury centre or a factoring company settles the invoice on the counterparty's behalf under an arrangement the bank has already documented.</t>
  </si>
  <si>
    <t xml:space="preserve">TRD-016 (counterparty in a secrecy or high-risk jurisdiction), TRD-001 (import priced above reference), BNK-033 (inward remittances from unrelated overseas remitters)</t>
  </si>
  <si>
    <t xml:space="preserve">RBI A.P. (DIR Series) Circular 100 of 04.02.2014; FEMA 1999; FATF TBML typology</t>
  </si>
  <si>
    <t xml:space="preserve">TRD-012</t>
  </si>
  <si>
    <t xml:space="preserve">Commodity risk</t>
  </si>
  <si>
    <t xml:space="preserve">High-value trade in TBML-prone commodities by an entity with no operating substance</t>
  </si>
  <si>
    <t xml:space="preserve">Large turnover in gems and jewellery, metal scrap, textiles, electronics or agri-commodities sits on an entity with almost no contributing employees, fixed assets, warehousing or utility usage. These commodities are chosen because value per unit is hard to verify; the missing operations show the entity never handled the goods.</t>
  </si>
  <si>
    <t xml:space="preserve">hs_chapter IN high_risk_tbml_chapters AND annual_trade_turnover_inr &gt; 50000000 AND (epfo_contributing_employees &lt; 5 OR (fixed_assets_gross_inr / annual_trade_turnover_inr) &lt; 0.01) AND warehouse_or_godown_evidence_flag == false AND entity_incorporation_date IS NOT NULL</t>
  </si>
  <si>
    <t xml:space="preserve">Trade turnover above INR 5 crore in high-risk chapters (71 gems and precious metals, 72-81 metals and scrap, 50-63 textiles, 84-85 electronics, 08-12 agri) with fewer than 5 EPFO-contributing employees or gross fixed assets under 1% of turnover</t>
  </si>
  <si>
    <t xml:space="preserve">Current FY, compared against 2 prior FY</t>
  </si>
  <si>
    <t xml:space="preserve">hs_chapter, annual_trade_turnover_inr, epfo_contributing_employees, fixed_assets_gross_inr, warehouse_or_godown_evidence_flag, entity_incorporation_date</t>
  </si>
  <si>
    <t xml:space="preserve">Asset-light is not the same as substance-free, and legitimate trading houses are genuinely thin: a commodity trader or merchant exporter with 4 staff and no godown can honestly turn over INR 50 crore because it never takes physical possession, using third-party warehousing, agents and back-to-back sales. So the fixed-asset leg must be paired with something else — no third-party warehouse invoices, no transport or freight expense, no clearing agent bills, no insurance, and no e-way bills against the sales. Suppress for merchanting trade (goods never enter India by design), high-seas sales, agency and commission models where the entity earns a commission rather than a trading margin, and SEZ trading units. Diamond and bullion trading in Surat, Mumbai and Jaipur runs on famously lean staffing with high value density — raise the turnover floor several times for chapter 71 rather than treating every jeweller as a shell. Tighten when the entity is under two years old, when the commodity mix jumps between unrelated chapters within a year, when EPFO shows zero contributing employees against a crore-scale turnover, or when the declared premises is residential. The strong composite is high turnover, no logistics footprint, and a single overseas counterparty.</t>
  </si>
  <si>
    <t xml:space="preserve">Customs / ICEGATE Data, AOC-4 / AOC-4 XBRL Financial Statements, EPFO ECR Filing</t>
  </si>
  <si>
    <t xml:space="preserve">GSTR-1, E-Way Bill Data, Electricity / Utility Bill</t>
  </si>
  <si>
    <t xml:space="preserve">A genuine merchant trader or commission agent runs an asset-light back-to-back model with outsourced warehousing and logistics, so no fixed assets or staff appear.</t>
  </si>
  <si>
    <t xml:space="preserve">TRD-027 (single overseas counterparty dominates trade), TRD-026 (imports with no matching input tax credit or inventory), OPS-013 (no electricity connection at declared premises)</t>
  </si>
  <si>
    <t xml:space="preserve">FATF TBML typology; FIU-IND red flag; DRI gems and scrap typology</t>
  </si>
  <si>
    <t xml:space="preserve">TRD-013</t>
  </si>
  <si>
    <t xml:space="preserve">Phantom shipment</t>
  </si>
  <si>
    <t xml:space="preserve">Vessel tracking shows the named vessel was not at the declared port on the declared date</t>
  </si>
  <si>
    <t xml:space="preserve">The vessel named on the bill of lading was, on AIS satellite tracking (the transponder signal every large ship broadcasts), somewhere else entirely on the loading or discharge date claimed. If the ship was not there, the cargo did not sail — the shipment exists only on paper.</t>
  </si>
  <si>
    <t xml:space="preserve">vessel_imo_number IS NOT NULL AND declared_port_code IS NOT NULL AND declared_shipped_on_board_date IS NOT NULL AND ais_position_distance_from_declared_port_nm &gt; 200 AND ais_coverage_confirmed_flag == true AND ABS(days_between_ais_reading_and_declared_date) &lt;= 1</t>
  </si>
  <si>
    <t xml:space="preserve">Named vessel more than 200 nautical miles from the declared port of loading or discharge within +/- 1 day of the declared date, with confirmed AIS coverage; also fires when the IMO number does not exist or belongs to a different vessel name</t>
  </si>
  <si>
    <t xml:space="preserve">vessel_imo_number, declared_port_code, declared_shipped_on_board_date, ais_position_distance_from_declared_port_nm, ais_coverage_confirmed_flag, days_between_ais_reading_and_declared_date</t>
  </si>
  <si>
    <t xml:space="preserve">Only run this where the AIS record is dense enough to be evidence — mid-ocean gaps, older or smaller vessels, coastal and feeder craft, and stretches where transponders are legitimately off for safety in piracy zones all produce absence of data rather than proof of absence, so demand a confirmed-coverage flag and treat gaps as unscorable. Match on IMO number, never on vessel name, because names repeat across the world fleet and change on sale; a name-only match is not a finding. Understand the honest timing spread: the shipped-on-board date can legitimately differ from the sailing date by days, transhipment means the feeder vessel and not the mother vessel loaded the cargo, and a through bill of lading may name the ocean carrier's mother vessel while the box actually moved on a feeder — so compare against the correct leg and allow the full port stay window rather than an instant. Suppress for air and land consignments and for house bills issued by consolidators. Tighten to Critical with immediate escalation where the IMO number is invalid or belongs to a vessel of a different type or size class, where the named vessel was scrapped or laid up before the voyage date, or where several of one exporter's consignments name vessels that were demonstrably elsewhere — that pattern is fabricated documentation, not a clerical error.</t>
  </si>
  <si>
    <t xml:space="preserve">Vessel AIS Tracking, Bill of Lading / Airway Bill, Shipping Bill</t>
  </si>
  <si>
    <t xml:space="preserve">Customs / ICEGATE Data, Bill of Entry</t>
  </si>
  <si>
    <t xml:space="preserve">The bill of lading names the ocean carrier's mother vessel while the cargo actually moved on a feeder ship to the transhipment port, so the named vessel genuinely was elsewhere.</t>
  </si>
  <si>
    <t xml:space="preserve">TRD-014 (bill of lading number invalid or reused), TRD-006 (declared quantity exceeds container capacity), TRD-021 (export proceeds never realised)</t>
  </si>
  <si>
    <t xml:space="preserve">FATF TBML typology; Wolfsberg Trade Finance Principles; DRI phantom export typology</t>
  </si>
  <si>
    <t xml:space="preserve">TRD-014</t>
  </si>
  <si>
    <t xml:space="preserve">Bill of lading number invalid, unverifiable with the carrier, or reused</t>
  </si>
  <si>
    <t xml:space="preserve">The transport document number does not validate against the carrier's own format or tracking system, or the same number appears on more than one shipment. A bill of lading is a document of title, so a fake or duplicated one is the core artefact of a fabricated trade.</t>
  </si>
  <si>
    <t xml:space="preserve">bill_of_lading_number IS NOT NULL AND bol_carrier_scac IS NOT NULL AND (bol_carrier_verification_status == 'not_found' OR bol_format_valid_flag == false OR bol_number_distinct_consignment_count &gt;= 2) AND transport_mode == 'Sea' AND declared_shipment_value_inr &gt; 500000</t>
  </si>
  <si>
    <t xml:space="preserve">Any bill of lading not found on the carrier's tracking system, failing the carrier's SCAC and number format, or appearing on 2 or more distinct consignments; value floor INR 5 lakh</t>
  </si>
  <si>
    <t xml:space="preserve">bill_of_lading_number, bol_carrier_scac, bol_format_valid_flag, bol_carrier_verification_status, bol_number_distinct_consignment_count, transport_mode, declared_shipment_value_inr</t>
  </si>
  <si>
    <t xml:space="preserve">Verification failure is not the same as forgery. Carriers purge tracking data after roughly three to six months, so an older bill of lading will legitimately return 'not found' — restrict the verification leg to recent shipments and treat older ones as unverifiable rather than false. House bills issued by freight forwarders and NVOCCs will never appear on the ocean carrier's system at all, which is entirely normal; check the master bill instead, and exclude house bills from the verification leg unless the forwarder is itself unregistered. The reuse leg needs careful normalisation: split bills, switch bills issued at transhipment, and amended re-issues of a corrected bill legitimately carry related numbers, and part shipments under one booking share a booking reference that is not the bill number — match on the full carrier-plus-number key and exclude documented re-issues where the original was surrendered. Suppress for air waybills and for multimodal documents with different numbering conventions. Tighten to Critical when the same original bill number appears with two different consignees or two different lenders, when the carrier confirms it never issued the number, or when the bill is presented for negotiation or drawback with no matching entry in the carrier's manifest.</t>
  </si>
  <si>
    <t xml:space="preserve">Bill of Lading / Airway Bill, Customs / ICEGATE Data, Derived — cross-entity graph</t>
  </si>
  <si>
    <t xml:space="preserve">Letter of Credit, Shipping Bill, Vessel AIS Tracking</t>
  </si>
  <si>
    <t xml:space="preserve">The document is a forwarder's house bill of lading, or an older bill whose tracking record the carrier has already purged, so it cannot be verified online.</t>
  </si>
  <si>
    <t xml:space="preserve">TRD-013 (vessel not at the declared port), TRD-009 (same shipment financed at two banks), TRD-005 (description differs across documents)</t>
  </si>
  <si>
    <t xml:space="preserve">FATF TBML typology; ICC UCP 600 art.20; FIU-IND trade red flag</t>
  </si>
  <si>
    <t xml:space="preserve">TRD-015</t>
  </si>
  <si>
    <t xml:space="preserve">Cost structure</t>
  </si>
  <si>
    <t xml:space="preserve">Freight and insurance out of proportion to the declared cargo value</t>
  </si>
  <si>
    <t xml:space="preserve">Declared freight and insurance are far higher or lower than the cargo value and route would imply. Inflating these charges moves value out without touching the goods price, and abnormally low or zero insurance suggests nobody expected real goods to be at risk.</t>
  </si>
  <si>
    <t xml:space="preserve">port_of_loading_code IS NOT NULL AND transport_mode == 'Sea' AND (((freight_amount_inr + insurance_amount_inr) / declared_cargo_value_inr) &gt; route_freight_ratio_p90 OR (insurance_amount_inr == 0 AND declared_cargo_value_inr &gt; 5000000 AND incoterm IN ('CIF','CIP')))</t>
  </si>
  <si>
    <t xml:space="preserve">Freight plus insurance above the 90th percentile of the freight-to-value ratio for the same route, mode and commodity; or zero insurance on a CIF/CIP consignment above INR 50 lakh (customs notionally loads 1.125% where insurance is not ascertainable)</t>
  </si>
  <si>
    <t xml:space="preserve">Rolling 12 months for the route benchmark; per consignment for the test</t>
  </si>
  <si>
    <t xml:space="preserve">freight_amount_inr, insurance_amount_inr, declared_cargo_value_inr, route_freight_ratio_p90, incoterm, transport_mode, port_of_loading_code</t>
  </si>
  <si>
    <t xml:space="preserve">Freight ratios are extremely commodity- and route-dependent, so benchmark within mode, lane and commodity or the rule is meaningless: low-value bulk such as scrap, cement, salt or agri waste can honestly show freight at 30-50% of cargo value, while a container of pharmaceuticals shows under 2%. Freight spikes during disruption are the single largest benign driver — the 2021-22 container crunch, Red Sea re-routing, canal closures, war-risk surcharges, peak-season and equipment-shortage surcharges all multiply lane rates within weeks — so recompute the benchmark monthly and suppress entirely for lanes where the market index moved beyond a set band in the period. Air freight, reefer, hazardous cargo, out-of-gauge and project cargo, and shipments to landlocked or remote destinations with long inland legs all sit legitimately high. Where the Incoterm is FOB or EXW the buyer arranges carriage, so a low or absent freight figure on the seller's documents is correct, not suspicious — always read the ratio against the Incoterm. Tighten when freight is paid to a party connected to the buyer or seller, when the freight amount is a suspiciously round number or a fixed percentage of cargo value across consignments, or when the same lane shows wildly different freight for the same exporter in the same month. The zero-insurance leg is the more interesting half and is worth escalating on high-value consignments.</t>
  </si>
  <si>
    <t xml:space="preserve">Bill of Entry, Packing List / Commercial Invoice, Bill of Lading / Airway Bill</t>
  </si>
  <si>
    <t xml:space="preserve">Insurance Policy Record, Customs / ICEGATE Data</t>
  </si>
  <si>
    <t xml:space="preserve">A freight-market spike or a surcharge-heavy lane pushed the ratio up, or the Incoterm places carriage and insurance with the other party so the declared figures are naturally low.</t>
  </si>
  <si>
    <t xml:space="preserve">TRD-018 (transhipment cost exceeds the cargo margin), TRD-001 (import priced above reference), TRD-010 (documents issued by connected parties)</t>
  </si>
  <si>
    <t xml:space="preserve">FATF TBML typology; Customs Valuation (Imported Goods) Rules 2007 r.10(2)</t>
  </si>
  <si>
    <t xml:space="preserve">TRD-016</t>
  </si>
  <si>
    <t xml:space="preserve">Jurisdiction risk</t>
  </si>
  <si>
    <t xml:space="preserve">Trade counterparty registered in a secrecy or FATF-listed high-risk jurisdiction</t>
  </si>
  <si>
    <t xml:space="preserve">The overseas buyer or supplier is incorporated in a jurisdiction known for corporate secrecy or listed by FATF as high-risk, and that country has no role in producing or consuming the goods. Secrecy jurisdictions are chosen so that the real owner behind the counterparty cannot be traced.</t>
  </si>
  <si>
    <t xml:space="preserve">counterparty_country_code IN (fatf_grey_list + fatf_black_list + secrecy_jurisdiction_list) AND counterparty_country_code != goods_origin_country_code AND counterparty_country_code != goods_destination_country_code AND annual_trade_value_with_counterparty_inr &gt; 5000000</t>
  </si>
  <si>
    <t xml:space="preserve">Any counterparty in a FATF grey/black-list or recognised secrecy jurisdiction that is neither the origin nor the destination of the goods; trade value floor INR 50 lakh per FY</t>
  </si>
  <si>
    <t xml:space="preserve">counterparty_name, counterparty_country_code, goods_origin_country_code, goods_destination_country_code, annual_trade_value_with_counterparty_inr, counterparty_incorporation_age_years</t>
  </si>
  <si>
    <t xml:space="preserve">Jurisdiction alone is weak evidence and this rule should almost never open a case on its own — huge volumes of entirely legitimate Indian trade are invoiced through the UAE, Singapore, Hong Kong, Mauritius, Cyprus and the Netherlands for tax, treasury, logistics and financing reasons, and free-zone entities in Jebel Ali or DMCC are the normal way to serve the Gulf and African markets. Keep the list definitions explicit and versioned: separate the FATF call-for-action list, which is genuinely serious, from the grey list and from a broader secrecy index, and score them differently rather than lumping them together. Suppress where the counterparty is a listed company, a state-owned enterprise, a subsidiary of a known multinational, or a disclosed group entity under Form 3CEB. Suppress for legitimate merchanting trade, where an offshore trading arm invoicing a physical flow between two other countries is the entire business model, and for commodity trading desks in Geneva, Singapore and Dubai that finance and title the goods without touching them. Tighten when the counterparty was incorporated within a year of the first shipment, when its address is a company-formation agent's, when the same jurisdiction also supplies the payment leg for unrelated invoices, or when the origin-destination-counterparty triangle has no commercial logic. Treat this as a multiplier on the pricing and documentation rules, not a standalone finding.</t>
  </si>
  <si>
    <t xml:space="preserve">Packing List / Commercial Invoice, Bill of Entry, Shipping Bill</t>
  </si>
  <si>
    <t xml:space="preserve">SWIFT / Wire Messages, Sanctions &amp; PEP List, Letter of Credit</t>
  </si>
  <si>
    <t xml:space="preserve">The counterparty is a legitimate regional trading or treasury arm in a hub like the UAE or Singapore, which is standard commercial practice for Indian exporters serving those markets.</t>
  </si>
  <si>
    <t xml:space="preserve">TRD-011 (third-party payment from an unrelated entity), TRD-017 (routing with no commercial logic), TRD-007 (no realistic market in the declared destination)</t>
  </si>
  <si>
    <t xml:space="preserve">FATF high-risk jurisdictions statement; FIU-IND red flag; PMLA</t>
  </si>
  <si>
    <t xml:space="preserve">TRD-017</t>
  </si>
  <si>
    <t xml:space="preserve">Routing logic</t>
  </si>
  <si>
    <t xml:space="preserve">Shipment routed through a country with no commercial logic or no seaport</t>
  </si>
  <si>
    <t xml:space="preserve">The declared route sends cargo through a country that adds distance and cost for no reason, or names a port in a landlocked country that has none. Illogical routing is used to add invoicing layers, break the audit trail, or disguise the true origin of the goods.</t>
  </si>
  <si>
    <t xml:space="preserve">(transit_country_has_seaport_flag == false AND transport_mode == 'Sea') OR (actual_route_distance_nm / direct_route_distance_nm) &gt; 1.60 AND transit_country_code NOT IN recognised_transhipment_hub_list AND shipment_value_inr &gt; 2500000</t>
  </si>
  <si>
    <t xml:space="preserve">Any sea route naming a port in a landlocked country; or an actual route more than 160% of the great-circle distance through a non-hub transit country; value floor INR 25 lakh</t>
  </si>
  <si>
    <t xml:space="preserve">transit_country_code, transit_country_has_seaport_flag, transport_mode, actual_route_distance_nm, direct_route_distance_nm, shipment_value_inr, port_of_discharge_code</t>
  </si>
  <si>
    <t xml:space="preserve">Real container logistics is genuinely indirect, so the distance test must exclude the hub-and-spoke system entirely: almost all Indian cargo to Africa, Latin America and secondary European ports transhipments through Colombo, Singapore, Jebel Ali, Salalah, Port Klang, Tanjung Pelepas or Khor Fakkan, and that is cheaper, not stranger, than a direct sailing. Maintain and apply the hub exclusion list before anything else. Suppress where the detour is explained by an external event — Red Sea diversions around the Cape, canal closures or draught restrictions, port strikes and congestion, war-risk or sanctions avoidance — and where the carrier's published service string simply calls at those ports. Landlocked destinations legitimately name a gateway seaport plus an inland leg (Nepal via Kolkata or Visakhapatnam, Nepal and Bhutan under transit treaties, Central Asia via Bandar Abbas or Chabahar, Ethiopia via Djibouti), so the landlocked test must fire only when the country itself is declared as the port of discharge, not as the final destination. Tighten when the routing coincides with a change of invoicing party or a switch bill of lading at the transit point, when the country of origin declared on arrival differs from the country of loading (a classic origin-laundering signature to dodge anti-dumping duty), or when the transit entity is related to the shipper or consignee.</t>
  </si>
  <si>
    <t xml:space="preserve">Bill of Lading / Airway Bill, Shipping Bill, Bill of Entry</t>
  </si>
  <si>
    <t xml:space="preserve">Vessel AIS Tracking, Customs / ICEGATE Data</t>
  </si>
  <si>
    <t xml:space="preserve">The cargo moved on a normal hub-and-spoke transhipment service, or the named country is a landlocked destination served through a gateway seaport and an inland leg.</t>
  </si>
  <si>
    <t xml:space="preserve">TRD-018 (transhipment cost exceeds the cargo margin), TRD-016 (counterparty in a secrecy jurisdiction), TRD-014 (bill of lading reused or unverifiable)</t>
  </si>
  <si>
    <t xml:space="preserve">FATF TBML typology; WCO origin-fraud typology; FIU-IND red flag</t>
  </si>
  <si>
    <t xml:space="preserve">TRD-018</t>
  </si>
  <si>
    <t xml:space="preserve">Transhipment or re-invoicing cost exceeds the trading margin on the cargo</t>
  </si>
  <si>
    <t xml:space="preserve">The extra handling, storage and documentation cost of the chosen route is larger than the profit the trade can possibly earn. No trader knowingly loses money on freight, so the route is being paid for by something other than the trade margin.</t>
  </si>
  <si>
    <t xml:space="preserve">(transhipment_cost_inr + additional_handling_cost_inr) &gt; (declared_sale_value_inr - declared_purchase_value_inr) AND transhipment_leg_count &gt;= 2 AND declared_sale_value_inr &gt; 2500000</t>
  </si>
  <si>
    <t xml:space="preserve">Route-specific incremental cost exceeding 100% of the gross trading margin on the consignment, with 2 or more transhipment legs; value floor INR 25 lakh</t>
  </si>
  <si>
    <t xml:space="preserve">Point in time, per consignment; aggregated per counterparty over current FY</t>
  </si>
  <si>
    <t xml:space="preserve">transhipment_cost_inr, additional_handling_cost_inr, declared_sale_value_inr, declared_purchase_value_inr, transhipment_leg_count, freight_amount_inr, counterparty_name</t>
  </si>
  <si>
    <t xml:space="preserve">Only computable where both legs of the trade are visible, which in practice means merchanting trade, back-to-back sales, or a group where you can see purchase and sale — otherwise you have no margin to compare against and the rule is unscorable. Even then a negative-margin consignment is often honest: loss-leading to open an account or hold shelf space, clearing dead stock, penalty-avoiding shipments under a take-or-pay contract, currency movement between contracting and shipping, and a genuine commercial mistake all happen. Judge the pattern across a counterparty and a season rather than one box. Suppress where the trader earns outside the goods margin — a commission or agency fee, a financing spread, a rebate or volume bonus from the carrier, a duty drawback or RoDTEP entitlement that changes the economics, or an FTA duty saving at destination that is the whole reason for the route. Suppress for reefer, hazardous and project cargo where handling costs are inherently large, and for emergency air-and-sea combinations to meet a production line stoppage. Tighten when the loss-making structure repeats with the same counterparty, when the extra cost is paid to a connected forwarder, or when the transhipment point is where the invoicing party changes — paying real money to insert a paper middleman is the point of the exercise.</t>
  </si>
  <si>
    <t xml:space="preserve">Packing List / Commercial Invoice, Bill of Lading / Airway Bill, Bank Statement</t>
  </si>
  <si>
    <t xml:space="preserve">AOC-4 / AOC-4 XBRL Financial Statements, Customs / ICEGATE Data</t>
  </si>
  <si>
    <t xml:space="preserve">The trader earns its return from commission, financing spread or a duty entitlement rather than the goods margin, so the shipment margin alone looks negative.</t>
  </si>
  <si>
    <t xml:space="preserve">TRD-015 (freight out of proportion to cargo value), TRD-017 (routing with no commercial logic), TRD-028 (circular trade within the group)</t>
  </si>
  <si>
    <t xml:space="preserve">FATF TBML typology; RBI Master Direction on Merchanting Trade Transactions</t>
  </si>
  <si>
    <t xml:space="preserve">TRD-019</t>
  </si>
  <si>
    <t xml:space="preserve">Related-party pricing</t>
  </si>
  <si>
    <t xml:space="preserve">Import from a related party priced well above comparable third-party imports</t>
  </si>
  <si>
    <t xml:space="preserve">Goods bought from a group or associated company cost materially more than the same goods bought from unrelated suppliers. Overpaying a connected overseas entity moves profit and cash out of India under the cover of a genuine purchase.</t>
  </si>
  <si>
    <t xml:space="preserve">related_party_flag == true AND (related_party_import_unit_price_inr / third_party_comparable_unit_price_inr) &gt;= 1.25 AND related_party_import_value_inr &gt; 10000000 AND form_3ceb_alp_study_on_file == false</t>
  </si>
  <si>
    <t xml:space="preserve">Related-party import unit price at least 25% above comparable uncontrolled imports of the same 8-digit CTH and origin; annual related-party import value floor INR 1 crore; absence of a documented arm's length study escalates</t>
  </si>
  <si>
    <t xml:space="preserve">related_party_flag, related_party_import_unit_price_inr, third_party_comparable_unit_price_inr, related_party_import_value_inr, form_3ceb_alp_study_on_file, cth_code, related_party_purchase_share_percent</t>
  </si>
  <si>
    <t xml:space="preserve">Distinguish transfer mispricing from an ordinary transfer price. A group that files Form 3CEB with a defensible arm's length study, a benchmarked cost-plus or resale-price method and consistent policy across years is doing what the law expects, so suppress or downgrade heavily where the study exists and the method fits the facts; the finding is the undocumented or unexplained premium, or a policy that changes direction the year a tax holiday or loss carry-forward changes. Genuine reasons for a related-party premium include a bundled price covering warranty, technical support, training, software or IP embedded in the goods, guaranteed supply and priority allocation, smaller lot sizes than the third-party comparables, and quality or certification requirements the cheap comparables do not meet — adjust the comparable for these before concluding. Comparability is the hard part: match on CTH, origin, quantity band, Incoterm and period, and reject the test if fewer than three uncontrolled comparables exist. Suppress for SEZ and EOU units whose input pricing sits inside a separately audited regime, and for first-year imports of a new product. Tighten where the related party is in a low-tax or secrecy jurisdiction, where the premium coincides with an Indian loss position, where the related party is a pure invoicing entity with no manufacturing, or where the relationship is not disclosed in AOC-2 at all — an undisclosed related party paid a premium is the strongest form of this finding.</t>
  </si>
  <si>
    <t xml:space="preserve">Bill of Entry, Transfer Pricing Report (Form 3CEB), AOC-2 Related Party Annexure</t>
  </si>
  <si>
    <t xml:space="preserve">Customs / ICEGATE Data, AOC-4 / AOC-4 XBRL Financial Statements</t>
  </si>
  <si>
    <t xml:space="preserve">The intra-group price bundles warranty, technical support and embedded IP that the cheaper third-party comparables do not include, and is benchmarked in a 3CEB study.</t>
  </si>
  <si>
    <t xml:space="preserve">TRD-001 (import price far above the customs reference), TRD-020 (related-party export priced below comparables), TAX-047 (Form 3CEB not filed despite related-party trade)</t>
  </si>
  <si>
    <t xml:space="preserve">Income-tax Act 1961 s.92 to 92F; Customs Valuation (Imported Goods) Rules 2007 r.3(3); FATF TBML typology</t>
  </si>
  <si>
    <t xml:space="preserve">TRD-020</t>
  </si>
  <si>
    <t xml:space="preserve">Export to a related party priced well below comparable third-party exports</t>
  </si>
  <si>
    <t xml:space="preserve">Goods sold to a group or associated company leave India at materially less than the price charged to unrelated buyers. Under-pricing an export strips margin out of the Indian entity and leaves the profit with the overseas affiliate.</t>
  </si>
  <si>
    <t xml:space="preserve">related_party_flag == true AND (related_party_export_unit_price_inr / third_party_comparable_unit_price_inr) &lt;= 0.80 AND related_party_export_value_inr &gt; 10000000 AND form_3ceb_alp_study_on_file == false</t>
  </si>
  <si>
    <t xml:space="preserve">Related-party export unit price at or below 80% of comparable uncontrolled exports of the same heading and destination band; annual related-party export value floor INR 1 crore</t>
  </si>
  <si>
    <t xml:space="preserve">related_party_flag, related_party_export_unit_price_inr, third_party_comparable_unit_price_inr, related_party_export_value_inr, form_3ceb_alp_study_on_file, hs_code_8digit, export_gross_margin_percent</t>
  </si>
  <si>
    <t xml:space="preserve">The mirror of TRD-019 and it needs the same discipline about comparability, but the honest explanations differ. A distributor affiliate legitimately buys at a wholesale price because it carries the marketing, warehousing, credit risk, after-sales and warranty cost in its own market — that is the resale-price method working as intended, so a 20-40% discount to the price charged to a small direct customer can be entirely correct. Adjust comparables for volume, credit terms, Incoterm, packaging and whether the buyer takes title in bulk. Suppress where Form 3CEB and a functional analysis support the margin split, where the affiliate is a limited-risk distributor on a benchmarked return, and where the low price reflects a genuine sell-down of aged or seconds stock. Also suppress for SEZ and EOU supplies priced under a separate scheme. Tighten when the Indian entity's export gross margin on related-party sales is near zero or negative while third-party sales are profitable, when the affiliate sits in a low-tax jurisdiction and resells at a large uplift, when the pricing changes the year the Indian entity's tax position changes, or when the discount coexists with unrealised export proceeds — under-pricing plus non-realisation is capital flight, not transfer pricing. Note the customs angle too: over-valued exports are the drawback and IGST-refund fraud pattern, so run the opposite-direction test on incentive-bearing shipping bills.</t>
  </si>
  <si>
    <t xml:space="preserve">Shipping Bill, Transfer Pricing Report (Form 3CEB), AOC-2 Related Party Annexure</t>
  </si>
  <si>
    <t xml:space="preserve">The related buyer is a distributor that takes bulk title and bears local marketing, credit and warranty costs, so it legitimately buys at a wholesale discount.</t>
  </si>
  <si>
    <t xml:space="preserve">TRD-019 (related-party import priced above comparables), TRD-021 (export proceeds not realised in the FEMA period), TRD-028 (circular trade within the group)</t>
  </si>
  <si>
    <t xml:space="preserve">Income-tax Act 1961 s.92 to 92F; Customs Valuation (Export Goods) Rules 2007; FATF TBML typology</t>
  </si>
  <si>
    <t xml:space="preserve">TRD-021</t>
  </si>
  <si>
    <t xml:space="preserve">Realisation and FEMA</t>
  </si>
  <si>
    <t xml:space="preserve">Export proceeds not realised within the FEMA period and outstanding in EDPMS</t>
  </si>
  <si>
    <t xml:space="preserve">Shipping bills sit unmatched in EDPMS (the RBI system that tracks every export against the money received) beyond the permitted realisation period. Goods that left India but were never paid for suggest the export existed to move value, not to earn it.</t>
  </si>
  <si>
    <t xml:space="preserve">edpms_outstanding_shipping_bill_count &gt;= 3 AND days_since_export_date &gt; 270 AND (edpms_outstanding_value_inr / annual_export_value_inr) &gt; 0.25 AND rbi_extension_or_writeoff_approval_flag == false</t>
  </si>
  <si>
    <t xml:space="preserve">3 or more shipping bills unrealised beyond 9 months (270 days) from the date of export, together exceeding 25% of annual export value, with no AD-bank extension or approved write-off on record</t>
  </si>
  <si>
    <t xml:space="preserve">edpms_outstanding_shipping_bill_count, edpms_outstanding_value_inr, days_since_export_date, annual_export_value_inr, rbi_extension_or_writeoff_approval_flag, buyer_name, export_destination_country_code</t>
  </si>
  <si>
    <t xml:space="preserve">EDPMS is noisy and a large share of what sits outstanding is a reconciliation failure rather than a non-payment: proceeds received but not linked to the shipping bill because the remittance reference was wrong, part-realisations, the export having moved to a different authorised dealer bank without the entry being closed, netting under a running account, and mismatch between the shipping bill value and the finally invoiced value after a quality claim. Always try to match the money before treating the entry as unrealised, and suppress where the bank has closed the entry late. The permitted period itself varies — the ordinary limit is nine months from the date of export, units in special economic zones, status holders and warehouse-abroad arrangements have their own timelines, and the RBI has extended the period during disruptions — so read the timeline from the applicable master direction and the entity type rather than hard-coding 270 days for everyone. Genuine commercial reasons abound: buyer insolvency, a documented quality dispute, sanctions or currency controls in the destination blocking payment, and long-credit capital goods or project exports where the contract itself allows 12 to 24 months. Suppress where an ECGC claim has been lodged or a write-off has been permitted within the allowed limits. Tighten when the outstanding bills all point at one buyer, when the buyer is related or in a secrecy jurisdiction, when the exporter keeps shipping to a buyer who has never paid, or when the same exporter has claimed drawback or an IGST refund on those very shipping bills — incentive taken on an unpaid export is the strong case.</t>
  </si>
  <si>
    <t xml:space="preserve">Shipping Bill, Customs / ICEGATE Data, Bank Statement</t>
  </si>
  <si>
    <t xml:space="preserve">SWIFT / Wire Messages, AOC-4 / AOC-4 XBRL Financial Statements, Auditor Report</t>
  </si>
  <si>
    <t xml:space="preserve">The money was received but never matched to the shipping bill in EDPMS because of a reference mismatch or a change of authorised dealer bank.</t>
  </si>
  <si>
    <t xml:space="preserve">TRD-013 (vessel not at the declared port), TRD-025 (export incentive disproportionate to the profile), FIN-061 (export receivables aged beyond a year with no provision)</t>
  </si>
  <si>
    <t xml:space="preserve">FEMA 1999 s.7; RBI Master Direction – Export of Goods and Services; EDPMS</t>
  </si>
  <si>
    <t xml:space="preserve">TRD-022</t>
  </si>
  <si>
    <t xml:space="preserve">Advance import remittance with no matching bill of entry in IDPMS</t>
  </si>
  <si>
    <t xml:space="preserve">Money was sent abroad as an advance for imports but no bill of entry ever appears in IDPMS (the RBI system that matches import payments to goods actually cleared). Paying for goods that never arrive is a direct outward transfer of value dressed as trade.</t>
  </si>
  <si>
    <t xml:space="preserve">advance_import_remittance_value_inr &gt; 2500000 AND days_since_remittance &gt; 180 AND idpms_matched_bill_of_entry_count == 0 AND remittance_refund_received_flag == false</t>
  </si>
  <si>
    <t xml:space="preserve">Advance remittance above INR 25 lakh with no bill of entry matched in IDPMS beyond 180 days from remittance and no refund of the advance; note advances above USD 200,000 ordinarily need a bank guarantee or standby letter of credit</t>
  </si>
  <si>
    <t xml:space="preserve">advance_import_remittance_value_inr, days_since_remittance, idpms_matched_bill_of_entry_count, remittance_refund_received_flag, bank_guarantee_on_file_flag, supplier_name, supplier_country_code</t>
  </si>
  <si>
    <t xml:space="preserve">The evidence-of-import obligation is what makes this hard rather than soft: an importer must produce the bill of entry (or other prescribed evidence) within six months of the remittance, so a stale unmatched advance is a FEMA contravention on its face, not merely an oddity. Before escalating, exclude the common matching failures — imports through a courier or post where the document type differs, high-seas sales where the bill of entry is filed by the ultimate buyer and not the remitter, goods still in a bonded warehouse where the home-consumption bill of entry has not yet been filed, imports of services or software with no physical entry at all, and entries filed at a port not linked to the remitter's AD code. Long-lead capital goods and project imports legitimately run 12 to 24 months between advance and shipment, so read the contract before applying the 180-day test, and suppress where a bank guarantee or standby credit covers the advance as the framework requires. Suppress too where the advance was refunded or set off against a later consignment. Tighten to immediate escalation when several advances to the same supplier are all unmatched, when the supplier is newly incorporated or in a secrecy jurisdiction, when the remitter is a recent IEC holder, or when the aggregate unmatched advance is large relative to turnover — that pattern is the standard shell-importer outward-remittance route and belongs with the bank's AD compliance team as well as the investigator.</t>
  </si>
  <si>
    <t xml:space="preserve">Customs / ICEGATE Data, Loan Sanction / Facility Letter, Packing List / Commercial Invoice</t>
  </si>
  <si>
    <t xml:space="preserve">The advance funds long-lead capital goods still under manufacture, or the goods lie in a bonded warehouse so the home-consumption bill of entry is not yet filed.</t>
  </si>
  <si>
    <t xml:space="preserve">TRD-023 (recent IEC used immediately for high-value trade), TRD-016 (supplier in a secrecy jurisdiction), BNK-045 (large outward remittances soon after account opening)</t>
  </si>
  <si>
    <t xml:space="preserve">FEMA 1999; RBI Master Direction – Import of Goods and Services; IDPMS</t>
  </si>
  <si>
    <t xml:space="preserve">TRD-023</t>
  </si>
  <si>
    <t xml:space="preserve">IEC lifecycle</t>
  </si>
  <si>
    <t xml:space="preserve">Recently issued IEC used immediately for high-value trade</t>
  </si>
  <si>
    <t xml:space="preserve">An Importer Exporter Code (the DGFT registration required to trade across India's borders) issued only weeks earlier is already carrying crore-scale consignments. Genuine trade builds up; a code that goes from zero to full volume was obtained for a specific set of transactions.</t>
  </si>
  <si>
    <t xml:space="preserve">days_between_iec_issue_and_first_shipment &lt; 45 AND cumulative_trade_value_first_90_days_inr &gt; 20000000 AND (cumulative_trade_value_first_90_days_inr / paid_up_capital_inr) &gt; 20 AND distinct_counterparty_count &lt; 3</t>
  </si>
  <si>
    <t xml:space="preserve">First shipment within 45 days of IEC issue, more than INR 2 crore of trade in the first 90 days, trade value more than 20x paid-up capital, and fewer than 3 counterparties</t>
  </si>
  <si>
    <t xml:space="preserve">First 90 days from IEC issue date</t>
  </si>
  <si>
    <t xml:space="preserve">iec_issue_date, days_between_iec_issue_and_first_shipment, cumulative_trade_value_first_90_days_inr, paid_up_capital_inr, distinct_counterparty_count, entity_incorporation_date, hs_chapter</t>
  </si>
  <si>
    <t xml:space="preserve">Speed alone is not wrong. An established domestic manufacturer or distributor that decides to start importing will take an IEC and ship immediately at full scale because the business already exists, so always read the IEC's age against the entity's age, turnover history and existing GST footprint — the finding is a new IEC on a new or dormant entity with no prior trading record, not a new IEC on a fifteen-year-old company. Suppress where the entity has multi-year GST turnover in related goods, where the IEC replaces an earlier one after a PAN or constitution change (mergers, conversion from partnership to company, proprietor to LLP), where an existing group company is simply re-papering its trade, and where the shipments are backed by a confirmed letter of credit or an established buyer. Working capital funded by a sanctioned bank limit rather than paid-up capital is normal, so use the capital ratio only as a supporting leg and prefer a comparison against sanctioned limits where available. Tighten when the high-risk-commodity chapters are involved, when the counterparty concentration is total, when the registered address or directors overlap with previously flagged IECs, when the trade stops as abruptly as it started, or when the same professional or broker filed a cluster of IEC applications in the same weeks. The abrupt burn-and-abandon shape — heavy trade for one quarter then silence — is the real signature.</t>
  </si>
  <si>
    <t xml:space="preserve">DGFT IEC Data, Customs / ICEGATE Data, MCA Company Master Data</t>
  </si>
  <si>
    <t xml:space="preserve">GSTR-1, AOC-4 / AOC-4 XBRL Financial Statements, Bank Statement</t>
  </si>
  <si>
    <t xml:space="preserve">An established domestic business with years of GST turnover has just started importing and therefore trades at full scale from its very first consignment.</t>
  </si>
  <si>
    <t xml:space="preserve">TRD-024 (IEC cancelled, suspended or in the DGFT denied entity list), TRD-012 (high-risk commodity with no operating substance), CMP-009 (entity incorporated shortly before the transactions)</t>
  </si>
  <si>
    <t xml:space="preserve">Foreign Trade (Development and Regulation) Act 1992; DGFT IEC framework; FIU-IND red flag</t>
  </si>
  <si>
    <t xml:space="preserve">TRD-024</t>
  </si>
  <si>
    <t xml:space="preserve">IEC cancelled, suspended, de-activated or listed in the DGFT denied entity list</t>
  </si>
  <si>
    <t xml:space="preserve">The entity's Importer Exporter Code has been suspended or cancelled by DGFT, is de-activated for non-updation, or the entity or its directors appear on the denied entity list. DGFT action is a regulator's finding that the trader has already failed its obligations.</t>
  </si>
  <si>
    <t xml:space="preserve">iec_status IN ('Cancelled','Suspended','De-activated') OR denied_entity_list_flag == true OR director_din IN denied_entity_list_directors AND trade_activity_after_status_date_flag == true</t>
  </si>
  <si>
    <t xml:space="preserve">N/A — categorical; any adverse DGFT status. Escalate where trade or incentive claims continue after the status date, or where a director sits on the denied entity list of another firm</t>
  </si>
  <si>
    <t xml:space="preserve">Point in time, with 5 FY history of status changes</t>
  </si>
  <si>
    <t xml:space="preserve">iec_number, iec_status, iec_status_change_date, denied_entity_list_flag, director_din, trade_activity_after_status_date_flag, iec_annual_updation_status</t>
  </si>
  <si>
    <t xml:space="preserve">Separate the administrative from the punitive, because they are not the same finding. Since annual updation of the IEC became mandatory, a very large number of entirely honest small exporters have been de-activated purely for not confirming their details, and they are re-activated the moment they file — treat de-activation for non-updation as Low or suppress it, and reserve severity for suspension or cancellation under the FTDR Act, which follows a show-cause and an actual default such as non-fulfilment of export obligation, misuse of an authorisation or a customs offence. Check the reason code, not just the status. Suppress where the status was later revoked, where the action was against a different branch or an old IEC superseded by a PAN-based one, and where the entity has an appeal or a settled matter on record. Name matching against the denied entity list needs care: match on IEC and PAN, and on DIN for directors, never on name alone, because Indian trading names collide constantly. The director leg is the most valuable extension — a person who took a firm onto the denied entity list and now runs a new IEC is the phoenix pattern, and that link should be scored even when the current entity is clean. Tighten to the maximum where trade, drawback or RoDTEP claims continue after a suspension date, which is a live contravention rather than a legacy record.</t>
  </si>
  <si>
    <t xml:space="preserve">DGFT IEC Data, Customs / ICEGATE Data, DIN Master Data</t>
  </si>
  <si>
    <t xml:space="preserve">MCA Company Master Data, Litigation Database, Adverse Media / News Archive</t>
  </si>
  <si>
    <t xml:space="preserve">The IEC was merely de-activated for missing the mandatory annual updation and is restored as soon as the trader files the confirmation.</t>
  </si>
  <si>
    <t xml:space="preserve">TRD-023 (recent IEC used immediately for high-value trade), TRD-025 (export incentive disproportionate to the profile), OWN-027 (director previously associated with a struck-off or defaulting entity)</t>
  </si>
  <si>
    <t xml:space="preserve">Foreign Trade (Development and Regulation) Act 1992 s.8 and 9(4); DGFT Denied Entity List</t>
  </si>
  <si>
    <t xml:space="preserve">TRD-025</t>
  </si>
  <si>
    <t xml:space="preserve">Incentive abuse</t>
  </si>
  <si>
    <t xml:space="preserve">Drawback, RoDTEP or IGST refund claimed out of proportion to the export profile</t>
  </si>
  <si>
    <t xml:space="preserve">Export incentive claimed is large relative to the entity's export value, its tax paid on inputs, or what peers on the same goods receive. Inflating or fabricating exports to harvest refunds is a way to convert fictitious trade into real cash from the exchequer.</t>
  </si>
  <si>
    <t xml:space="preserve">(incentive_claimed_total_inr / fob_export_value_inr) &gt; (peer_incentive_rate_percent * 1.50) AND incentive_claimed_total_inr &gt; 2500000 AND (input_tax_credit_availed_inr / incentive_claimed_total_inr) &lt; 0.50</t>
  </si>
  <si>
    <t xml:space="preserve">Effective incentive rate more than 150% of the peer rate for the same schemes and headings; claim floor INR 25 lakh; supporting leg where input tax credit is under half the refund claimed</t>
  </si>
  <si>
    <t xml:space="preserve">incentive_claimed_total_inr, fob_export_value_inr, peer_incentive_rate_percent, input_tax_credit_availed_inr, drawback_scheme_code, rodtep_rate_percent, hs_code_8digit</t>
  </si>
  <si>
    <t xml:space="preserve">Rates are published and heading-specific, so build the peer benchmark from the entity's own shipping bill mix rather than a blended average, or a legitimate exporter of a high-rate item will look like an outlier every month. Recompute whenever the schedules change; scheme migrations (MEIS ending, RoDTEP starting, drawback caps revised) create step changes that are not behaviour changes. Legitimate reasons for a high effective rate include a shift in product mix toward high-rate headings, a genuine claim under the higher all-industry rate where the exporter has not taken input credit, brand-rate fixation, and a bunching effect when several quarters of refunds are sanctioned in one period. Suppress for SEZ and EOU units, advance-authorisation and EPCG holders whose entitlements work differently, and for merchant exporters claiming on behalf of a supporting manufacturer. The strongest composite is inflation of the export value itself: over-valued shipping bills, an incentive rate that is fine but a base that is not. So pair this with the export-valuation test rather than reading the ratio alone, and treat the low input-credit leg as the key tell — real exports leave a trail of taxed inputs, fabricated ones do not. Tighten hard where the exporter appears on a customs risky-exporter alert, where the supplier chain shows non-existent or cancelled GST registrations, or where the underlying export proceeds were never realised.</t>
  </si>
  <si>
    <t xml:space="preserve">GSTR-3B, GSTR-9 / 9C Annual Return, Bank Statement</t>
  </si>
  <si>
    <t xml:space="preserve">The exporter's product mix genuinely sits in high-rate tariff headings, or several quarters of sanctioned refunds landed in a single period.</t>
  </si>
  <si>
    <t xml:space="preserve">TRD-021 (export proceeds never realised), TRD-004 (tariff heading inconsistent with the goods), TAX-063 (input credit claimed from suppliers with cancelled registrations)</t>
  </si>
  <si>
    <t xml:space="preserve">Customs Act 1962 s.75; Drawback Rules 2017; RoDTEP scheme; CBIC risky exporter circular 131/1/2020-GST</t>
  </si>
  <si>
    <t xml:space="preserve">TRD-026</t>
  </si>
  <si>
    <t xml:space="preserve">Books reconciliation</t>
  </si>
  <si>
    <t xml:space="preserve">Imports cleared at customs with no matching GST credit or inventory entry in the books</t>
  </si>
  <si>
    <t xml:space="preserve">Bills of entry show goods imported, but the integrated GST paid on them was never claimed as credit and no matching purchase or stock appears in the accounts. Goods that clear customs and then vanish from the records were never really received by the entity that imported them.</t>
  </si>
  <si>
    <t xml:space="preserve">(bill_of_entry_value_annual_inr - purchases_imported_in_books_inr) / bill_of_entry_value_annual_inr &gt; 0.30 AND (igst_paid_on_imports_inr - igst_credit_availed_on_imports_inr) / igst_paid_on_imports_inr &gt; 0.30 AND bill_of_entry_value_annual_inr &gt; 10000000</t>
  </si>
  <si>
    <t xml:space="preserve">More than 30% of import value unmatched between ICEGATE bills of entry and imported purchases in the books, and more than 30% of import IGST paid but never taken as credit in GSTR-2B/3B; import value floor INR 1 crore</t>
  </si>
  <si>
    <t xml:space="preserve">Current FY, reconciled at year end</t>
  </si>
  <si>
    <t xml:space="preserve">bill_of_entry_value_annual_inr, purchases_imported_in_books_inr, igst_paid_on_imports_inr, igst_credit_availed_on_imports_inr, closing_inventory_inr, iec_number, gstin</t>
  </si>
  <si>
    <t xml:space="preserve">Almost all of the gap in a first pass is timing and mapping, not fraud, so reconcile at year end and with a tolerance rather than monthly. Legitimate causes of a genuine mismatch: goods in transit or lying in a bonded warehouse at the cut-off, imports capitalised as fixed assets or expensed as spares rather than sitting in purchases, IGST paid on a heading where credit is blocked or the entity is in an exempt or composition-like position, imports under advance authorisation or EPCG where the duty is exempt so there is no credit to take, SEZ and EOU units whose imports do not flow through the ordinary GST credit ledger at all, high-seas sales where the importer of record is not the buyer, and a currency or valuation difference between the customs assessable value and the book cost. Match on IEC-to-GSTIN mapping carefully, since one PAN can hold several GST registrations across states and the imports may sit in a different one. Re-imports of rejected exports, samples and warranty replacements also break the match. Tighten when the unmatched imports concentrate on one supplier, when there is no corresponding sale or stock movement in e-way bills either, when the entity's turnover cannot support the import volume, or when the same importer's name is being used as the importer of record for goods that physically go elsewhere — an IEC lent out for a fee is exactly what this reconciliation exposes.</t>
  </si>
  <si>
    <t xml:space="preserve">Bill of Entry, GSTR-2A / 2B, AOC-4 / AOC-4 XBRL Financial Statements</t>
  </si>
  <si>
    <t xml:space="preserve">GSTR-3B, GSTR-9 / 9C Annual Return, Tax Audit Report (Form 3CD), E-Way Bill Data</t>
  </si>
  <si>
    <t xml:space="preserve">Goods were still in transit or bonded at year end, or the imports were capitalised as assets or made under a duty-exempt authorisation, so they never appear as credited purchases.</t>
  </si>
  <si>
    <t xml:space="preserve">TRD-012 (high-risk commodity with no operating substance), TRD-022 (advance remittance with no bill of entry), FIN-038 (closing inventory inconsistent with purchases and sales)</t>
  </si>
  <si>
    <t xml:space="preserve">CGST Act 2017 s.16 and 17; Customs Act 1962 s.46; CARO 2020 clause 3(ii)</t>
  </si>
  <si>
    <t xml:space="preserve">TRD-027</t>
  </si>
  <si>
    <t xml:space="preserve">Counterparty concentration</t>
  </si>
  <si>
    <t xml:space="preserve">A single overseas counterparty accounts for nearly all cross-border trade</t>
  </si>
  <si>
    <t xml:space="preserve">One foreign buyer or supplier represents almost the entire import or export book, year after year. A real trading business acquires customers; a conduit has only the one relationship it was created to serve.</t>
  </si>
  <si>
    <t xml:space="preserve">(largest_counterparty_trade_value_inr / total_trade_value_inr) &gt; 0.85 AND distinct_overseas_counterparty_count &lt;= 2 AND total_trade_value_inr &gt; 20000000 AND counterparty_concentration_persisted_years &gt;= 2</t>
  </si>
  <si>
    <t xml:space="preserve">Top counterparty above 85% of total cross-border trade value, 2 or fewer counterparties in all, trade floor INR 2 crore, persisting for 2 or more years</t>
  </si>
  <si>
    <t xml:space="preserve">largest_counterparty_trade_value_inr, total_trade_value_inr, distinct_overseas_counterparty_count, counterparty_concentration_persisted_years, largest_counterparty_name, largest_counterparty_country_code</t>
  </si>
  <si>
    <t xml:space="preserve">Concentration is normal in large parts of honest Indian trade and this rule should never stand alone. A contract manufacturer or job worker exports only to its principal; an Indian subsidiary buys only from its parent; an exclusive distributor imports only from the brand owner; an EOU may be tied to a single offtaker by design; and a small firm with one big anchor customer is the ordinary shape of an SME. Suppress where the relationship is disclosed as related-party in AOC-2 or Form 3CEB, where a long-term supply or distribution agreement is on file, or where the entity's own name and website describe a single-principal model. What converts concentration into a finding is the absence of an explanation plus a second anomaly: the counterparty is newly incorporated, in a secrecy jurisdiction, shares an address or director with the Indian entity, pays through a third party, or the trade began and ended abruptly. Also test the shape of the concentration rather than only its level — a counterparty whose share jumps from nothing to everything in one year, or whose share is exactly matched by a mirror concentration on the other side of the book (one supplier in, one buyer out, thin margin between them), is far more interesting than a stable decade-long relationship. Relax the threshold for entities under three years old, where a single first customer is expected.</t>
  </si>
  <si>
    <t xml:space="preserve">Customs / ICEGATE Data, Shipping Bill, Bill of Entry</t>
  </si>
  <si>
    <t xml:space="preserve">AOC-2 Related Party Annexure, AOC-4 / AOC-4 XBRL Financial Statements, Bank Statement</t>
  </si>
  <si>
    <t xml:space="preserve">The entity is a contract manufacturer, exclusive distributor or captive subsidiary whose entire trade is with its single principal by contractual design.</t>
  </si>
  <si>
    <t xml:space="preserve">TRD-016 (counterparty in a secrecy jurisdiction), TRD-012 (high-risk commodity with no operating substance), TRD-010 (trade documents issued by connected parties)</t>
  </si>
  <si>
    <t xml:space="preserve">FATF TBML typology; FIU-IND red flag; Ind AS 108 segment concentration disclosure</t>
  </si>
  <si>
    <t xml:space="preserve">TRD-028</t>
  </si>
  <si>
    <t xml:space="preserve">Circular trade</t>
  </si>
  <si>
    <t xml:space="preserve">Goods exported and re-imported back to the origin entity or its group (circular trade)</t>
  </si>
  <si>
    <t xml:space="preserve">The same or equivalent goods leave India and come back to the exporter or a group company, sometimes several times. Nothing is consumed and no value is added; the loop exists to create turnover, claim incentives or move money in the settlement legs.</t>
  </si>
  <si>
    <t xml:space="preserve">circular_trade_loop_detected == true AND loop_entity_common_control_flag == true AND (goods_returned_value_inr / goods_exported_value_inr) BETWEEN 0.80 AND 1.30 AND days_between_export_and_reimport &lt; 270 AND hs_code_match_flag == true</t>
  </si>
  <si>
    <t xml:space="preserve">A closed loop of 2 or more hops returning the same 8-digit heading to the origin entity or a commonly controlled entity within 270 days, at 80-130% of the outbound value</t>
  </si>
  <si>
    <t xml:space="preserve">circular_trade_loop_detected, loop_entity_common_control_flag, goods_exported_value_inr, goods_returned_value_inr, days_between_export_and_reimport, hs_code_match_flag, loop_hop_count</t>
  </si>
  <si>
    <t xml:space="preserve">Build this as a directed graph over IEC-level trade with edges keyed on heading, quantity and time, and treat only closed loops as findings — a chain that ends somewhere else is ordinary trade. Several perfectly legal patterns produce loops and must be excluded before anything is escalated: re-import of rejected or unsold exports under the standard re-import concessions, goods sent abroad for repair, testing, calibration or certification and returned, job work and processing abroad where value is genuinely added (the returning value should then be materially higher, which is why the value-band test matters), exhibition and demonstration goods moving on carnet, warranty replacements and returns, leased or hired equipment, and containers and packaging returning empty. Quantity and heading must both match for the loop to be meaningful; if the returning goods are a processed derivative under a different heading, it is manufacturing, not circularity. Suppress where the outbound and inbound legs are covered by a documented repair or job-work contract with matching values. Tighten to the maximum when the loop repeats, when the loop entities share directors, addresses or bank accounts, when incentives were claimed on the outbound leg while duty concessions were claimed on the return, or when each hop adds a small mark-up — a rising value around a closed circle with no processing is turnover fabrication or a value-transfer engine, and is one of the clearest TBML signatures in the set.</t>
  </si>
  <si>
    <t xml:space="preserve">Shipping Bill, Bill of Entry, Derived — cross-entity graph</t>
  </si>
  <si>
    <t xml:space="preserve">Customs / ICEGATE Data, AOC-2 Related Party Annexure, E-Way Bill Data</t>
  </si>
  <si>
    <t xml:space="preserve">The goods were re-imported because the overseas buyer rejected them, or they went abroad for repair, testing or certification and came back under the ordinary re-import concessions.</t>
  </si>
  <si>
    <t xml:space="preserve">TRD-010 (trade documents issued by connected parties), TRD-025 (export incentive disproportionate to the profile), FIN-055 (revenue growth with no matching cash generation)</t>
  </si>
  <si>
    <t xml:space="preserve">FATF TBML typology; Customs Notification 45/2017-Cus re-import; SEBI circular trading typology</t>
  </si>
  <si>
    <t xml:space="preserve">DIG-001</t>
  </si>
  <si>
    <t xml:space="preserve">Document &amp; Digital Forensics</t>
  </si>
  <si>
    <t xml:space="preserve">Metadata authorship</t>
  </si>
  <si>
    <t xml:space="preserve">Independent counterparties' files share one metadata author, company or licence</t>
  </si>
  <si>
    <t xml:space="preserve">Document metadata (the hidden Author, Company and Producer fields stored inside a PDF or Office file) is identical across invoices, agreements or confirmations issued by parties that claim to be unrelated. It means one person typed both sides of the deal.</t>
  </si>
  <si>
    <t xml:space="preserve">count_distinct_counterparties_sharing_metadata_author &gt;= 3 AND metadata_author_is_generic_value == false AND parties_declared_independent == true AND shared_preparer_is_disclosed_common_professional == false</t>
  </si>
  <si>
    <t xml:space="preserve">3 or more nominally unrelated counterparties sharing an identical non-generic Author or Company string; drop to 2 counterparties when the Producer licence serial or Office registered-owner GUID also matches</t>
  </si>
  <si>
    <t xml:space="preserve">Point in time (across all documents held on file)</t>
  </si>
  <si>
    <t xml:space="preserve">doc_metadata_author, doc_metadata_company, doc_metadata_producer_licence_id, count_distinct_counterparties_sharing_metadata_author, metadata_author_is_generic_value, parties_declared_independent, shared_preparer_is_disclosed_common_professional</t>
  </si>
  <si>
    <t xml:space="preserve">The entire rule turns on excluding generic strings and on the independence claim. Blank authors, 'user', 'admin', 'HP', 'Microsoft Word', 'Tally Prime', 'Zoho Invoice', 'Adobe Acrobat', the PC seller's default owner name and the cyber-cafe operator's name carry no information, so maintain a stoplist and require the shared value to be an identifying string (a personal name, a firm name or a licence serial). Suppress outright where the parties openly share a chartered accountant, company secretary or outsourced back office, because one CA firm legitimately prepares invoices, ledgers and confirmations for hundreds of unconnected clients from one machine; the same applies to group shared-services teams and to a franchisor that issues invoice stationery to franchisees. The rule is only meaningful where the parties are asserted to be arm's-length counterparties in a transaction under examination. Tighten to a single matching pair when the shared author also appears on the bank mandate, when the licence serial is a pirated key reused across the whole cluster, or when the counterparties are also the entity's top ITC suppliers. Beware metadata inherited from a template file: if one party sent a Word template to the other, Author survives the copy, so check whether the Create date and last-modified-by also match before escalating.</t>
  </si>
  <si>
    <t xml:space="preserve">Document Metadata (PDF / Office), Packing List / Commercial Invoice, Derived — cross-entity graph</t>
  </si>
  <si>
    <t xml:space="preserve">Loan Sanction / Facility Letter, Bank Account Opening / KYC File</t>
  </si>
  <si>
    <t xml:space="preserve">Both firms use the same chartered accountant or outsourced accounting service, which prepares and exports documents for all its clients from one licensed installation.</t>
  </si>
  <si>
    <t xml:space="preserve">DIG-007 (same scanned signature image across parties), OWN-012 (common directors or shareholders across the counterparties), BNK-018 (circular fund flow between the same parties)</t>
  </si>
  <si>
    <t xml:space="preserve">FATF TBML typology — documentary fraud; ICAI Forensic Accounting &amp; Investigation Standards, digital evidence</t>
  </si>
  <si>
    <t xml:space="preserve">DIG-002</t>
  </si>
  <si>
    <t xml:space="preserve">Creation timestamp</t>
  </si>
  <si>
    <t xml:space="preserve">Document creation timestamp precedes the transaction or event it records</t>
  </si>
  <si>
    <t xml:space="preserve">The file's internal creation date (set by the software when the file was first written) is earlier than the date printed on the document or the date of the underlying event. A genuine invoice cannot be authored before the supply it bills, so the paper was manufactured to a script.</t>
  </si>
  <si>
    <t xml:space="preserve">doc_metadata_creation_datetime &lt; printed_document_date - creation_lead_tolerance_days OR doc_metadata_creation_datetime &lt; underlying_event_datetime</t>
  </si>
  <si>
    <t xml:space="preserve">Creation earlier than the printed document date by more than 2 days, or earlier than the e-way bill / delivery / board meeting timestamp at all; tolerance 0 days for signed minutes and receipts</t>
  </si>
  <si>
    <t xml:space="preserve">Point in time per document</t>
  </si>
  <si>
    <t xml:space="preserve">doc_metadata_creation_datetime, printed_document_date, underlying_event_datetime, document_class, creation_lead_tolerance_days, timezone_offset_recorded</t>
  </si>
  <si>
    <t xml:space="preserve">Innocent lead time is real and must be tolerated: proforma invoices, purchase orders, draft agreements and pre-dated rent deeds are legitimately drafted days ahead, and a recurring invoice generated by a billing system on the 28th for a month-end date is normal, so set the tolerance by document class rather than globally. Correct for timezone: many Indian PDFs are stamped UTC while the printed date is IST, which manufactures a spurious half-day gap around midnight — normalise both to IST before comparing. Suppress where the file is a template or a system-generated recurring document, and where the creation date belongs to the template the document was saved from rather than to the document itself (check whether the content stream was rewritten). The forensically strong version is a document dated in a past financial year but created after that year closed, or minutes of a board meeting created before the notice was issued; both point to backdating. Tighten wherever the document is being used to claim input tax credit, to support a loan disbursal condition or to evidence a related-party approval under s.188.</t>
  </si>
  <si>
    <t xml:space="preserve">Document Metadata (PDF / Office), Packing List / Commercial Invoice, E-Way Bill Data</t>
  </si>
  <si>
    <t xml:space="preserve">MGT-14 Resolutions, Board Report</t>
  </si>
  <si>
    <t xml:space="preserve">The document was drafted in advance as a proforma or template and only dated when the supply actually happened, or the metadata clock is in UTC while the printed date is IST.</t>
  </si>
  <si>
    <t xml:space="preserve">DIG-003 (batch creation of many documents in one sitting), DIG-015 (dated months apart but uploaded together), TAX-022 (ITC claimed on invoices with no matching e-way bill)</t>
  </si>
  <si>
    <t xml:space="preserve">CGST Act s.132(1)(b) fake invoicing; FATF TBML typology</t>
  </si>
  <si>
    <t xml:space="preserve">DIG-003</t>
  </si>
  <si>
    <t xml:space="preserve">Documents dated across months were all created in one short authoring session</t>
  </si>
  <si>
    <t xml:space="preserve">Dozens of invoices, ledgers or confirmations that are dated across a year all carry creation timestamps inside the same hour or day. Real paperwork accretes as business happens; a single authoring session means the year's records were reconstructed after the fact.</t>
  </si>
  <si>
    <t xml:space="preserve">documents_in_creation_burst &gt;= 10 AND creation_burst_window_hours &lt;= 24 AND printed_date_span_days &gt;= 90 AND documents_are_system_generated_batch == false</t>
  </si>
  <si>
    <t xml:space="preserve">10 or more documents created within a 24-hour window while their printed dates span 90 days or more; escalate at 25 documents or a 2-hour window</t>
  </si>
  <si>
    <t xml:space="preserve">Rolling 12 months of document creation timestamps</t>
  </si>
  <si>
    <t xml:space="preserve">doc_metadata_creation_datetime, printed_document_date, documents_in_creation_burst, creation_burst_window_hours, printed_date_span_days, documents_are_system_generated_batch</t>
  </si>
  <si>
    <t xml:space="preserve">Bursts have very common innocent causes, so classify the burst before scoring it. A bulk export or re-print from Tally, Busy, Zoho or an ERP stamps every PDF with today's creation time even though the underlying entries are old — detect this by a constant Producer string, identical creation-to-modification gap and machine-regular second-level spacing, and suppress it. The same applies to a scanning drive for a bank sanction, a due-diligence data room, a GST or income-tax notice response, and to migration after a system change; all legitimately produce hundreds of files in one afternoon. What survives suppression is a burst of documents that are individually authored (varying producers, hand-set fields, irregular spacing) and that purport to be contemporaneous originals — that is fabrication, not re-printing. Tighten when the burst falls immediately before a loan application, an inspection date, a search or a statutory deadline, and when the burst covers a period that is already under dispute. Relax for first-year entities regularising records once, and for firms that genuinely maintain manual books and digitise annually.</t>
  </si>
  <si>
    <t xml:space="preserve">Document Metadata (PDF / Office), Packing List / Commercial Invoice, Bank Statement</t>
  </si>
  <si>
    <t xml:space="preserve">The whole file set was bulk-exported or re-printed from accounting software on one day to answer a bank or tax request, which resets every creation timestamp.</t>
  </si>
  <si>
    <t xml:space="preserve">DIG-002 (created before the event recorded), DIG-015 (submitted within minutes of each other), DIG-011 (numeric fields show font substitution)</t>
  </si>
  <si>
    <t xml:space="preserve">FIU-IND red flag; ICAI Forensic Accounting &amp; Investigation Standards, digital evidence</t>
  </si>
  <si>
    <t xml:space="preserve">DIG-004</t>
  </si>
  <si>
    <t xml:space="preserve">Metadata integrity</t>
  </si>
  <si>
    <t xml:space="preserve">Document modification date precedes its creation date</t>
  </si>
  <si>
    <t xml:space="preserve">A file cannot be edited before it exists, so a ModDate earlier than the CreationDate, or an XMP history that runs backwards, means the timestamps were hand-edited or the system clock was rolled back. It is direct evidence of tampering with the file rather than with its content.</t>
  </si>
  <si>
    <t xml:space="preserve">doc_metadata_modification_datetime &lt; doc_metadata_creation_datetime - clock_skew_tolerance_minutes OR xmp_history_sequence_out_of_order == true OR doc_metadata_creation_datetime &gt; file_received_datetime</t>
  </si>
  <si>
    <t xml:space="preserve">Modification earlier than creation by more than 5 minutes of clock skew; any out-of-order XMP history event; creation later than the date the file was received by us</t>
  </si>
  <si>
    <t xml:space="preserve">doc_metadata_creation_datetime, doc_metadata_modification_datetime, xmp_history_sequence_out_of_order, file_received_datetime, clock_skew_tolerance_minutes, doc_metadata_producer</t>
  </si>
  <si>
    <t xml:space="preserve">Several tool chains produce this benignly and must be carved out first. PDF assemblers, ghostscript pipelines, some scanner firmware and several e-signature gateways copy the source document's CreationDate into the output while stamping ModDate from a different clock, and files moved across systems with wrong timezones or unset RTCs show minute-to-hour skews — allow a small tolerance and suppress when the Producer belongs to a known re-writer. Documents that carry no XMP and only a copied Info dictionary are weak evidence; require either a large inversion (days or months, not minutes) or a corroborating structural signal. The strongest form is a creation date in the future relative to when we received the file, or an inversion of exactly the size needed to make the document fall inside a claimed financial year. Tighten for anything supporting a tax position, a charge creation or an insolvency preference window, where backdating carries a direct benefit. Suppress for documents produced by our own downstream processing, which routinely rewrites timestamps.</t>
  </si>
  <si>
    <t xml:space="preserve">Document Metadata (PDF / Office)</t>
  </si>
  <si>
    <t xml:space="preserve">Email Header / MX Record</t>
  </si>
  <si>
    <t xml:space="preserve">A PDF conversion or e-signing tool copied the original creation date into a newly written file whose modification stamp came from a differently set clock.</t>
  </si>
  <si>
    <t xml:space="preserve">DIG-012 (incremental updates over an original), DIG-002 (created before the event recorded), DIG-009 (text layer contradicts the visible page)</t>
  </si>
  <si>
    <t xml:space="preserve">Bharatiya Sakshya Adhiniyam 2023 s.63 electronic records; IT Act 2000 s.65B</t>
  </si>
  <si>
    <t xml:space="preserve">DIG-005</t>
  </si>
  <si>
    <t xml:space="preserve">Template forensics</t>
  </si>
  <si>
    <t xml:space="preserve">Different vendors' invoices share identical template geometry, fonts and logo</t>
  </si>
  <si>
    <t xml:space="preserve">Bills from supposedly separate suppliers have the same margins, column x-positions, font set, line spacing and logo coordinates to the pixel. One person is printing everybody's invoices from one file.</t>
  </si>
  <si>
    <t xml:space="preserve">template_layout_similarity_score &gt;= 0.95 AND count_unrelated_vendors_sharing_template &gt;= 3 AND matches_known_software_default_template == false AND vendors_share_gstin_state_or_promoter == false</t>
  </si>
  <si>
    <t xml:space="preserve">Layout similarity 0.95 or above on margin geometry, field x/y offsets and embedded font set, across 3 or more unrelated vendors; 0.90 is enough if the logo bounding box also matches within 2 points</t>
  </si>
  <si>
    <t xml:space="preserve">Point in time (across the supplier file)</t>
  </si>
  <si>
    <t xml:space="preserve">template_layout_similarity_score, embedded_font_set_hash, logo_bounding_box_coordinates, count_unrelated_vendors_sharing_template, matches_known_software_default_template, vendor_gstin, invoice_issuing_software_producer</t>
  </si>
  <si>
    <t xml:space="preserve">Template similarity is the default state of Indian small-business invoicing, so the rule is worthless without a baseline library. Build hashes of the stock templates shipped with Tally, Busy, Marg, Vyapar, Zoho Books, ClearTax, Khatabook and the common GST e-invoice print formats, and suppress every match against them — thousands of honest firms print identical layouts because they bought the same software or downloaded the same Word template. What remains suspicious is a bespoke layout, with the same non-standard margins, the same unusual embedded fonts and the same logo offset, shared by vendors who have no common ownership, no common billing agent and no franchise relationship. Suppress where the vendors are franchisees of one brand, are all serviced by the same billing bureau, or are group companies that legitimately share stationery. Tighten sharply when the shared-template vendors are concentrated in the entity's ITC claims, when their invoice serials also interleave, or when the only differences between documents are the name and GSTIN fields — that is a find-and-replace, not an independent supplier.</t>
  </si>
  <si>
    <t xml:space="preserve">Packing List / Commercial Invoice, Document Metadata (PDF / Office), Derived — cross-entity graph</t>
  </si>
  <si>
    <t xml:space="preserve">GSTR-2A / 2B, E-Invoice IRN Data</t>
  </si>
  <si>
    <t xml:space="preserve">All the vendors are small firms using the same popular accounting package, whose default print format produces byte-identical layouts.</t>
  </si>
  <si>
    <t xml:space="preserve">DIG-006 (interleaved invoice serials across vendors), DIG-001 (shared document author metadata), TAX-014 (ITC concentrated in newly registered suppliers)</t>
  </si>
  <si>
    <t xml:space="preserve">CBIC fake-invoice SOP; FATF TBML typology</t>
  </si>
  <si>
    <t xml:space="preserve">DIG-006</t>
  </si>
  <si>
    <t xml:space="preserve">Serial number analysis</t>
  </si>
  <si>
    <t xml:space="preserve">Vendor invoice serials run near-sequentially to one buyer across long time gaps</t>
  </si>
  <si>
    <t xml:space="preserve">Invoice numbers received from a supplier increase by one or two even though weeks pass between bills, implying we are effectively that supplier's only customer, or that the series was written in one go. Real suppliers burn serial numbers on everybody else's invoices in between.</t>
  </si>
  <si>
    <t xml:space="preserve">mean_serial_gap_between_our_invoices &lt;= 3 AND days_between_consecutive_invoices_median &gt;= 20 AND invoice_count_from_vendor &gt;= 6 AND vendor_serial_series_is_customer_specific == false</t>
  </si>
  <si>
    <t xml:space="preserve">Median serial increment of 3 or less across bills separated by 20 or more days, over at least 6 invoices; also flag serial reuse, gaps filled later, or a series that restarts mid-year without an April reset</t>
  </si>
  <si>
    <t xml:space="preserve">vendor_invoice_serial, invoice_date, mean_serial_gap_between_our_invoices, days_between_consecutive_invoices_median, invoice_count_from_vendor, vendor_serial_series_is_customer_specific, vendor_declared_turnover</t>
  </si>
  <si>
    <t xml:space="preserve">Read the serial format before running the arithmetic: many Indian invoice series embed a branch, financial-year or customer prefix and reset every April under rule 46, so parse the numeric tail and treat prefix changes as separate series rather than as jumps. A genuinely tiny vendor, a captive job-worker, a sole-agency arrangement or an exclusive contract manufacturer will legitimately show near-sequential numbering to one buyer, so gate on the vendor's declared turnover and GSTR-1 outward supply count: the flag matters when the vendor reports large turnover to many customers but hands us an unbroken run. Suppress for the first year of a new vendor and where the vendor uses per-customer series. Tighten when the sequence is perfect (increment exactly one) over months, when serials appear out of chronological order, or when the vendor's GSTR-1 shows fewer total invoices than the highest serial we hold — that means the series is fictional. Combine with round-value and identical-quantity checks before escalating.</t>
  </si>
  <si>
    <t xml:space="preserve">Packing List / Commercial Invoice, GSTR-2A / 2B</t>
  </si>
  <si>
    <t xml:space="preserve">The supplier is a very small or captive unit for whom we genuinely are almost the only customer, or it maintains a separate invoice series per customer.</t>
  </si>
  <si>
    <t xml:space="preserve">DIG-005 (identical invoice template across vendors), TAX-019 (supplier's GSTR-1 filed but GSTR-3B tax unpaid), BNK-027 (payment returns to the buyer's group within days)</t>
  </si>
  <si>
    <t xml:space="preserve">CGST Rules r.46 invoice numbering; CBIC fake-invoice SOP</t>
  </si>
  <si>
    <t xml:space="preserve">DIG-007</t>
  </si>
  <si>
    <t xml:space="preserve">Signature imaging</t>
  </si>
  <si>
    <t xml:space="preserve">Pixel-identical scanned signature image appears on documents of different parties</t>
  </si>
  <si>
    <t xml:space="preserve">The signature on documents from two or more different signatories is the same bitmap — identical pixels, identical dimensions, sometimes the same JPEG compression artefacts. A wet signature is never twice the same, so the image was pasted.</t>
  </si>
  <si>
    <t xml:space="preserve">signature_image_perceptual_hash_match == true AND signature_pixel_correlation &gt;= 0.98 AND count_distinct_signatory_names_on_matched_image &gt;= 2 AND same_person_signing_own_documents == false</t>
  </si>
  <si>
    <t xml:space="preserve">Perceptual hash distance 0 to 2 with pixel correlation 0.98 or above; any occurrence across 2 or more distinct declared signatories is reportable</t>
  </si>
  <si>
    <t xml:space="preserve">Point in time (across the document corpus)</t>
  </si>
  <si>
    <t xml:space="preserve">signature_image_perceptual_hash, signature_pixel_correlation, signature_image_dimensions, count_distinct_signatory_names_on_matched_image, declared_signatory_name, same_person_signing_own_documents, document_entity_id</t>
  </si>
  <si>
    <t xml:space="preserve">First rule out the honest reuse of one's own image: many directors, proprietors and CAs keep a scanned signature PNG and paste it on every document they sign, so the same bitmap recurring under the same name across that person's own filings is normal and must be suppressed — this includes a single authorised signatory legitimately signing for several group companies, and a power-of-attorney holder signing for a client. The finding that matters is one bitmap carrying two different names, or the supposed signatures of two independent counterparties resolving to the same image, which proves one hand produced both. Normalise for scan artefacts before hashing: deskew, threshold to binary, crop to the ink bounding box and rescale, otherwise resolution and JPEG quality differences suppress genuine matches. Also test the inverse condition — the same declared signatory whose signature bitmap differs wildly in geometry across documents suggests forgery of that person, and should be routed to the same analyst. Tighten to Critical escalation when the matched image sits on a bank mandate, a board resolution, an audit report or a KYC declaration.</t>
  </si>
  <si>
    <t xml:space="preserve">Document Metadata (PDF / Office), Bank Account Opening / KYC File, Derived — cross-entity graph</t>
  </si>
  <si>
    <t xml:space="preserve">One authorised signatory legitimately pastes his own stored signature image on documents he signs for several group entities.</t>
  </si>
  <si>
    <t xml:space="preserve">DIG-008 (same rubber-stamp image across entities), DIG-001 (shared document author metadata), OWN-009 (common authorised signatory across unrelated entities)</t>
  </si>
  <si>
    <t xml:space="preserve">IPC/BNS forgery provisions; RBI Master Direction on Frauds; FIU-IND red flag</t>
  </si>
  <si>
    <t xml:space="preserve">DIG-008</t>
  </si>
  <si>
    <t xml:space="preserve">Identical rubber-stamp or seal image reused across nominally unrelated entities</t>
  </si>
  <si>
    <t xml:space="preserve">The company seal, GST stamp or 'for XYZ Pvt Ltd' rubber stamp on documents of different companies is the same scanned image, or has the same wear marks and ink gaps. Physical stamps are unique, so a shared image means one office stamps everybody's paper.</t>
  </si>
  <si>
    <t xml:space="preserve">stamp_image_perceptual_hash_match == true AND count_distinct_entities_on_matched_stamp &gt;= 2 AND entities_share_disclosed_group == false AND stamp_text_entity_name_matches_document_entity == false</t>
  </si>
  <si>
    <t xml:space="preserve">Perceptual hash distance 0 to 3 on the cropped stamp region across 2 or more entities; also flag one stamp whose printed entity name does not match the issuing entity</t>
  </si>
  <si>
    <t xml:space="preserve">stamp_image_perceptual_hash, stamp_text_extracted, count_distinct_entities_on_matched_stamp, document_entity_id, entities_share_disclosed_group, stamp_ink_defect_pattern_hash</t>
  </si>
  <si>
    <t xml:space="preserve">Distinguish the image from the impression. A single physical stamp legitimately appears on many documents of the same entity, and a group company secretary genuinely holds and applies the seals of every group entity, so suppress within a disclosed group or where a common secretarial firm is engaged. The forensic finding is one bitmap bearing entity A's name appearing on entity B's document, or two entities' stamps that are the same image with only the text layer swapped. Distinguish also between a stamp scanned as an image and a stamp rendered as vector text pasted into the PDF: a vector 'stamp' with selectable text was never physically applied and is a stronger indicator than a raster reuse. Hash on the cropped stamp region after deskewing, and record the ink-defect pattern (broken rim, clogged letters) separately, because identical defects across entities prove the same physical stamp — which is meaningful when the entities claim to operate from different cities. Tighten when the shared stamp appears on statutory filings, bank documents or delivery challans used to support ITC.</t>
  </si>
  <si>
    <t xml:space="preserve">Bank Account Opening / KYC File, Rent Agreement / Lease Deed</t>
  </si>
  <si>
    <t xml:space="preserve">A shared company secretary or group administration desk holds the seals of all group entities and applies them from one office.</t>
  </si>
  <si>
    <t xml:space="preserve">DIG-007 (same signature bitmap across parties), OPS-001 (entities share a registered office), OWN-014 (interlocking directorships)</t>
  </si>
  <si>
    <t xml:space="preserve">Companies Act 2013 s.22 common seal; FATF TBML typology</t>
  </si>
  <si>
    <t xml:space="preserve">DIG-009</t>
  </si>
  <si>
    <t xml:space="preserve">Layer consistency</t>
  </si>
  <si>
    <t xml:space="preserve">Hidden text layer contradicts the visible page content, indicating an edited scan</t>
  </si>
  <si>
    <t xml:space="preserve">The invisible text stored under a scanned image (the OCR layer, or leftover text from the original file) reads different amounts, dates or names from what the eye sees on the page. The visible pixels were painted over while the underlying text kept the original values.</t>
  </si>
  <si>
    <t xml:space="preserve">text_layer_present == true AND field_value_text_layer != field_value_visual_ocr AND mismatched_field_is_material == true AND ocr_confidence_visual &gt;= 0.90</t>
  </si>
  <si>
    <t xml:space="preserve">Any mismatch in an amount, date, name, GSTIN, PAN or account number field with visual OCR confidence 0.90 or above; ignore mismatches confined to punctuation, currency symbols or whitespace</t>
  </si>
  <si>
    <t xml:space="preserve">text_layer_present, field_value_text_layer, field_value_visual_ocr, ocr_confidence_visual, mismatched_field_is_material, pdf_image_overlay_object_count</t>
  </si>
  <si>
    <t xml:space="preserve">Poor-quality OCR is the main false positive: a faint fax, a coloured stamp over a figure, a handwritten amendment or a low-DPI scan will make visual extraction disagree with a correct text layer, so require high visual confidence and re-render at higher resolution before flagging. Redaction done properly (black box plus removed text) is fine; redaction done badly leaves readable text under a box and is a data-handling failure, not necessarily fraud — classify it separately. Suppress where the text layer is an OCR product of the very image being compared, since then both layers derive from the same pixels and disagreement is just OCR error; the rule is meaningful when the text layer is native (from the original digital document) and the visible layer is an image pasted over it. The decisive pattern is a small image object covering exactly the region of a number, or a rectangle drawn in white over old text with new text on top — count overlay objects in that field's bounding box. Tighten to immediate escalation when the altered field is an amount, a bank account number or a date near a period boundary.</t>
  </si>
  <si>
    <t xml:space="preserve">Document Metadata (PDF / Office), Bank Statement, Packing List / Commercial Invoice</t>
  </si>
  <si>
    <t xml:space="preserve">A low-resolution or stamped-over scan produced a bad OCR read that disagrees with a perfectly correct underlying text layer.</t>
  </si>
  <si>
    <t xml:space="preserve">DIG-011 (font substitution inside a numeric field), DIG-012 (incremental PDF updates over an original), BNK-031 (bank statement balance does not roll forward)</t>
  </si>
  <si>
    <t xml:space="preserve">Bharatiya Sakshya Adhiniyam 2023 s.63; RBI Master Direction on Frauds</t>
  </si>
  <si>
    <t xml:space="preserve">DIG-010</t>
  </si>
  <si>
    <t xml:space="preserve">Raster authenticity</t>
  </si>
  <si>
    <t xml:space="preserve">Document presented as a scan shows no scanner noise, skew or paper texture</t>
  </si>
  <si>
    <t xml:space="preserve">A supposedly scanned certificate or statement has perfectly straight text, pure white background, no dust, no shadow and no sensor noise. It was rendered digitally and passed off as a scan of a physical original that may never have existed.</t>
  </si>
  <si>
    <t xml:space="preserve">document_claimed_as_scan == true AND background_noise_variance &lt;= noise_floor AND page_skew_angle_abs &lt;= 0.05 AND jpeg_quantisation_matches_known_scanner == false AND exif_scanner_make_present == false</t>
  </si>
  <si>
    <t xml:space="preserve">Background noise variance below the scanner noise floor, skew under 0.05 degrees, no scanner EXIF, and a quantisation table not matching any known scanner or MFD profile</t>
  </si>
  <si>
    <t xml:space="preserve">document_claimed_as_scan, background_noise_variance, page_skew_angle_abs, exif_scanner_make, jpeg_quantisation_matches_known_scanner, image_dpi_reported, colour_channel_count</t>
  </si>
  <si>
    <t xml:space="preserve">Modern equipment defeats this rule constantly, so keep it low weight and use it only as corroboration. Scanner and MFD auto-cleanup, de-skew, background removal and 'text mode' binarisation legitimately produce clean, perfectly straight, single-channel images with no visible noise; phone scanning apps such as Adobe Scan, CamScanner and Microsoft Lens do the same and strip EXIF. Suppress whenever a scanner or app signature is present in metadata, whenever the file is a native digital original that nobody claimed was scanned, and for e-signed or portal-generated documents (GST certificates, ITR acknowledgements, MCA challans) which are born digital by design and must not be judged as scans. The rule earns its keep in a narrow case: a document that must be a copy of a physical original — a stamped bank letter, a notarised affidavit, a manual delivery challan with handwriting — yet shows machine-perfect geometry, uniform ink density and vector-crisp glyph edges under magnification, meaning the 'handwriting' and 'stamp' were composited. Tighten when the same clean raster appears with different content across entities, which indicates a reusable forgery master.</t>
  </si>
  <si>
    <t xml:space="preserve">Bank Statement, Electricity / Utility Bill</t>
  </si>
  <si>
    <t xml:space="preserve">The office multifunction device or a phone scanning app applied automatic de-skew and background removal, producing a spotless image from a real page.</t>
  </si>
  <si>
    <t xml:space="preserve">DIG-009 (text layer contradicts the visible page), DIG-011 (font anomaly in a numeric field), DIG-015 (batch submission of documents dated months apart)</t>
  </si>
  <si>
    <t xml:space="preserve">ICAI Forensic Accounting &amp; Investigation Standards, digital evidence; FIU-IND red flag</t>
  </si>
  <si>
    <t xml:space="preserve">DIG-011</t>
  </si>
  <si>
    <t xml:space="preserve">Typography forensics</t>
  </si>
  <si>
    <t xml:space="preserve">Font substitution or kerning anomaly confined to an amount, date or account-number field</t>
  </si>
  <si>
    <t xml:space="preserve">The digits in one field use a different font, size, baseline or letter spacing from the rest of the line, or the character spacing is uneven where the rest of the document is machine-regular. Someone typed over the original number.</t>
  </si>
  <si>
    <t xml:space="preserve">(field_font_name != line_body_font_name OR abs(field_baseline_offset_pt) &gt; 0.5 OR field_kerning_variance &gt; body_kerning_variance * 3) AND field_class IN ('amount','date','account_number','gstin','pan') AND document_is_single_pass_render == true</t>
  </si>
  <si>
    <t xml:space="preserve">Any font or size change inside a numeric field relative to its own line; baseline shift above 0.5 points; intra-field spacing variance more than 3x the document body variance</t>
  </si>
  <si>
    <t xml:space="preserve">field_font_name, line_body_font_name, field_baseline_offset_pt, field_kerning_variance, body_kerning_variance, field_class, document_is_single_pass_render, embedded_font_subset_count</t>
  </si>
  <si>
    <t xml:space="preserve">Templates legitimately style numbers differently: totals are often bold, tabular-figure fonts are deliberately used for amount columns, and mail-merged or system-filled fields commonly render in a fallback font when the original glyph subset lacks a character — so compare a field against the same field on other pages and other documents from the same issuer, not merely against the surrounding prose. Suppress when the whole column is consistently styled, when the document is a form with pre-printed labels and filled values, and when a viewer substituted a missing font at render time rather than the file carrying two subsets (check embedded font subsets in the file itself, not the rendering). The strong signal is a single line differing from its identical neighbours, a number sitting fractionally off the baseline its column follows, or two subsets of the same typeface embedded where only one is needed. Tighten for bank statements, audited financials, valuation reports and customs documents, and for any figure that decides a threshold such as a tax slab, a loan covenant or a materiality limit.</t>
  </si>
  <si>
    <t xml:space="preserve">Document Metadata (PDF / Office), Bank Statement, AOC-4 / AOC-4 XBRL Financial Statements</t>
  </si>
  <si>
    <t xml:space="preserve">Packing List / Commercial Invoice, Bill of Entry</t>
  </si>
  <si>
    <t xml:space="preserve">The template deliberately styles totals or numeric columns in a different weight or tabular-figure font from the surrounding text.</t>
  </si>
  <si>
    <t xml:space="preserve">DIG-009 (text layer contradicts visible page), DIG-012 (incremental PDF updates), DIG-015 (bank statement fails structural validation)</t>
  </si>
  <si>
    <t xml:space="preserve">DIG-012</t>
  </si>
  <si>
    <t xml:space="preserve">File structure</t>
  </si>
  <si>
    <t xml:space="preserve">PDF object structure shows incremental updates rewriting the original content</t>
  </si>
  <si>
    <t xml:space="preserve">The file contains more than one cross-reference table or trailer, meaning content was appended after the first save, and the changed objects sit on pages that carry figures or signatures. A clean original has one save; an edited one carries its own history.</t>
  </si>
  <si>
    <t xml:space="preserve">pdf_xref_section_count &gt; 1 AND incremental_update_modified_content_stream == true AND update_not_attributable_to_signature_or_annotation == true AND changed_object_on_financial_page == true</t>
  </si>
  <si>
    <t xml:space="preserve">2 or more xref sections where at least one appended revision rewrites a page content stream rather than only adding a signature, annotation or form-field value</t>
  </si>
  <si>
    <t xml:space="preserve">pdf_xref_section_count, incremental_update_modified_content_stream, update_not_attributable_to_signature_or_annotation, changed_object_on_financial_page, prior_revision_extractable, object_generation_number_max</t>
  </si>
  <si>
    <t xml:space="preserve">Incremental updates are normal and mostly innocent, which is why this must be weighted low on its own. Every digitally signed PDF appends a revision by design, and so does every filled form field, comment, bookmark, page rotation and Acrobat 'save' as opposed to 'save as' — suppress all of these by classifying what the appended revision actually changed. Portal-generated documents (MCA challans, GST certificates, e-invoices) frequently carry two or more revisions from the signing step alone. The valuable case is an appended revision that rewrites the text of a page: recover the prior revision by truncating the file at the earlier xref and rendering it, then diff the two versions — a changed amount, date, name or bank account between revisions is decisive and converts this rule into a Critical finding on its own. Tighten when the document was received from an interested party rather than pulled from a source portal, and suppress entirely for files our own pipeline has re-saved, watermarked or bates-stamped.</t>
  </si>
  <si>
    <t xml:space="preserve">The PDF was digitally signed or had form fields filled, which by design appends a revision without altering the original content.</t>
  </si>
  <si>
    <t xml:space="preserve">DIG-009 (text layer contradicts visible page), DIG-011 (font anomaly in numeric field), DIG-004 (modification date precedes creation date)</t>
  </si>
  <si>
    <t xml:space="preserve">ISO 32000 PDF incremental update; Bharatiya Sakshya Adhiniyam 2023 s.63</t>
  </si>
  <si>
    <t xml:space="preserve">DIG-013</t>
  </si>
  <si>
    <t xml:space="preserve">Digital signature validity</t>
  </si>
  <si>
    <t xml:space="preserve">Digital signature invalid, expired at signing, or issued to an unrelated person</t>
  </si>
  <si>
    <t xml:space="preserve">The Digital Signature Certificate (DSC) on a filing or document fails validation, was already expired or revoked when used, or belongs to someone who holds no office in the entity. The signature does not bind the person it claims to bind.</t>
  </si>
  <si>
    <t xml:space="preserve">signature_cryptographic_validation_failed == true OR signing_datetime &gt; certificate_valid_to OR certificate_revoked_at_signing == true OR (certificate_subject_identity != authorised_signatory_identity AND signer_holds_no_declared_role == true)</t>
  </si>
  <si>
    <t xml:space="preserve">N/A — categorical; any cryptographic failure, use after expiry or revocation, or subject-to-signatory identity mismatch after name normalisation</t>
  </si>
  <si>
    <t xml:space="preserve">Point in time per filing, with certificate validity window</t>
  </si>
  <si>
    <t xml:space="preserve">signature_cryptographic_validation_failed, certificate_subject_identity, certificate_valid_from, certificate_valid_to, signing_datetime, certificate_revoked_at_signing, authorised_signatory_identity, signer_holds_no_declared_role</t>
  </si>
  <si>
    <t xml:space="preserve">Most validation failures are technical rather than fraudulent, so separate the failure modes. A signature over content that was later flattened, watermarked, re-saved or bates-stamped by our own pipeline will fail integrity checks innocently; a missing trust root, an unfetched CRL, a broken chain to the CCA India root, or a long-term signature whose timestamp is absent will show 'unknown' rather than 'invalid' — treat unknown as a data-quality item, not a finding. Expiry after signing is normal because certificates lapse while documents persist; the flag is expiry or revocation before the signing time. On identity, normalise Indian name forms hard (initials, surname order, middle names, honorifics) before declaring a mismatch, and allow a duly authorised signatory, a company secretary, a practising professional certifying a form, or a power-of-attorney holder who is properly disclosed. The serious case is a certificate in the name of a person with no directorship, employment or authorisation in the entity, or one issued to a dormant or deceased holder. Tighten for MCA forms, GST returns and income-tax filings, where the signatory is legally fixed.</t>
  </si>
  <si>
    <t xml:space="preserve">Signatory Details / DSC Register, Document Metadata (PDF / Office), DIR-3 KYC</t>
  </si>
  <si>
    <t xml:space="preserve">MCA Company Master Data, DIN Master Data</t>
  </si>
  <si>
    <t xml:space="preserve">Downstream re-saving or watermarking broke the signature's integrity check, or the certificate simply expired after the document was validly signed.</t>
  </si>
  <si>
    <t xml:space="preserve">DIG-014 (one DSC filing for many unrelated entities), OWN-021 (director holds no other verifiable role), CMP-030 (filings signed after the signatory resigned)</t>
  </si>
  <si>
    <t xml:space="preserve">IT Act 2000 s.35 and CCA India; MCA DSC misuse advisory</t>
  </si>
  <si>
    <t xml:space="preserve">DIG-014</t>
  </si>
  <si>
    <t xml:space="preserve">One DSC signs filings for an implausible number of unrelated entities</t>
  </si>
  <si>
    <t xml:space="preserve">The same DSC serial — a personal credential that is not supposed to be shared — authorises statutory filings as director or authorised signatory for many companies with no common ownership. It suggests one operator controls a stable of paper entities.</t>
  </si>
  <si>
    <t xml:space="preserve">distinct_entities_signed_by_dsc_serial &gt;= 10 AND signer_role_on_filings == 'director_or_authorised_signatory' AND entities_share_disclosed_group == false AND signer_is_practising_professional_certifier == false</t>
  </si>
  <si>
    <t xml:space="preserve">10 or more unrelated entities signed as director or authorised signatory by one DSC serial in 12 months; escalate at 20, or at 5 when several of those entities are also struck off or share an address</t>
  </si>
  <si>
    <t xml:space="preserve">dsc_certificate_serial, distinct_entities_signed_by_dsc_serial, signer_role_on_filings, signer_din_or_pan, entities_share_disclosed_group, signer_is_practising_professional_certifier, entities_struck_off_share</t>
  </si>
  <si>
    <t xml:space="preserve">The split between certifier and signatory is the whole rule. A practising chartered accountant, company secretary or cost accountant legitimately certifies hundreds of MCA forms a year with one DSC, and a GST practitioner or tax consultant legitimately files returns for many clients — those roles must be identified from the form's certification block and suppressed, or the rule will simply enumerate the profession. Likewise a group company secretary or a nominee director of a fund's portfolio companies genuinely signs for many entities, so suppress within disclosed groups and where a single promoter openly owns the set. What remains is a DSC signing in the capacity of director or authorised signatory across entities that assert no relationship — legally each of those directorships must be real, so either the person is a mass dummy director or the DSC is being used by someone else. Tighten sharply when the DSC continues to file after the holder's DIN is disqualified, when the holder's declared income cannot support the directorships, or when a cluster of the signed entities is already struck off or has cancelled GST registrations. Note the s.165 cap of 20 directorships as a hard reference point.</t>
  </si>
  <si>
    <t xml:space="preserve">DIN Master Data, ROC Disqualified Director List</t>
  </si>
  <si>
    <t xml:space="preserve">The certificate belongs to a practising professional or a shared group secretarial team that legitimately files for many client or group entities.</t>
  </si>
  <si>
    <t xml:space="preserve">DIG-016 (one IP address files for many unrelated entities), OWN-007 (mass directorship beyond s.165 limits), CMP-011 (entities incorporated in a batch by one agent)</t>
  </si>
  <si>
    <t xml:space="preserve">Companies Act 2013 s.165; MCA DSC misuse advisory; SEBI vanishing companies</t>
  </si>
  <si>
    <t xml:space="preserve">DIG-015</t>
  </si>
  <si>
    <t xml:space="preserve">Submission forensics</t>
  </si>
  <si>
    <t xml:space="preserve">Supporting documents dated months apart were all produced or uploaded within minutes</t>
  </si>
  <si>
    <t xml:space="preserve">A file set that should have accumulated over a year — bank letters, rent deeds, utility bills, confirmations — carries upload or file-write timestamps within a few minutes of one another. The pack was assembled to order rather than collected as events happened.</t>
  </si>
  <si>
    <t xml:space="preserve">documents_in_submission_batch &gt;= 8 AND submission_window_minutes &lt;= 10 AND printed_date_span_days &gt;= 180 AND documents_sourced_from_single_archive == false</t>
  </si>
  <si>
    <t xml:space="preserve">8 or more documents uploaded within a 10-minute window whose printed dates span 180 days or more; escalate when the same pattern repeats at each request round</t>
  </si>
  <si>
    <t xml:space="preserve">Point in time per submission</t>
  </si>
  <si>
    <t xml:space="preserve">document_upload_timestamp, documents_in_submission_batch, submission_window_minutes, printed_document_date, printed_date_span_days, documents_sourced_from_single_archive, document_class_mix</t>
  </si>
  <si>
    <t xml:space="preserve">Uploading a prepared pack in one go is the normal way anyone answers a bank, auditor or tax notice, so this rule is only usable with a strong carve-out: suppress whenever the batch is a response to a single documented request, whenever the files come from an existing archive or data room, and whenever the uploader is a professional submitting on the client's behalf. Consider also that portals often rewrite timestamps on receipt, so prefer the file-system write time or the document's own creation metadata over the portal's upload clock, and prefer both together. The residual signal is a batch whose members are not merely uploaded together but were also authored together — third-party documents such as a landlord's rent receipt, a bank's balance confirmation and an electricity bill should have independent creation metadata, different producers and different scanner signatures; when they share one producer and one creation minute, a third party did not issue them. Tighten when the batch supports a credit decision, a refund claim or a regulatory response, and when re-requests produce fresh documents with fresh creation timestamps each time.</t>
  </si>
  <si>
    <t xml:space="preserve">Document Metadata (PDF / Office), Bank Account Opening / KYC File</t>
  </si>
  <si>
    <t xml:space="preserve">Rent Agreement / Lease Deed, Electricity / Utility Bill</t>
  </si>
  <si>
    <t xml:space="preserve">The borrower simply gathered the whole checklist and uploaded it in one session in response to a single request.</t>
  </si>
  <si>
    <t xml:space="preserve">DIG-003 (batch creation of documents in one authoring session), DIG-001 (third-party documents share one author), DIG-010 (documents show no genuine scanner signature)</t>
  </si>
  <si>
    <t xml:space="preserve">RBI Master Direction on Frauds; FIU-IND red flag</t>
  </si>
  <si>
    <t xml:space="preserve">DIG-016</t>
  </si>
  <si>
    <t xml:space="preserve">Filing infrastructure</t>
  </si>
  <si>
    <t xml:space="preserve">One IP address or subnet files returns for many unrelated entities</t>
  </si>
  <si>
    <t xml:space="preserve">GST, income-tax or MCA filings for a large number of companies with no declared relationship originate from a single IP address or a narrow subnet. It points to one back office quietly operating a stable of entities.</t>
  </si>
  <si>
    <t xml:space="preserve">distinct_entities_filing_from_ip &gt;= 15 AND filer_is_registered_professional_or_gsp == false AND entities_share_disclosed_group == false AND ip_is_shared_carrier_grade_nat == false</t>
  </si>
  <si>
    <t xml:space="preserve">15 or more unrelated entities filing from one IP in 12 months, or 40 from a /24 subnet; drop to 5 when those entities also share a bank IFSC, address or authorised signatory</t>
  </si>
  <si>
    <t xml:space="preserve">filing_source_ip, filing_source_asn, distinct_entities_filing_from_ip, entities_share_disclosed_group, filer_is_registered_professional_or_gsp, ip_is_shared_carrier_grade_nat, entity_registered_state</t>
  </si>
  <si>
    <t xml:space="preserve">Indian filing traffic is heavily concentrated by design, so this rule must be gated hard or it will simply rediscover the tax profession. Suppress for IPs belonging to registered GST Suvidha Providers, ASPs, tax-software vendors, e-return intermediaries and known CA, CS and advocate firms, all of which legitimately file for hundreds of unrelated clients from one office router; suppress equally for a group's shared-services centre filing for every group company, and for cyber cafes and business centres in small towns where dozens of unconnected proprietors file from one machine. Carrier-grade NAT and mobile broadband put thousands of unrelated users behind one public IP, so resolve the ASN and drop mobile and CGNAT ranges before counting, and prefer subnet-plus-device-plus-timing evidence over raw IP. What survives is a residential or small-office IP, not attributable to any professional, from which entities file that all claim to trade independently with each other. Tighten when the co-filing entities also transact together, when several are already struck off or have cancelled registrations, and when the filing IP is in a different state from every entity's declared place of business.</t>
  </si>
  <si>
    <t xml:space="preserve">IP &amp; Device Fingerprint Log, Derived — cross-entity graph</t>
  </si>
  <si>
    <t xml:space="preserve">GSTR-3B, Income Tax Return (ITR-5 / ITR-6)</t>
  </si>
  <si>
    <t xml:space="preserve">The filings all come from one chartered accountant's or tax consultant's office router, which serves many unrelated clients.</t>
  </si>
  <si>
    <t xml:space="preserve">DIG-014 (one DSC signing for many unrelated entities), DIG-017 (shared device fingerprint), OWN-024 (common authorised signatory across the same cluster)</t>
  </si>
  <si>
    <t xml:space="preserve">CBIC fake-registration drive; FIU-IND red flag; GSTN analytics</t>
  </si>
  <si>
    <t xml:space="preserve">DIG-017</t>
  </si>
  <si>
    <t xml:space="preserve">Same device fingerprint operates accounts or portals for unrelated entities</t>
  </si>
  <si>
    <t xml:space="preserve">The browser and machine fingerprint — user agent, screen size, fonts, canvas hash, cookie or session identifiers — is identical across logins for companies that claim no connection. One physical machine, and therefore one operator, sits behind all of them.</t>
  </si>
  <si>
    <t xml:space="preserve">distinct_entities_on_device_fingerprint &gt;= 8 AND device_fingerprint_entropy_bits &gt;= 20 AND entities_share_disclosed_group == false AND device_is_shared_professional_workstation == false</t>
  </si>
  <si>
    <t xml:space="preserve">8 or more unrelated entities on one high-entropy fingerprint (20+ bits) in 12 months; escalate at 3 when the same device also operates the entities' bank or GST logins within one session</t>
  </si>
  <si>
    <t xml:space="preserve">device_fingerprint_hash, device_fingerprint_entropy_bits, distinct_entities_on_device_fingerprint, session_id_overlap_count, entities_share_disclosed_group, device_is_shared_professional_workstation, login_timestamp</t>
  </si>
  <si>
    <t xml:space="preserve">A fingerprint is only evidence if it is actually distinctive. A default Windows plus Chrome profile on standard hardware collides across millions of users, so compute and require a minimum entropy, and never treat a low-entropy hash as identity. Suppress for consultants' and accountants' workstations, for group shared-services desks, for bank relationship managers assisting customers, and for kiosk or cyber-cafe machines; all legitimately serve many entities. Fingerprints also churn on browser updates and drift with screen changes, so use a stability window and do not chase a hash across versions. The strong pattern is not merely a shared device but a shared session: several entities logged in from one device back to back, sometimes with copy-paste timing between them, or the 'buyer' and the 'seller' of a disputed supply operating from the same machine. Tighten when the device also fails geolocation consistency, when it uses a VPN or hosting-provider address, and when password resets for several entities were performed from it.</t>
  </si>
  <si>
    <t xml:space="preserve">Bank Account Opening / KYC File, UPI / IMPS / NEFT Transaction Log</t>
  </si>
  <si>
    <t xml:space="preserve">A single accountant's or shared-services workstation is used to operate the portals of many client or group entities.</t>
  </si>
  <si>
    <t xml:space="preserve">DIG-016 (one IP files for many entities), DIG-023 (one phone or email across many registrations), BNK-022 (same beneficiary accounts across the cluster)</t>
  </si>
  <si>
    <t xml:space="preserve">RBI Master Direction on Digital Payment Security; FIU-IND red flag</t>
  </si>
  <si>
    <t xml:space="preserve">DIG-018</t>
  </si>
  <si>
    <t xml:space="preserve">Geolocation consistency</t>
  </si>
  <si>
    <t xml:space="preserve">Filing or login geolocation persistently inconsistent with the declared place of business</t>
  </si>
  <si>
    <t xml:space="preserve">Returns and portal logins for a company registered in one state consistently originate from another state or country, or from an anonymising service. Where the work is really done is not where the business claims to be.</t>
  </si>
  <si>
    <t xml:space="preserve">share_of_logins_outside_declared_state &gt;= 0.80 AND login_event_count &gt;= 20 AND (geo_distance_km_median &gt; 500 OR ip_is_vpn_or_hosting == true) AND declared_operations_are_single_state == true</t>
  </si>
  <si>
    <t xml:space="preserve">80% or more of at least 20 login or filing events originating more than 500 km from the declared place of business, or from VPN, Tor or hosting ranges</t>
  </si>
  <si>
    <t xml:space="preserve">filing_source_ip_geolocation, declared_place_of_business_state, share_of_logins_outside_declared_state, geo_distance_km_median, login_event_count, ip_is_vpn_or_hosting, declared_operations_are_single_state</t>
  </si>
  <si>
    <t xml:space="preserve">IP geolocation in India is coarse and often wrong: many ISPs and all mobile carriers geolocate to a regional gateway city, so treat state-level mismatches from mobile ranges as noise and require repeated, high-volume, wired-line evidence. Suppress for the many honest cases — a head office in Mumbai filing for a plant in Gujarat, a promoter who lives in another city, a multi-state business, an outsourced accountant located elsewhere, staff working remotely, and directors travelling or resident abroad. VPN use is now routine corporate hygiene, so on its own it means little; it matters when combined with an entity that has no other evidence of local presence. The finding worth pursuing is a company whose only declared premises, workforce and turnover are in one state, yet whose every login for years comes from a single remote location that matches the address of another entity in the cluster, or from outside India while claiming purely domestic operations. Tighten where GST registration was obtained on the basis of a physical-verification exemption, and where the same remote location serves several entities.</t>
  </si>
  <si>
    <t xml:space="preserve">MCA Company Master Data, INC-22 Registered Office</t>
  </si>
  <si>
    <t xml:space="preserve">The company's accountant or head office sits in another city and does all the filing, or mobile IPs geolocate to a distant carrier gateway.</t>
  </si>
  <si>
    <t xml:space="preserve">DIG-016 (one IP for many entities), OPS-008 (site visit finds no presence at the registered office), OPS-013 (no utility connection at the declared premises)</t>
  </si>
  <si>
    <t xml:space="preserve">CGST Rules r.25 physical verification; FIU-IND red flag</t>
  </si>
  <si>
    <t xml:space="preserve">DIG-019</t>
  </si>
  <si>
    <t xml:space="preserve">Domain provenance</t>
  </si>
  <si>
    <t xml:space="preserve">Email or website domain registered far later than the claimed trading history</t>
  </si>
  <si>
    <t xml:space="preserve">The company's domain was created only weeks or months ago, yet its invoices, profile or website claim years of operation. The digital footprint is younger than the story it supports.</t>
  </si>
  <si>
    <t xml:space="preserve">domain_age_days &lt;= 180 AND claimed_years_in_business &gt;= 3 AND domain_used_on_invoices_or_kyc == true AND entity_incorporation_age_days &gt; 1095</t>
  </si>
  <si>
    <t xml:space="preserve">Domain under 180 days old against a claimed operating history of 3 years or more; also flag a domain created after the first invoice bearing it</t>
  </si>
  <si>
    <t xml:space="preserve">domain_creation_date, domain_age_days, claimed_years_in_business, entity_incorporation_date, entity_incorporation_age_days, domain_used_on_invoices_or_kyc, earliest_invoice_date_bearing_domain</t>
  </si>
  <si>
    <t xml:space="preserve">Rebranding, mergers, moving from a .co.in to a .com, letting a domain lapse and re-registering it, and simply going online late are all ordinary, so check the registry creation date against domain history and archive snapshots before treating youth as deceit — a re-registered domain shows a new creation date for an old business. Suppress for genuinely new entities, where a young domain is expected and proves nothing, and for firms that legitimately trade through a marketplace, a group domain or a parent's domain and have no need of their own. The sharp version of this rule is internal contradiction rather than age itself: a domain created in June appearing on an invoice dated the previous December, or a website advertising 'serving clients since 2011' on a domain first registered last quarter. Tighten when the young domain is paired with a large claimed turnover, when it was registered days before the entity applied for credit or a tender, and when several counterparties in the same chain registered their domains in the same week from the same registrar.</t>
  </si>
  <si>
    <t xml:space="preserve">Website WHOIS / Domain Record, Company Website Content</t>
  </si>
  <si>
    <t xml:space="preserve">Packing List / Commercial Invoice, Email Header / MX Record</t>
  </si>
  <si>
    <t xml:space="preserve">An old business rebranded or only recently bothered to register its own domain, having used a marketplace or a generic mailbox before.</t>
  </si>
  <si>
    <t xml:space="preserve">DIG-025 (website content copied from another site), DIG-021 (no MX record on the invoice domain), CMP-019 (turnover jumps in the first year of registration)</t>
  </si>
  <si>
    <t xml:space="preserve">FATF TBML typology; FIU-IND red flag</t>
  </si>
  <si>
    <t xml:space="preserve">DIG-020</t>
  </si>
  <si>
    <t xml:space="preserve">Domain registration hidden behind privacy shield with no verifiable registrant</t>
  </si>
  <si>
    <t xml:space="preserve">WHOIS (the public register of who owns a domain) shows only a privacy service, and no registrant name, address or phone can be verified anywhere. The business cannot be tied to a real person through its own web presence.</t>
  </si>
  <si>
    <t xml:space="preserve">whois_privacy_protected == true AND whois_registrant_verifiable_elsewhere == false AND domain_used_on_invoices_or_kyc == true AND registrant_country_matches_declared_country == false</t>
  </si>
  <si>
    <t xml:space="preserve">N/A — categorical; privacy shield plus no corroborating registrant identity from website imprint, MX ownership, SSL certificate subject or archived WHOIS</t>
  </si>
  <si>
    <t xml:space="preserve">whois_privacy_protected, whois_registrant_name, whois_registrant_country, whois_registrant_verifiable_elsewhere, registrant_country_matches_declared_country, domain_used_on_invoices_or_kyc, domain_registrar</t>
  </si>
  <si>
    <t xml:space="preserve">Privacy protection is now the default state of the internet and by itself means nothing: most registrars enable it automatically, GDPR-era redaction hides registrant data for whole registries, and small proprietors reasonably prefer not to publish a home address. The rule must therefore never fire on privacy alone — it fires when privacy coincides with a complete absence of any other verifiable identity: no imprint or contact page, no named person on the SSL certificate, no MX ownership trail, no archived pre-privacy WHOIS record, and a registrant country inconsistent with the claimed place of business. Note also that .in domains through the INRegistry require registrant details, so heavy anonymisation on a .in used by an Indian trading company is more notable than the same on a .com. Suppress for individuals and micro-enterprises, and where the entity's identity is verifiable through ordinary regulatory sources anyway. Tighten when the domain is offshore-registered with anonymous payment, when it is used to receive payment instructions, or when several entities in one chain use the same privacy service and registrar created on nearby dates.</t>
  </si>
  <si>
    <t xml:space="preserve">Website WHOIS / Domain Record</t>
  </si>
  <si>
    <t xml:space="preserve">Company Website Content, Email Header / MX Record</t>
  </si>
  <si>
    <t xml:space="preserve">The registrar enables WHOIS privacy by default and the owner never turned it off, which is now normal for almost all domains.</t>
  </si>
  <si>
    <t xml:space="preserve">DIG-019 (domain far younger than claimed trading history), DIG-025 (copied website content), DIG-027 (no or late SSL certificate)</t>
  </si>
  <si>
    <t xml:space="preserve">FIU-IND red flag; NIXI/INRegistry .IN policy</t>
  </si>
  <si>
    <t xml:space="preserve">DIG-021</t>
  </si>
  <si>
    <t xml:space="preserve">Mail infrastructure</t>
  </si>
  <si>
    <t xml:space="preserve">Domain printed on invoices has no MX record and cannot receive mail</t>
  </si>
  <si>
    <t xml:space="preserve">The email address on the company's invoices or KYC uses a domain with no mail exchanger (MX) record configured, so that mailbox cannot exist. The contact channel is decorative, which fits an entity that does not expect to be contacted.</t>
  </si>
  <si>
    <t xml:space="preserve">domain_mx_record_count == 0 AND domain_used_as_contact_on_invoices == true AND smtp_probe_recipient_rejected == true AND domain_resolves == true</t>
  </si>
  <si>
    <t xml:space="preserve">Zero MX records with no fallback A-record mail handling, confirmed by an SMTP RCPT probe rejection on two attempts a week apart</t>
  </si>
  <si>
    <t xml:space="preserve">domain_mx_record_count, domain_mx_provider, domain_resolves, domain_used_as_contact_on_invoices, smtp_probe_recipient_rejected, spf_record_present, email_bounce_history_count</t>
  </si>
  <si>
    <t xml:space="preserve">DNS is a moving target, so never flag on a single lookup: transient resolver failures, a domain mid-migration between mail providers, and lapsed or newly renewed registrations all produce a momentary empty MX. Repeat the check at least twice several days apart and record the resolver used. Suppress where the domain is a website-only domain and the firm openly uses a different mail domain or a webmail address for correspondence, where mail is handled by an A record or a parent group's domain, and where catch-all or greylisting policies make probes unreliable — an SMTP probe that returns a soft error is not evidence. Respect the fact that many providers accept all recipients, so a successful probe proves little either way. The real finding is a domain that appears on invoices, purchase orders and bank mandates while never having had mail configured at all, especially alongside a bounce history on correspondence actually sent to it. Tighten when payment-instruction emails claim to come from that domain, since that combination is the classic invoice-diversion setup.</t>
  </si>
  <si>
    <t xml:space="preserve">Email Header / MX Record, Packing List / Commercial Invoice</t>
  </si>
  <si>
    <t xml:space="preserve">Website WHOIS / Domain Record, Bank Account Opening / KYC File</t>
  </si>
  <si>
    <t xml:space="preserve">The domain hosts only a website while the firm actually corresponds from a webmail address or the parent group's mail domain.</t>
  </si>
  <si>
    <t xml:space="preserve">DIG-022 (free webmail as the official contact), DIG-019 (very young domain), BNK-014 (payment instructions changed by email)</t>
  </si>
  <si>
    <t xml:space="preserve">FATF TBML typology — business email compromise; FIU-IND red flag</t>
  </si>
  <si>
    <t xml:space="preserve">DIG-022</t>
  </si>
  <si>
    <t xml:space="preserve">Free webmail is the official contact for a high-turnover entity across all filings</t>
  </si>
  <si>
    <t xml:space="preserve">A company reporting large turnover uses a Gmail, Yahoo or Rediff address as its registered contact on MCA, GST and bank records, with no corporate domain anywhere. Real businesses of that size almost always own their mail domain.</t>
  </si>
  <si>
    <t xml:space="preserve">official_email_is_free_webmail == true AND revenue_from_operations &gt;= 250000000 AND corporate_domain_exists == false AND free_webmail_used_on_filing_count &gt;= 3</t>
  </si>
  <si>
    <t xml:space="preserve">Free-webmail official contact where turnover is INR 25 crore or more and no corporate domain exists; raise the turnover floor to INR 50 crore for proprietorships and partnerships</t>
  </si>
  <si>
    <t xml:space="preserve">official_email_address, official_email_is_free_webmail, corporate_domain_exists, revenue_from_operations, free_webmail_used_on_filing_count, entity_type, email_shared_with_other_entities_count</t>
  </si>
  <si>
    <t xml:space="preserve">Free webmail is entirely normal for small and micro enterprises, for proprietorships, for family firms and for older promoters, so the rule must be driven by the mismatch with scale rather than by webmail itself; set the turnover floor by sector and entity type, and suppress everything below it. Also suppress where the entity has a real corporate domain and merely lists a personal address on one form, where the filing was made by a professional who entered his own address, and for entities in sectors that genuinely operate through marketplaces or aggregators. Note that MCA and GST both permit personal email as the authorised signatory's contact, so this is a plausibility signal and never a breach. What lifts it is a company claiming tens of crores of exports or contracts while every counterparty communication runs through a numbered Gmail account, an address that also serves several other unrelated registrations, or an address whose handle bears no relation to the company name. Tighten where the same webmail appears on the bank mandate and the GST registration of multiple entities.</t>
  </si>
  <si>
    <t xml:space="preserve">MCA Company Master Data, GST Registration Certificate (REG-06), AOC-4 / AOC-4 XBRL Financial Statements</t>
  </si>
  <si>
    <t xml:space="preserve">Email Header / MX Record, Bank Account Opening / KYC File</t>
  </si>
  <si>
    <t xml:space="preserve">A genuine family-run trading business of long standing has simply always used the proprietor's personal Gmail for everything.</t>
  </si>
  <si>
    <t xml:space="preserve">DIG-023 (same email across many unrelated registrations), DIG-021 (no MX record on the claimed domain), FIN-041 (large turnover with negligible fixed assets)</t>
  </si>
  <si>
    <t xml:space="preserve">FIU-IND red flag; RBI Master Direction KYC 2016</t>
  </si>
  <si>
    <t xml:space="preserve">DIG-023</t>
  </si>
  <si>
    <t xml:space="preserve">Contact reuse</t>
  </si>
  <si>
    <t xml:space="preserve">One phone number or email address appears across many unrelated registrations</t>
  </si>
  <si>
    <t xml:space="preserve">The same mobile number or mailbox is the official contact on GST, MCA, bank and Udyam records for numerous companies that claim no relationship. Whoever holds that number effectively controls the whole set.</t>
  </si>
  <si>
    <t xml:space="preserve">distinct_entities_sharing_contact &gt;= 6 AND entities_share_disclosed_group == false AND contact_owner_is_registered_professional == false AND contact_used_as_otp_channel == true</t>
  </si>
  <si>
    <t xml:space="preserve">6 or more unrelated entities sharing one mobile number or email as the official or OTP contact; escalate at 3 when the entities also transact with each other</t>
  </si>
  <si>
    <t xml:space="preserve">official_contact_phone, official_email_address, distinct_entities_sharing_contact, entities_share_disclosed_group, contact_owner_is_registered_professional, contact_used_as_otp_channel, entities_registration_date_spread_days</t>
  </si>
  <si>
    <t xml:space="preserve">Normalise before counting — strip country codes, spaces and leading zeros on phone numbers, and lower-case plus strip dot and plus-tag aliases on Gmail addresses, or the same contact will look like five different ones. Then carve out the legitimate hubs: a chartered accountant, tax consultant or company secretary is often listed as the contact for many clients; a group secretarial desk uses one number for every group entity; a promoter genuinely owning several businesses is entitled to use his own number for all of them, though that itself defines a relationship worth mapping. The rule is most valuable precisely because it turns 'unrelated' entities into a disclosed cluster: treat a hit as evidence of a relationship to be tested against the entities' own claims of independence, particularly where they trade with one another and deny connection. Tighten when the shared contact is the OTP and password-reset channel for bank and GST logins, because that is operational control rather than administrative convenience, and when several of the linked entities are struck off, dormant or have cancelled registrations.</t>
  </si>
  <si>
    <t xml:space="preserve">Derived — cross-entity graph, GST Registration Certificate (REG-06), MCA Company Master Data</t>
  </si>
  <si>
    <t xml:space="preserve">Udyam / MSME Registration, Bank Account Opening / KYC File</t>
  </si>
  <si>
    <t xml:space="preserve">The number belongs to the accountant or group admin who is legitimately listed as the contact person for many client or group entities.</t>
  </si>
  <si>
    <t xml:space="preserve">DIG-016 (one IP filing for many entities), DIG-028 (identity documents reused across entities), OWN-013 (undisclosed common control)</t>
  </si>
  <si>
    <t xml:space="preserve">FIU-IND red flag; RBI Master Direction KYC 2016; CBIC fake-registration drive</t>
  </si>
  <si>
    <t xml:space="preserve">DIG-024</t>
  </si>
  <si>
    <t xml:space="preserve">Telecom verification</t>
  </si>
  <si>
    <t xml:space="preserve">Official phone number is VoIP, unallocated or ported immediately before registration</t>
  </si>
  <si>
    <t xml:space="preserve">The contact number on the company's registrations does not correspond to a stable subscriber line: it is a VoIP or virtual number, sits in an unallocated series, or was ported or activated days before the entity registered. A disposable line suits an entity meant to be abandoned.</t>
  </si>
  <si>
    <t xml:space="preserve">(phone_number_type == 'voip_or_virtual' OR phone_series_allocated == false OR days_between_number_activation_and_registration &lt;= 30) AND phone_used_as_official_contact == true AND number_reachability_verified == false</t>
  </si>
  <si>
    <t xml:space="preserve">N/A — categorical; VoIP or unallocated series, or activation or port within 30 days before registration, plus failed reachability on two attempts</t>
  </si>
  <si>
    <t xml:space="preserve">Point in time, with 12-month telecom history</t>
  </si>
  <si>
    <t xml:space="preserve">official_contact_phone, phone_number_type, phone_series_allocated, phone_carrier, days_between_number_activation_and_registration, phone_used_as_official_contact, number_reachability_verified</t>
  </si>
  <si>
    <t xml:space="preserve">VoIP is mainstream business telephony, so treat it as context rather than a defect: cloud call-centre numbers, toll-free and virtual landlines from Exotel, Knowlarity, Ozonetel and similar providers are used by thoroughly legitimate firms, and mobile number portability is a routine consumer right exercised for tariff reasons. Suppress where the number is a published customer-service line, where the entity is new and naturally obtained a number just before registering, and where a business simply moved carrier. Reachability probes are weak evidence on their own — busy, DND, switched off and call-screening are all normal — so require repeated failure over days rather than a single attempt. The findings that matter are structural: a series that the national numbering plan does not allocate at all (an outright fabricated number), a number that resolves to a different subscriber name from the applicant, and a virtual number acquired days before a large credit facility or GST registration and abandoned soon after. Tighten when the same virtual-number provider and activation window recur across several entities in a chain.</t>
  </si>
  <si>
    <t xml:space="preserve">Telephone Directory / Telecom Record, GST Registration Certificate (REG-06)</t>
  </si>
  <si>
    <t xml:space="preserve">MCA Company Master Data, Bank Account Opening / KYC File</t>
  </si>
  <si>
    <t xml:space="preserve">The firm uses a cloud telephony or virtual business number, or the proprietor recently ported his mobile to a cheaper operator.</t>
  </si>
  <si>
    <t xml:space="preserve">DIG-023 (same number across many registrations), DIG-021 (no MX record for the invoice domain), OPS-008 (no presence found at the registered office)</t>
  </si>
  <si>
    <t xml:space="preserve">TRAI National Numbering Plan; RBI Master Direction KYC 2016</t>
  </si>
  <si>
    <t xml:space="preserve">DIG-025</t>
  </si>
  <si>
    <t xml:space="preserve">Web presence quality</t>
  </si>
  <si>
    <t xml:space="preserve">Website text and imagery duplicated from another company's site</t>
  </si>
  <si>
    <t xml:space="preserve">Large blocks of the company's website — about-us text, product pages, even client logos and team photos — are copied verbatim from another firm's site. The web presence is a prop assembled to make a shell look like a business.</t>
  </si>
  <si>
    <t xml:space="preserve">site_text_duplicate_ratio &gt;= 0.60 AND duplicate_source_is_unrelated_entity == true AND stock_or_reused_image_ratio &gt;= 0.50 AND site_is_not_franchise_or_reseller == true</t>
  </si>
  <si>
    <t xml:space="preserve">60% or more of substantive page text matching an unrelated site by shingle similarity, and half or more images traceable to stock libraries or other sites</t>
  </si>
  <si>
    <t xml:space="preserve">site_text_duplicate_ratio, duplicate_source_domain, duplicate_source_is_unrelated_entity, stock_or_reused_image_ratio, site_is_not_franchise_or_reseller, site_page_count, site_contains_entity_specific_details</t>
  </si>
  <si>
    <t xml:space="preserve">Copying is endemic on the small-business web for wholly innocent reasons: cheap web shops resell the same template with the same filler copy to hundreds of clients, resellers and distributors are given the manufacturer's product descriptions to publish, franchisees republish the franchisor's pages, and stock photography of offices and handshakes is normal marketing. So exclude boilerplate, template chrome, privacy policies, standard product specifications and legal text before computing similarity, and suppress where a distribution, franchise or group relationship explains the reuse. Weigh what cannot be innocently copied: another named company's client list, another firm's team photographs and staff names, testimonials naming a different entity, or an address and registration number belonging to someone else left un-replaced. Also consider the site as a whole — a two-page site with no product detail, no working contact form and no entity-specific facts, standing behind a claimed multi-crore turnover, is the real signal. Tighten when the duplicated source is itself a struck-off or blacklisted entity, or when several entities in one supply chain share the same cloned site.</t>
  </si>
  <si>
    <t xml:space="preserve">Social Media / Employee Listing (LinkedIn), Adverse Media / News Archive</t>
  </si>
  <si>
    <t xml:space="preserve">The site came from a cheap template shop or republishes the manufacturer's product copy, as thousands of legitimate small firms do.</t>
  </si>
  <si>
    <t xml:space="preserve">DIG-019 (domain younger than claimed history), DIG-026 (site stale for years), OPS-019 (no employees traceable on professional networks)</t>
  </si>
  <si>
    <t xml:space="preserve">SEBI vanishing companies; FIU-IND red flag</t>
  </si>
  <si>
    <t xml:space="preserve">DIG-026</t>
  </si>
  <si>
    <t xml:space="preserve">Website copyright year or last content update is years stale against active trading</t>
  </si>
  <si>
    <t xml:space="preserve">The site's copyright line, latest news item and last archived change are years old, while the company reports current, growing turnover. The public shopfront was set up once and abandoned, which fits a paper entity.</t>
  </si>
  <si>
    <t xml:space="preserve">years_since_last_content_change &gt;= 3 AND copyright_year_lag_years &gt;= 3 AND revenue_from_operations &gt; 100000000 AND entity_claims_active_operations == true</t>
  </si>
  <si>
    <t xml:space="preserve">No substantive content change for 3 or more years and a copyright year 3 or more years behind, while turnover exceeds INR 10 crore</t>
  </si>
  <si>
    <t xml:space="preserve">3 FY plus web archive history</t>
  </si>
  <si>
    <t xml:space="preserve">copyright_year_on_site, copyright_year_lag_years, last_content_change_date, years_since_last_content_change, revenue_from_operations, entity_claims_active_operations, site_archive_snapshot_count</t>
  </si>
  <si>
    <t xml:space="preserve">This is weak evidence and must be weighted accordingly, because plenty of profitable firms neglect their websites: B2B manufacturers, job-workers, contractors and commodity traders win work by relationship and tender, not by web presence, and many have migrated their public activity to LinkedIn, Instagram, IndiaMART or WhatsApp Business, where they are entirely current. A hard-coded copyright year is a developer's oversight, not a fact about the business, so treat it only as a tie-breaker and check archive snapshots for real content changes rather than trusting the footer. Suppress where recent activity exists on any other channel, where the entity is a captive supplier or a pure holding company with no reason to market, and where the site is a brochure by design. The combination that carries weight is a dormant website plus no other digital footprint at all plus large claimed turnover — that is a business invisible to everyone except its own filings. Tighten when the site went stale in the same period the turnover supposedly multiplied.</t>
  </si>
  <si>
    <t xml:space="preserve">Company Website Content, Adverse Media / News Archive</t>
  </si>
  <si>
    <t xml:space="preserve">Social Media / Employee Listing (LinkedIn), Website WHOIS / Domain Record</t>
  </si>
  <si>
    <t xml:space="preserve">A busy B2B firm simply never updates its brochure website because it sells through relationships and tenders instead.</t>
  </si>
  <si>
    <t xml:space="preserve">DIG-025 (copied website content), DIG-027 (SSL certificate absent or late), OPS-019 (no traceable employees online)</t>
  </si>
  <si>
    <t xml:space="preserve">DIG-027</t>
  </si>
  <si>
    <t xml:space="preserve">SSL certificate absent or first issued long after the claimed operating period began</t>
  </si>
  <si>
    <t xml:space="preserve">The company's site has no HTTPS certificate, or its earliest certificate in the public transparency logs post-dates the trading history it claims. The technical trail shows the web presence is newer than the business story.</t>
  </si>
  <si>
    <t xml:space="preserve">(ssl_certificate_present == false OR earliest_ct_log_entry_date &gt; claimed_operations_start_date + 365) AND site_collects_customer_data == true AND claimed_years_in_business &gt;= 3</t>
  </si>
  <si>
    <t xml:space="preserve">No valid certificate at all, or first Certificate Transparency entry more than 12 months after the claimed start of operations, where a claimed history of 3 years or more exists</t>
  </si>
  <si>
    <t xml:space="preserve">Point in time, with full Certificate Transparency history</t>
  </si>
  <si>
    <t xml:space="preserve">ssl_certificate_present, ssl_certificate_subject, ssl_certificate_valid_from, earliest_ct_log_entry_date, claimed_operations_start_date, claimed_years_in_business, site_collects_customer_data</t>
  </si>
  <si>
    <t xml:space="preserve">Certificate history is a proxy for domain history and must be read as such, with several honest confounders. Free automated certificates renew every 90 days, so a current certificate says nothing about age — always use the earliest Certificate Transparency entry, remembering that CT logging only became universal around 2018, so absence before that is expected and must not be read as absence of the site. Sites behind Cloudflare or a shared host show the provider's certificate rather than the owner's, and a brochure site that collects nothing has little reason to hold one, so suppress where no data is collected and where hosting explains the subject name. What matters is the mismatch: a firm claiming a decade of online trading whose domain first appears in CT logs last year, or a payment or order page running without any certificate at all, which no genuine e-commerce operation could sustain. Tighten when the certificate subject names a different, unrelated entity, and when several counterparties' certificates were all issued in the same week.</t>
  </si>
  <si>
    <t xml:space="preserve">Email Header / MX Record, Adverse Media / News Archive</t>
  </si>
  <si>
    <t xml:space="preserve">The site is a brochure page on shared hosting that never needed its own certificate, or predates universal certificate transparency logging.</t>
  </si>
  <si>
    <t xml:space="preserve">DIG-019 (domain younger than claimed history), DIG-020 (no verifiable registrant), DIG-025 (copied website content)</t>
  </si>
  <si>
    <t xml:space="preserve">FIU-IND red flag; CERT-In guidance</t>
  </si>
  <si>
    <t xml:space="preserve">DIG-028</t>
  </si>
  <si>
    <t xml:space="preserve">Identity document reuse</t>
  </si>
  <si>
    <t xml:space="preserve">Same identity or address-proof image reused across different applicants or entities</t>
  </si>
  <si>
    <t xml:space="preserve">The scanned PAN, Aadhaar, utility bill or rent deed submitted as proof for one entity is the same image file — same hash or same perceptual fingerprint — as the proof filed for another, with the name or number regions altered. One document is being recycled to manufacture identities.</t>
  </si>
  <si>
    <t xml:space="preserve">identity_image_perceptual_hash_match == true AND count_distinct_applicants_on_matched_image &gt;= 2 AND declared_identity_number_differs == true AND same_person_multiple_entities_allowed == false</t>
  </si>
  <si>
    <t xml:space="preserve">Perceptual hash distance 0 to 4 across 2 or more applicants or entities where the declared PAN, Aadhaar or name differs; exact file-hash matches are reportable without further corroboration</t>
  </si>
  <si>
    <t xml:space="preserve">Point in time (across the KYC corpus)</t>
  </si>
  <si>
    <t xml:space="preserve">identity_document_image_hash, identity_image_perceptual_hash, count_distinct_applicants_on_matched_image, declared_identity_number, declared_identity_number_differs, document_type, same_person_multiple_entities_allowed</t>
  </si>
  <si>
    <t xml:space="preserve">The obvious innocent case must be removed first: one person legitimately files the same PAN card scan for every company he directs, and one landlord's electricity bill and rent deed legitimately support several tenants at a genuine shared or co-working address, so key the comparison on whether the declared identity differs, not on whether the image repeats. Similarly, a family sharing an address will submit the same utility bill, and a group will file one lease for all its entities at one premises. Handle redaction and masking carefully, since masked Aadhaar images from different people can look similar under weak hashing — use region-aware hashing that excludes the masked block, and confirm any hit visually before acting. The decisive patterns are one image bearing two different names or numbers (that is document alteration), an address proof reused across entities that claim different premises in different cities, and a proof whose issuing details do not match either applicant. Tighten to immediate escalation when the reuse spans bank account opening files, because that is a KYC breach as well as an indicator.</t>
  </si>
  <si>
    <t xml:space="preserve">Bank Account Opening / KYC File, Document Metadata (PDF / Office), Derived — cross-entity graph</t>
  </si>
  <si>
    <t xml:space="preserve">SPICe+ / INC-32 Incorporation, GST Registration Certificate (REG-06)</t>
  </si>
  <si>
    <t xml:space="preserve">The same director genuinely filed his own PAN scan for all his companies, or one landlord's utility bill supports several tenants at a real shared address.</t>
  </si>
  <si>
    <t xml:space="preserve">DIG-029 (KYC photograph is stock or matches another applicant), DIG-023 (one phone or email across many registrations), OWN-018 (dummy directors with no means)</t>
  </si>
  <si>
    <t xml:space="preserve">PMLA and RBI Master Direction KYC 2016; IT Act 2000 s.66C identity theft</t>
  </si>
  <si>
    <t xml:space="preserve">DIG-029</t>
  </si>
  <si>
    <t xml:space="preserve">KYC photograph is a stock image or matches a different applicant's face</t>
  </si>
  <si>
    <t xml:space="preserve">The applicant or director photograph in the KYC file is traceable to a stock library or social media, or biometrically matches a person registered under another name. The human being behind the entity is fictional or borrowed.</t>
  </si>
  <si>
    <t xml:space="preserve">(photo_reverse_image_source == 'stock_or_web' OR face_embedding_match_different_name == true) AND face_match_confidence &gt;= 0.90 AND applicant_liveness_or_video_kyc_done == false</t>
  </si>
  <si>
    <t xml:space="preserve">Reverse-image hit on a stock or public source, or face-embedding similarity 0.90 or above against an applicant with a different declared name; any hit requires human confirmation</t>
  </si>
  <si>
    <t xml:space="preserve">kyc_photograph_image_hash, photo_reverse_image_source, face_embedding_vector, face_embedding_match_different_name, face_match_confidence, applicant_declared_name, applicant_liveness_or_video_kyc_done</t>
  </si>
  <si>
    <t xml:space="preserve">Face matching carries real bias and error, so treat every hit as a lead requiring human confirmation and never as an automatic finding; measure and publish false-match rates across demographic groups before deploying, and set the threshold from the operating curve rather than by intuition. Legitimate causes of a same-face-different-name match are common in India: a name changed on marriage, a spelling or transliteration variant, initials expanded or dropped, a father's name recorded as a surname, and identical twins. Reverse-image hits also arise honestly when a director's own LinkedIn or press photograph is the picture he submitted, so check whether the source is the applicant's own public profile before calling it stock. Suppress where video KYC or in-person verification with liveness has been completed, since that is stronger evidence than any image check. What is unambiguous is a photograph traced to a stock catalogue or to a celebrity or unrelated person's picture, and one face appearing under several unrelated PANs. Tighten across the whole cluster once one such photograph is found, and preserve the image evidence for the regulator.</t>
  </si>
  <si>
    <t xml:space="preserve">Bank Account Opening / KYC File, DIR-3 KYC</t>
  </si>
  <si>
    <t xml:space="preserve">Social Media / Employee Listing (LinkedIn), SPICe+ / INC-32 Incorporation</t>
  </si>
  <si>
    <t xml:space="preserve">The director submitted the same professional headshot that appears on his own LinkedIn profile, or the name differs only through marriage or transliteration.</t>
  </si>
  <si>
    <t xml:space="preserve">DIG-028 (identity documents reused across entities), DIG-030 (OCR identity fields inconsistent across documents), OWN-018 (dummy directors with no visible means)</t>
  </si>
  <si>
    <t xml:space="preserve">PMLA; RBI Master Direction KYC 2016 video-KYC; IT Act 2000 s.66C</t>
  </si>
  <si>
    <t xml:space="preserve">DIG-030</t>
  </si>
  <si>
    <t xml:space="preserve">Identity data consistency</t>
  </si>
  <si>
    <t xml:space="preserve">OCR-extracted identity fields disagree across documents for the same person</t>
  </si>
  <si>
    <t xml:space="preserve">The name, date of birth, father's name or address read from a person's PAN, Aadhaar, passport and bank KYC do not agree with each other or with the MCA record. Either the documents were altered or two identities are being blended into one.</t>
  </si>
  <si>
    <t xml:space="preserve">identity_field_mismatch_count &gt;= 2 AND mismatch_is_beyond_transliteration_variance == true AND ocr_confidence_min &gt;= 0.85 AND dob_mismatch_days &gt; 0</t>
  </si>
  <si>
    <t xml:space="preserve">2 or more identity fields disagreeing beyond normalisation, or any date-of-birth mismatch, with minimum OCR confidence 0.85 across the compared documents</t>
  </si>
  <si>
    <t xml:space="preserve">Point in time (per identity dossier)</t>
  </si>
  <si>
    <t xml:space="preserve">ocr_name_field, ocr_father_name_field, ocr_dob_field, ocr_address_field, identity_field_mismatch_count, mismatch_is_beyond_transliteration_variance, ocr_confidence_min, source_document_type</t>
  </si>
  <si>
    <t xml:space="preserve">Indian identity data is genuinely messy, so aggressive normalisation must come before any comparison or this rule will drown the team: expand and drop initials, handle surname-first and patronymic orders, map common transliterations (Kumar/Kumaar, Krishnan/Krishna, Mohd/Mohammed), ignore honorifics, and remember that Aadhaar for many older citizens carries 01-01 of the birth year as a placeholder date, which is not a discrepancy. Addresses legitimately differ because people move and only update some records, and a maiden name persists on an old PAN after marriage, so weight name and address mismatches far below date-of-birth and parentage mismatches. Suppress where the difference is explained by a documented name change, a gazette notification or a PAN correction. The finding worth pursuing is a systematic one: two different dates of birth on documents used for the same directorship, a father's name that changes between the PAN and the Aadhaar, or fields that differ in exactly the way needed to defeat a duplicate check. Tighten where the identity underpins a KYC-critical role such as an authorised signatory or a beneficial owner declaration.</t>
  </si>
  <si>
    <t xml:space="preserve">Bank Account Opening / KYC File, DIR-3 KYC, PAN Master Data</t>
  </si>
  <si>
    <t xml:space="preserve">DIN Master Data, BEN-1 / BEN-2 Significant Beneficial Owner</t>
  </si>
  <si>
    <t xml:space="preserve">Transliteration, initials, a maiden name or an Aadhaar placeholder birth date make the same person's records differ innocently.</t>
  </si>
  <si>
    <t xml:space="preserve">DIG-028 (identity documents reused across entities), DIG-029 (photograph matches another applicant), OWN-026 (beneficial owner declaration inconsistent with shareholding)</t>
  </si>
  <si>
    <t xml:space="preserve">RBI Master Direction KYC 2016; PMLA record-keeping; Companies Act 2013 s.153 DIN</t>
  </si>
  <si>
    <t xml:space="preserve">NET-001</t>
  </si>
  <si>
    <t xml:space="preserve">Network &amp; Cross-Entity Linkage</t>
  </si>
  <si>
    <t xml:space="preserve">Shared address cluster</t>
  </si>
  <si>
    <t xml:space="preserve">Address node carries an improbable count of active entities with internal cross-links</t>
  </si>
  <si>
    <t xml:space="preserve">Build a graph where entities and normalised addresses are nodes and an edge means 'registered here'. An address whose degree (number of entities attached) is far above what that pincode normally shows, and whose entities also link to each other by director or auditor, is an incorporation nest rather than a building.</t>
  </si>
  <si>
    <t xml:space="preserve">address_node_degree_active &gt;= 15 AND address_degree_pincode_zscore &gt;= 3 AND address_is_service_provider_flag == false AND cluster_internal_link_density &gt;= 0.30 AND cluster_struck_off_share &gt;= 0.10</t>
  </si>
  <si>
    <t xml:space="preserve">Degree &gt;= 15 active entities and &gt;= 3 sigma above the pincode degree distribution; internal link density &gt;= 0.30; &gt;= 10% of the cluster already struck off</t>
  </si>
  <si>
    <t xml:space="preserve">Point in time, with 5 FY history of the address</t>
  </si>
  <si>
    <t xml:space="preserve">registered_office_address_normalised, address_node_degree_active, address_degree_pincode_zscore, cluster_internal_link_density, cluster_struck_off_share, address_is_service_provider_flag</t>
  </si>
  <si>
    <t xml:space="preserve">This is the address rule expressed as a graph metric, so it stands or falls on two things: normalisation and the exclusion register. Normalise by stripping unit, flat, floor, wing, plot, door and shop tokens and by geocoding to a building polygon, otherwise one tower fragments into fifty nodes and the degree never rises. Then maintain and apply an exclusion register of legitimate high-degree addresses: co-working operators (WeWork, Regus, Awfis, 91springboard, Innov8), registered-office service providers and virtual-office vendors, chartered accountant and company secretary firm premises, incubators, STPI and SEZ units, IT parks, industrial estates, and large group headquarters where the whole group is genuinely registered at one campus. Suppress when address_is_service_provider_flag is true, or when the co-located entities share a single verified corporate parent, or when the pincode is a designated business district where high degree is the local norm - which is why the z-score is measured against the pincode distribution and not a national constant. The internal link density term is what separates a business centre from a mill: 40 unrelated tenants in a tower have density near zero, 15 entities sharing three directors and one auditor have density near one. Tighten to degree &gt;= 6 when the address is a residential flat, when several entities were incorporated in the same quarter, or when the address has already produced a struck-off entity. Relax for LLPs and proprietorships in trade hubs where family firms genuinely share ancestral premises.</t>
  </si>
  <si>
    <t xml:space="preserve">Derived — cross-entity graph, INC-22 Registered Office, MCA Company Master Data</t>
  </si>
  <si>
    <t xml:space="preserve">The address is a genuine multi-tenant business centre, incubator or group campus where many real firms are lawfully registered.</t>
  </si>
  <si>
    <t xml:space="preserve">OPS-001 (mass registered office), NET-008 (same formation agent across the cluster), NET-009 (cluster incorporated in one narrow window)</t>
  </si>
  <si>
    <t xml:space="preserve">NET-002</t>
  </si>
  <si>
    <t xml:space="preserve">Shared contact identifiers</t>
  </si>
  <si>
    <t xml:space="preserve">One telephone number serves several unrelated entities across different addresses</t>
  </si>
  <si>
    <t xml:space="preserve">Nodes are entities and phone numbers taken from MCA master data, GST registration and bank KYC; an edge means the entity declared that number. A single mobile or landline answering for many entities that share nothing else means one operator is running all of them.</t>
  </si>
  <si>
    <t xml:space="preserve">phone_node_degree_entities &gt;= 4 AND shared_phone_distinct_address_count &gt;= 2 AND phone_is_professional_firm_flag == false AND shared_phone_entities_common_group_flag == false</t>
  </si>
  <si>
    <t xml:space="preserve">One number on 4 or more entities spanning 2 or more distinct addresses; excludes numbers registered to CA/CS firms, formation agents and verified group treasuries</t>
  </si>
  <si>
    <t xml:space="preserve">Point in time, refreshed each filing cycle</t>
  </si>
  <si>
    <t xml:space="preserve">contact_phone_number_normalised, phone_node_degree_entities, shared_phone_distinct_address_count, phone_is_professional_firm_flag, shared_phone_entities_common_group_flag, phone_first_seen_date</t>
  </si>
  <si>
    <t xml:space="preserve">Normalise to E.164 and drop the +91 and leading-zero variants first, or the same number appears as three nodes. The dominant benign source is the professional: a chartered accountant, company secretary or formation agent puts the firm's own number on every client's forms because clients cannot be reached, so maintain a directory of professional-firm and agent numbers and suppress on match - but log the count, because an agent number on 200 entities is itself the input to NET-008. Genuine groups also share a switchboard, so suppress when the entities resolve to one verified corporate parent through BEN-2 or shareholding. Family businesses in trade share a household landline, so relax for proprietorships, partnerships and entities under one common promoter family. Tighten when the shared number spans different states or unrelated NIC codes, when it is a prepaid mobile rather than a landline, when the same number also appears in the bank account opening KYC file, or when one of the entities is already struck off or has a cancelled GST registration. A number shared across 4 entities in one town is weak; the same number across 4 entities in 4 states is close to conclusive.</t>
  </si>
  <si>
    <t xml:space="preserve">Derived — cross-entity graph, MCA Company Master Data, GST Registration Certificate (REG-06)</t>
  </si>
  <si>
    <t xml:space="preserve">Bank Account Opening / KYC File, Telephone Directory / Telecom Record</t>
  </si>
  <si>
    <t xml:space="preserve">A shared accountant, agent or family switchboard number is filed on behalf of several genuinely separate clients or group firms.</t>
  </si>
  <si>
    <t xml:space="preserve">NET-003 (same entities also share an email domain), NET-001 (same entities also share an address), OPS-012 (no independent telephone or utility trail)</t>
  </si>
  <si>
    <t xml:space="preserve">FIU-IND red flag; MCA INC-22A ACTIVE verification</t>
  </si>
  <si>
    <t xml:space="preserve">NET-003</t>
  </si>
  <si>
    <t xml:space="preserve">Several unrelated entities file under one email address or one free-mail mailbox family</t>
  </si>
  <si>
    <t xml:space="preserve">Entities are linked to the email addresses they declare on MCA, GST and bank forms. When the same mailbox, or a set of mailboxes differing only by a trailing digit on a free provider, covers many entities, one person is controlling the correspondence for all of them.</t>
  </si>
  <si>
    <t xml:space="preserve">(email_node_degree_entities &gt;= 4 OR email_local_part_family_degree &gt;= 4) AND email_domain_is_free_provider == true AND email_is_professional_firm_flag == false AND shared_email_entities_common_group_flag == false</t>
  </si>
  <si>
    <t xml:space="preserve">4 or more entities per mailbox, or per local-part family such as name1@ / name2@ / name3@; free-provider domains only for the base rule, 3 or more for paid custom domains not owned by any of the entities</t>
  </si>
  <si>
    <t xml:space="preserve">Point in time, with change history from MCA and GST amendments</t>
  </si>
  <si>
    <t xml:space="preserve">contact_email_normalised, email_node_degree_entities, email_local_part_family_degree, email_domain_is_free_provider, email_is_professional_firm_flag, shared_email_entities_common_group_flag</t>
  </si>
  <si>
    <t xml:space="preserve">Distinguish three cases before scoring. First, professional and agent mailboxes: a CA firm's office id sits on hundreds of clients' filings and is benign at the entity level - suppress on the professional directory, but feed the count to NET-008. Second, genuine group mailboxes on a corporate domain owned by the parent: suppress when the domain WHOIS registrant resolves to a group entity and the group relationship is confirmed by BEN-2 or shareholding. Third, the real signal: a gmail, yahoo, rediff or outlook mailbox, or a sequential family of them, spanning entities with no common parent - that is one controller. Treat the local-part family test carefully because it produces false positives on common Indian names; require an edit distance of one on a numeric suffix only, not on the name stem. Tighten when the domain was registered within 60 days of the entities' incorporation, when the domain has privacy-protected WHOIS, when the MX record points to a free provider while the entity claims large turnover, or when the same mailbox also appears on a struck-off entity. Relax for micro-enterprises and proprietorships, where a free mailbox is simply normal, and score only the sharing, never the free provider alone.</t>
  </si>
  <si>
    <t xml:space="preserve">Email Header / MX Record, Website WHOIS / Domain Record, Bank Account Opening / KYC File</t>
  </si>
  <si>
    <t xml:space="preserve">One accountant, agent or promoter family uses a single mailbox to manage correspondence for several small but genuine firms.</t>
  </si>
  <si>
    <t xml:space="preserve">NET-002 (same entities share a telephone number), NET-005 (same DSC or filing IP), OPS-015 (no genuine web or domain footprint)</t>
  </si>
  <si>
    <t xml:space="preserve">FIU-IND red flag; FATF shell company typology</t>
  </si>
  <si>
    <t xml:space="preserve">NET-004</t>
  </si>
  <si>
    <t xml:space="preserve">Shared banking rails</t>
  </si>
  <si>
    <t xml:space="preserve">Entities share a bank account, or one branch officer onboarded the whole cluster</t>
  </si>
  <si>
    <t xml:space="preserve">Link entities to bank accounts, to the branch IFSC, and to the relationship officer named in the account opening file. Several supposedly independent entities onboarded at one branch by one officer within a short window, or literally operating the same account, points to an insider-assisted account farm.</t>
  </si>
  <si>
    <t xml:space="preserve">(shared_bank_account_entity_count &gt;= 2) OR (branch_ifsc_entity_count &gt;= 6 AND account_opening_officer_id_entity_count &gt;= 4 AND account_opening_window_days &lt;= 90 AND branch_is_business_district_flag == false)</t>
  </si>
  <si>
    <t xml:space="preserve">Any account shared by 2+ distinct legal entities; or 6+ cluster entities at one IFSC with 4+ onboarded by one officer inside a 90-day window</t>
  </si>
  <si>
    <t xml:space="preserve">Rolling 24 months on account opening dates</t>
  </si>
  <si>
    <t xml:space="preserve">bank_account_number_hash, shared_bank_account_entity_count, branch_ifsc_entity_count, account_opening_officer_id_entity_count, account_opening_window_days, branch_is_business_district_flag</t>
  </si>
  <si>
    <t xml:space="preserve">The two limbs behave very differently. A single account operated by two legal entities is almost never legitimate and should fire on its own - the only real exceptions are escrow, TPA, nodal and pooled accounts operated under RBI mandate, agency accounts held by a payment aggregator, and liquidator or resolution-professional accounts, so exclude accounts flagged as nodal, escrow or pooled in the KYC file. The branch limb is far noisier: firms in one industrial estate or trade cluster naturally bank at the nearest branch, and one relationship manager owns a whole SME portfolio by design, so suppress when the branch sits in a designated business district or industrial estate whose entity concentration is the local norm, and measure branch_ifsc_entity_count as a z-score against other branches serving the same pincode rather than as an absolute. Suppress for verified group treasuries, where one bank and one RM handling twenty subsidiaries is ordinary cash management. Tighten sharply when the cluster's accounts also share signatories, when opening documents share an address or phone, when the officer later appears on other flagged clusters, or when the accounts show the pass-through pattern of near-equal credits and debits. Requires bank cooperation or suspicious-transaction data; without it, fall back to the IFSC visible on invoices and GST filings.</t>
  </si>
  <si>
    <t xml:space="preserve">Derived — cross-entity graph, Bank Account Opening / KYC File, Bank Statement</t>
  </si>
  <si>
    <t xml:space="preserve">GSTR-1, Loan Sanction / Facility Letter, UPI / IMPS / NEFT Transaction Log</t>
  </si>
  <si>
    <t xml:space="preserve">Firms in one industrial cluster or one corporate group bank at the same convenient branch and are handled by the same relationship manager.</t>
  </si>
  <si>
    <t xml:space="preserve">NET-028 (one small set of accounts settles many entities' obligations), NET-006 (shared authorised signatory), BNK-021 (pass-through account behaviour)</t>
  </si>
  <si>
    <t xml:space="preserve">PMLA; RBI Master Direction on KYC; FIU-IND STR indicators</t>
  </si>
  <si>
    <t xml:space="preserve">NET-005</t>
  </si>
  <si>
    <t xml:space="preserve">Shared filing infrastructure</t>
  </si>
  <si>
    <t xml:space="preserve">One Digital Signature Certificate or filing IP signs returns for many unrelated entities</t>
  </si>
  <si>
    <t xml:space="preserve">Nodes are entities, DSC serial numbers (the digital signature token used to sign MCA and GST filings) and the source IP or device fingerprint of the upload. If one token or one machine files for many entities that share no director, one back office is manufacturing the paperwork.</t>
  </si>
  <si>
    <t xml:space="preserve">(dsc_serial_entity_count &gt;= 5 AND dsc_holder_is_director_of_all == false) OR (filing_ip_entity_count &gt;= 8 AND filing_ip_is_professional_office_flag == false AND filings_same_ip_same_day_count &gt;= 4)</t>
  </si>
  <si>
    <t xml:space="preserve">One DSC serial on 5+ entities where the holder is not a director of all; or one IP or device fingerprint filing for 8+ entities with 4+ filings on a single day</t>
  </si>
  <si>
    <t xml:space="preserve">Rolling 24 months of filing events</t>
  </si>
  <si>
    <t xml:space="preserve">dsc_serial_number, dsc_serial_entity_count, dsc_holder_is_director_of_all, filing_ip_address_hash, filing_ip_entity_count, filings_same_ip_same_day_count, filing_ip_is_professional_office_flag</t>
  </si>
  <si>
    <t xml:space="preserve">The IP limb needs the heaviest tuning. Professional offices file for every client from one office IP, and that is lawful practice - hold a directory of CA, CS and cost-accountant office IPs and of GST Suvidha Provider and filing-portal egress ranges, and suppress on match while routing the count to NET-008. Shared-service centres of large groups, and outsourced accounting firms, likewise file dozens of legitimate entities from one machine. Carrier-grade NAT and mobile data mean many unrelated small filers can appear behind one public IP, so prefer a device or browser fingerprint over a bare IP where the portal exposes it, and never fire on IP alone in a residential broadband range without a second link. The DSC limb is stronger: a DSC is issued to a named person and is meant to stay with that person, so one token signing for entities on whose board the holder does not sit is a control signal rather than a convenience signal - the benign version is a director who genuinely sits on several group boards, which the dsc_holder_is_director_of_all test already removes. Treat as Critical when the DSC holder is an employee of the formation agent, when the entities span unrelated sectors and states, or when filings for several entities were uploaded within minutes of each other. Relax when the entities are declared subsidiaries of one parent.</t>
  </si>
  <si>
    <t xml:space="preserve">Derived — cross-entity graph, Signatory Details / DSC Register, IP &amp; Device Fingerprint Log</t>
  </si>
  <si>
    <t xml:space="preserve">Document Metadata (PDF / Office), MGT-7 / MGT-7A Annual Return, GSTR-1</t>
  </si>
  <si>
    <t xml:space="preserve">A professional firm or a group shared-service centre lawfully uploads filings for many client or subsidiary entities from one office machine.</t>
  </si>
  <si>
    <t xml:space="preserve">NET-008 (same formation or filing agent), NET-009 (incorporation burst by one agent), OPS-020 (identical document metadata author across entities)</t>
  </si>
  <si>
    <t xml:space="preserve">IT Act 2000 s.35 DSC; MCA V3 filing controls; FIU-IND red flag</t>
  </si>
  <si>
    <t xml:space="preserve">NET-006</t>
  </si>
  <si>
    <t xml:space="preserve">Shared control persons</t>
  </si>
  <si>
    <t xml:space="preserve">One authorised signatory operates bank or GST mandates for several unrelated entities</t>
  </si>
  <si>
    <t xml:space="preserve">Edges run from an authorised signatory (the person named on the bank mandate, GST profile or board resolution) to each entity they can act for. One person holding the operating mandate over many entities that are not in one group is the single controller behind a set of nominal companies.</t>
  </si>
  <si>
    <t xml:space="preserve">signatory_pan_entity_count &gt;= 4 AND signatory_entities_distinct_group_count &gt;= 3 AND signatory_is_director_share &lt;= 0.50 AND signatory_entities_distinct_nic_2digit &gt;= 3</t>
  </si>
  <si>
    <t xml:space="preserve">4+ entities per signatory PAN spanning 3+ distinct ownership groups and 3+ two-digit NIC codes, with the signatory a director of at most half of them</t>
  </si>
  <si>
    <t xml:space="preserve">Point in time, with 3 FY history of mandate changes</t>
  </si>
  <si>
    <t xml:space="preserve">authorised_signatory_pan, signatory_pan_entity_count, signatory_entities_distinct_group_count, signatory_is_director_share, signatory_entities_distinct_nic_2digit, signatory_entities_struck_off_count</t>
  </si>
  <si>
    <t xml:space="preserve">Resolve the signatory on PAN or DIN, never on name - Indian name collision rates make name matching worthless here and will generate mass false positives on common surnames. Large groups legitimately appoint one treasury head or one company secretary as signatory across every subsidiary, which is exactly why the rule demands 3 or more distinct ownership groups; collapse entities to their ultimate parent through BEN-2 and shareholding before counting, and suppress when they roll up to one parent. Professional trustees, resolution professionals, liquidators, and directors of a fund's portfolio SPVs also hold multi-entity mandates lawfully - carry them on an exclusion list with an expiry date, since a role that ended should stop excluding. Tighten when the signatory holds no equity and draws no salary anywhere in the set, when the mandate is sole rather than joint, when the same person appears on the account opening KYC of a struck-off entity, or when the entities span states the signatory has no presence in. A junior employee or a driver named as sole signatory on several companies is a classic nominee arrangement and should be escalated regardless of count.</t>
  </si>
  <si>
    <t xml:space="preserve">Derived — cross-entity graph, Bank Account Opening / KYC File, MGT-14 Resolutions</t>
  </si>
  <si>
    <t xml:space="preserve">GST Registration Certificate (REG-06), Signatory Details / DSC Register, DIR-12 Director Change</t>
  </si>
  <si>
    <t xml:space="preserve">A group treasury head or company secretary is lawfully the signatory for every subsidiary in one corporate group.</t>
  </si>
  <si>
    <t xml:space="preserve">NET-004 (same bank branch and opening officer), NET-012 (abnormal directorship count), OWN-018 (nominee director indicators)</t>
  </si>
  <si>
    <t xml:space="preserve">PMLA beneficial ownership; RBI Master Direction on KYC; Companies Act 2013 s.179</t>
  </si>
  <si>
    <t xml:space="preserve">NET-007</t>
  </si>
  <si>
    <t xml:space="preserve">Shared gatekeepers</t>
  </si>
  <si>
    <t xml:space="preserve">One audit firm signs for an improbable share of already-flagged entities</t>
  </si>
  <si>
    <t xml:space="preserve">Connect each entity to its statutory auditor via ADT-1 and the signed audit report. An auditor is suspicious not for having many clients but for having many clients that are themselves flagged, or for a client count no firm of that size could actually audit.</t>
  </si>
  <si>
    <t xml:space="preserve">auditor_frn_client_count &gt;= 20 AND auditor_flagged_client_share &gt;= 0.30 AND auditor_partner_count_declared &lt;= 3 AND auditor_clients_distinct_state_count &gt;= 3</t>
  </si>
  <si>
    <t xml:space="preserve">20+ clients on one firm registration number with 30%+ already flagged or struck off, firm declaring 3 or fewer partners, clients spread over 3+ states</t>
  </si>
  <si>
    <t xml:space="preserve">auditor_firm_registration_number, auditor_frn_client_count, auditor_flagged_client_share, auditor_partner_count_declared, auditor_clients_distinct_state_count, auditor_signing_date_concentration</t>
  </si>
  <si>
    <t xml:space="preserve">Raw client count is a terrible signal on its own - a mid-size firm in Mumbai or Delhi audits hundreds of real companies, and the statutory ceiling under s.141(3)(g) is 20 companies per partner, so a 10-partner firm can lawfully hold 200 audits. That is why the rule keys on the flagged share and on the partner count from the ICAI register: the real pattern is a one- or two-partner firm carrying dozens of clients spread across states it has no office in. Suppress when the firm's ICAI record shows enough partners and branch offices to support the load, and when the clients are a genuine group audited under one appointment. Adjust the flagged-share baseline by sector and by the base rate of your own flagging engine, or a noisy upstream ruleset will convict every auditor - recompute the share against the population mean, not a fixed 30%, when your flag rate drifts. Tighten when audit reports for many clients are signed on the same day or in a two-day window, when the same UDIN block covers unrelated entities, when the auditor's address matches the clients' registered office, or when the firm has faced NFRA or ICAI disciplinary action. Escalate to Critical only with a second gatekeeper link such as a shared formation agent.</t>
  </si>
  <si>
    <t xml:space="preserve">Derived — cross-entity graph, ADT-1 Auditor Appointment, Auditor Report</t>
  </si>
  <si>
    <t xml:space="preserve">AOC-4 / AOC-4 XBRL Financial Statements, ADT-3 Auditor Resignation, CARO Annexure</t>
  </si>
  <si>
    <t xml:space="preserve">A genuinely large or multi-branch audit firm has many clients, some of which independently attract flags.</t>
  </si>
  <si>
    <t xml:space="preserve">NET-008 (same formation agent across the same clients), CMP-030 (auditor resigned mid-term across the cluster), NET-001 (auditor address equals client registered office)</t>
  </si>
  <si>
    <t xml:space="preserve">Companies Act 2013 s.139 and s.141(3)(g); NFRA enforcement; ICAI UDIN</t>
  </si>
  <si>
    <t xml:space="preserve">NET-008</t>
  </si>
  <si>
    <t xml:space="preserve">Same company-formation or filing agent behind a large block of entities</t>
  </si>
  <si>
    <t xml:space="preserve">Identify the professional who signed the incorporation certification (SPICe+) and who files the annual returns, then count the entities per agent. The agent node with a very large block, an unusually high strike-off rate and repeated address reuse is running an incorporation mill.</t>
  </si>
  <si>
    <t xml:space="preserve">agent_membership_number_entity_count &gt;= 30 AND agent_cohort_struck_off_rate &gt;= 0.15 AND agent_cohort_address_reuse_rate &gt;= 0.20 AND agent_cohort_median_paid_up_capital &lt;= 200000</t>
  </si>
  <si>
    <t xml:space="preserve">30+ entities per agent membership number with 15%+ struck off, 20%+ sharing addresses inside the cohort, and cohort median paid-up capital at or below INR 2 lakh</t>
  </si>
  <si>
    <t xml:space="preserve">5 FY of incorporations</t>
  </si>
  <si>
    <t xml:space="preserve">agent_membership_number, agent_membership_number_entity_count, agent_cohort_struck_off_rate, agent_cohort_address_reuse_rate, agent_cohort_median_paid_up_capital, agent_cohort_incorporation_burst_count</t>
  </si>
  <si>
    <t xml:space="preserve">Incorporating many companies is the professional's actual job, so volume alone must never fire - the discriminator is the quality of the cohort. A busy Delhi or Bengaluru CS legitimately certifies hundreds of SPICe+ forms a year for real startups; that cohort raises capital, files INC-20A, gets GST registrations and stays alive. The mill cohort has minimum capital, shared addresses, no commencement filing and a high early strike-off rate. Compute struck-off rate only on entities old enough to be struck off, or you will punish agents whose cohort is simply young, and always benchmark the rate against the national cohort survival curve rather than a fixed number. Suppress for agents attached to registered incubators, accelerators and government startup programmes, whose cohorts are genuinely young and thinly capitalised by design. Note that this rule scores the agent, not the entity - it should raise the prior on every entity in the cohort by a modest amount, never convict one entity by itself, and it should be reweighted downward as the entity accumulates independent operating evidence such as EPFO filings or real GST turnover. Tighten when the agent also appears as auditor, signatory or registered-office provider for the same entities.</t>
  </si>
  <si>
    <t xml:space="preserve">Derived — cross-entity graph, SPICe+ / INC-32 Incorporation, MCA Company Master Data</t>
  </si>
  <si>
    <t xml:space="preserve">MGT-7 / MGT-7A Annual Return, MCA Struck-Off Company List, INC-20A Commencement</t>
  </si>
  <si>
    <t xml:space="preserve">A high-volume but honest company secretary or incorporation platform files for hundreds of genuine small businesses each year.</t>
  </si>
  <si>
    <t xml:space="preserve">NET-009 (incorporation burst in one narrow window), NET-005 (same DSC or filing IP), NET-010 (sequential CINs within the cohort)</t>
  </si>
  <si>
    <t xml:space="preserve">Companies Act 2013 s.7; MCA shell company identification drive 2017-18</t>
  </si>
  <si>
    <t xml:space="preserve">NET-009</t>
  </si>
  <si>
    <t xml:space="preserve">Incorporation cohort</t>
  </si>
  <si>
    <t xml:space="preserve">Block of entities incorporated by one agent inside a narrow window with shared attributes</t>
  </si>
  <si>
    <t xml:space="preserve">Within one agent's cohort, look for a burst: many incorporations inside a few weeks that also share an address, capital amount or director. Real demand for company formation arrives spread out; a batch created together is usually a batch built to order for one buyer.</t>
  </si>
  <si>
    <t xml:space="preserve">agent_incorporations_in_window &gt;= 8 AND incorporation_window_days &lt;= 30 AND burst_shared_attribute_count &gt;= 2 AND burst_identical_paid_up_capital_share &gt;= 0.60 AND burst_inc20a_filed_share &lt;= 0.40</t>
  </si>
  <si>
    <t xml:space="preserve">8+ incorporations by one agent within 30 days, sharing 2+ attributes (address, capital, director, email), 60%+ with identical paid-up capital, 40% or fewer filing INC-20A</t>
  </si>
  <si>
    <t xml:space="preserve">Rolling 30-day windows over 5 FY</t>
  </si>
  <si>
    <t xml:space="preserve">agent_membership_number, agent_incorporations_in_window, incorporation_window_days, burst_shared_attribute_count, burst_identical_paid_up_capital_share, burst_inc20a_filed_share</t>
  </si>
  <si>
    <t xml:space="preserve">Bursts have honest causes and the rule must know them. Year-end and quarter-end spikes are real: promoters incorporate before 31 March for a clean first financial year, and again around 1 April, so seasonally deseasonalise the window or compare each window against the same agent's own weekly baseline rather than a flat count. Regulatory deadlines produce genuine batches too - a change in FDI rules, a new licensing regime, or a state incentive scheme with a cut-off date will push a real cluster of incorporations. Legitimate structuring also creates batches: a fund or developer setting up ten project SPVs, a franchise chain creating regional entities, or a corporate reorganisation. Suppress when the burst entities have a disclosed common parent, when they file INC-20A and obtain GST registrations, or when capital is above a real operating threshold. The strongest form of the signal is uniformity: identical authorised and paid-up capital to the rupee, sequential CINs, one address, and no commencement filing - that combination is a shelf-company batch waiting to be sold, and it should be treated as High even before any transaction occurs. Tighten when directors are later swapped out wholesale within 12 months, which is the sale event.</t>
  </si>
  <si>
    <t xml:space="preserve">INC-20A Commencement, PAS-3 Return of Allotment, DIR-12 Director Change</t>
  </si>
  <si>
    <t xml:space="preserve">An agent files a genuine batch of SPVs or a seasonal pre-year-end rush of real incorporations for different clients.</t>
  </si>
  <si>
    <t xml:space="preserve">NET-008 (agent cohort quality is poor), NET-010 (sequential CINs), CMP-007 (directors replaced wholesale soon after incorporation)</t>
  </si>
  <si>
    <t xml:space="preserve">MCA shell company identification drive 2017-18; FATF shelf company typology</t>
  </si>
  <si>
    <t xml:space="preserve">NET-010</t>
  </si>
  <si>
    <t xml:space="preserve">Near-sequential CINs or GSTINs concentrated inside one suspect cluster</t>
  </si>
  <si>
    <t xml:space="preserve">CINs and GSTINs are issued broadly in order of registration, so entities with numbers close together were registered at nearly the same moment. Finding several near-sequential registrations inside a cluster that already shares directors or addresses confirms a single batch application.</t>
  </si>
  <si>
    <t xml:space="preserve">cluster_sequential_registration_pairs &gt;= 3 AND max_registration_number_gap &lt;= 50 AND cluster_shared_attribute_flag == true AND cluster_registration_span_days &lt;= 45</t>
  </si>
  <si>
    <t xml:space="preserve">3+ near-sequential pairs inside one cluster, registration-number gap of 50 or less, whole cluster registered within 45 days</t>
  </si>
  <si>
    <t xml:space="preserve">Point in time on registration identifiers</t>
  </si>
  <si>
    <t xml:space="preserve">corporate_identity_number, gstin, cluster_sequential_registration_pairs, max_registration_number_gap, cluster_registration_span_days, cluster_shared_attribute_flag</t>
  </si>
  <si>
    <t xml:space="preserve">This rule is confirmatory, not exploratory: it should only run inside a cluster already assembled by NET-001, NET-008 or NET-011, because sequence alone is meaningless - thousands of unrelated companies get adjacent numbers every day simply because they registered on the same day in the same state. Parse structure properly before comparing: the CIN encodes listing status, NIC code, state, year and registration number, so compare only the trailing registration serial and only within the same state and year segment; for GSTIN compare the 5-character PAN-derived block context and the state code, and never treat two GSTINs of the same PAN as a link since those are just branch registrations of one taxpayer. Suppress entirely for group restructurings and SPV programmes where batch registration is disclosed and expected. Tighten when the sequential entities also share a formation agent, an email domain or identical paid-up capital, and when several were registered on the same portal session. Because the base rate of adjacency is high, keep the weight modest and let it act as corroboration that raises confidence in a cluster rather than as a standalone alert.</t>
  </si>
  <si>
    <t xml:space="preserve">SPICe+ / INC-32 Incorporation, PAN Master Data</t>
  </si>
  <si>
    <t xml:space="preserve">Unrelated companies registered on the same day in the same state naturally receive adjacent registration numbers.</t>
  </si>
  <si>
    <t xml:space="preserve">NET-009 (incorporation burst by one agent), NET-001 (shared address cluster), NET-008 (agent cohort quality)</t>
  </si>
  <si>
    <t xml:space="preserve">MCA CIN structure; CBIC GSTIN structure; MCA shell company drive</t>
  </si>
  <si>
    <t xml:space="preserve">NET-011</t>
  </si>
  <si>
    <t xml:space="preserve">Director co-occurrence</t>
  </si>
  <si>
    <t xml:space="preserve">Same director pair or trio recurs on several boards with no disclosed group link</t>
  </si>
  <si>
    <t xml:space="preserve">Project the director-company graph onto directors: an edge joins two people who sit on a board together, weighted by how many boards they share. A pair or trio appearing together on several boards that declare no common ownership is a control ring using rotating nominees.</t>
  </si>
  <si>
    <t xml:space="preserve">director_pair_shared_board_count &gt;= 3 AND pair_entities_distinct_group_count &gt;= 3 AND pair_entities_distinct_nic_2digit &gt;= 2 AND pair_cooccurrence_lift &gt;= 10 AND pair_entities_common_parent_flag == false</t>
  </si>
  <si>
    <t xml:space="preserve">Pair or trio on 3+ boards across 3+ ownership groups and 2+ NIC divisions, with co-occurrence lift 10x or more above chance</t>
  </si>
  <si>
    <t xml:space="preserve">5 FY of board composition</t>
  </si>
  <si>
    <t xml:space="preserve">director_din, director_pair_shared_board_count, pair_entities_distinct_group_count, pair_entities_distinct_nic_2digit, pair_cooccurrence_lift, pair_entities_common_parent_flag</t>
  </si>
  <si>
    <t xml:space="preserve">Match on DIN only; name matching will fuse thousands of unrelated people. The single largest benign generator is the family business, where a husband and wife or father and son sit on every family company - so resolve family and group relationships first through BEN-2, shareholding and shared surname plus address, collapse those boards to one group, and suppress. Corporate groups place the same two nominees on every subsidiary by design; the distinct-group test removes that only if your group resolution is good, so invest there. Independent directors and professional board members genuinely recur across unrelated listed companies, and PE and VC funds place the same two partners on every portfolio board - exclude directors whose DIN carries an independent-director databank registration, and exclude fund-nominee directors identified from the shareholding pattern. Use lift rather than raw count so that a pair drawn from a small local pool of professionals is not punished for the town being small. Tighten when the pair's boards also share an address or auditor, when the pair joined all boards within a short window, when neither holds equity anywhere, or when any board in the set is struck off. Trios are much rarer than pairs by chance and should carry more weight for the same count.</t>
  </si>
  <si>
    <t xml:space="preserve">Derived — cross-entity graph, DIN Master Data, MGT-7 / MGT-7A Annual Return</t>
  </si>
  <si>
    <t xml:space="preserve">DIR-12 Director Change, MCA Company Master Data, BEN-1 / BEN-2 Significant Beneficial Owner</t>
  </si>
  <si>
    <t xml:space="preserve">A family, a corporate group or a fund lawfully places the same two people on several boards it controls.</t>
  </si>
  <si>
    <t xml:space="preserve">NET-012 (one of the pair holds abnormally many directorships), NET-013 (identical shareholder lists), OWN-018 (nominee director indicators)</t>
  </si>
  <si>
    <t xml:space="preserve">Companies Act 2013 s.164 and s.165; SEBI vanishing companies; FATF beneficial ownership</t>
  </si>
  <si>
    <t xml:space="preserve">NET-012</t>
  </si>
  <si>
    <t xml:space="preserve">Individual holds abnormally many directorships across unrelated sectors and states</t>
  </si>
  <si>
    <t xml:space="preserve">Count each DIN's live directorships and measure how scattered they are by sector and geography. A person on many boards in businesses with nothing in common, who draws no salary from any of them, is very likely a lent name rather than a manager.</t>
  </si>
  <si>
    <t xml:space="preserve">din_active_directorship_count &gt;= 10 AND din_distinct_nic_2digit_count &gt;= 5 AND din_distinct_state_count &gt;= 3 AND din_remuneration_disclosed_share &lt;= 0.20 AND din_is_independent_director_registered == false</t>
  </si>
  <si>
    <t xml:space="preserve">10+ live directorships across 5+ NIC divisions and 3+ states with remuneration disclosed in 20% or fewer, ignoring registered independent directors; statutory ceiling is 20 companies of which 10 public</t>
  </si>
  <si>
    <t xml:space="preserve">Point in time, with 3 FY of appointment history</t>
  </si>
  <si>
    <t xml:space="preserve">director_din, din_active_directorship_count, din_distinct_nic_2digit_count, din_distinct_state_count, din_remuneration_disclosed_share, din_is_independent_director_registered</t>
  </si>
  <si>
    <t xml:space="preserve">Multiple directorships are lawful and common: s.165 permits 20 companies (10 public), and professional independent directors, retired bankers, senior chartered accountants and fund partners routinely sit on many boards - which is why the rule requires unrelated sectors, geographic scatter and the absence of remuneration together, not a bare count. Exclude anyone on the IICA independent-director databank, and exclude directors of a single group's subsidiaries after collapsing to the ultimate parent, since a group CFO may sit on 15 subsidiary boards perfectly properly. Age and profile matter: a 24-year-old with 12 directorships across mining, textiles and finance in three states, no salary and no shareholding is a classic dummy, while a 60-year-old ex-banker with the same count is probably genuine - use age, declared occupation from DIR-3 KYC and educational qualification as modifiers. Tighten when the DIN was created within a year of the appointments, when all appointments were filed by one agent, when the person's address matches a driver, peon or employee profile of a known promoter, or when several of the companies are struck off. Suppress for LLP designated partners in professional firms and for nominee directors of foreign parents, where multi-entity appointment is structural.</t>
  </si>
  <si>
    <t xml:space="preserve">Derived — cross-entity graph, DIN Master Data, DIR-3 KYC</t>
  </si>
  <si>
    <t xml:space="preserve">MGT-7 / MGT-7A Annual Return, DIR-12 Director Change, ROC Disqualified Director List</t>
  </si>
  <si>
    <t xml:space="preserve">A professional independent director or group executive lawfully holds board seats in many companies within the statutory limit.</t>
  </si>
  <si>
    <t xml:space="preserve">NET-011 (recurs with the same partner across boards), NET-006 (also sole signatory across entities), OWN-018 (no shareholding and no remuneration anywhere)</t>
  </si>
  <si>
    <t xml:space="preserve">Companies Act 2013 s.165; MCA disqualified director lists; FATF beneficial ownership</t>
  </si>
  <si>
    <t xml:space="preserve">NET-013</t>
  </si>
  <si>
    <t xml:space="preserve">Ownership overlap</t>
  </si>
  <si>
    <t xml:space="preserve">Identical or near-identical shareholder list across nominally unrelated companies</t>
  </si>
  <si>
    <t xml:space="preserve">Compare the shareholder sets from MGT-7 across entities using set overlap. When several companies that claim no relationship have the same members holding roughly the same proportions, they are one economic unit presented as many.</t>
  </si>
  <si>
    <t xml:space="preserve">shareholder_set_jaccard &gt;= 0.80 AND shared_shareholder_count &gt;= 3 AND holding_pattern_correlation &gt;= 0.90 AND declared_group_relationship_flag == false AND entities_in_overlap_cluster &gt;= 2</t>
  </si>
  <si>
    <t xml:space="preserve">Jaccard overlap of shareholder sets at or above 0.80 with 3+ common members and holding-percentage correlation at or above 0.90, with no disclosed group relationship</t>
  </si>
  <si>
    <t xml:space="preserve">Current FY, compared against 3 FY history</t>
  </si>
  <si>
    <t xml:space="preserve">shareholder_pan_set, shareholder_set_jaccard, shared_shareholder_count, holding_pattern_correlation, declared_group_relationship_flag, entities_in_overlap_cluster</t>
  </si>
  <si>
    <t xml:space="preserve">Match shareholders on PAN or CIN, never on name and never on folio. The honest explanation is nearly always a family or promoter group holding several operating companies - and that is not fraud in itself, so the rule's value is that it exposes an undisclosed relationship: entities that are commonly owned but transact with each other as if at arm's length, without AOC-2 related-party disclosure. Pair this rule with the related-party test rather than firing it alone. Suppress where the group relationship is declared in AOC-2, the Board Report or consolidated accounts, and where the entities are disclosed subsidiaries or associates. Note the special cases: shareholding of exactly two members is common in Pvt Ltd companies because two is the statutory minimum, so require 3+ common members or the rule fires on the entire small-company population; joint-venture vehicles legitimately share the same two corporate shareholders; and ESOP trusts or nominee holders appear across group companies by design. Tighten when the overlap coexists with intercompany trade, when the entities share a bank account or auditor, when the shareholding was created by identical allotments on the same PAS-3 date, or when one entity in the set is loss-making while another is profitable in a way that suggests profit shifting.</t>
  </si>
  <si>
    <t xml:space="preserve">Derived — cross-entity graph, MGT-7 / MGT-7A Annual Return, BEN-1 / BEN-2 Significant Beneficial Owner</t>
  </si>
  <si>
    <t xml:space="preserve">PAS-3 Return of Allotment, AOC-2 Related Party Annexure, AOC-4 CFS Consolidated</t>
  </si>
  <si>
    <t xml:space="preserve">A family or promoter group openly owns several operating companies with the same members in the same proportions.</t>
  </si>
  <si>
    <t xml:space="preserve">NET-025 (common ultimate beneficial owner behind trading counterparties), NET-011 (same directors across the set), TAX-019 (intercompany trade without AOC-2 disclosure)</t>
  </si>
  <si>
    <t xml:space="preserve">Companies Act 2013 s.2(76) and s.188; PMLA beneficial ownership; FATF</t>
  </si>
  <si>
    <t xml:space="preserve">NET-014</t>
  </si>
  <si>
    <t xml:space="preserve">Cluster financial shape</t>
  </si>
  <si>
    <t xml:space="preserve">Cluster's aggregate paid-up capital is negligible against its aggregate turnover</t>
  </si>
  <si>
    <t xml:space="preserve">Sum paid-up capital, net worth and reported turnover across every entity in a detected cluster. A group of companies moving hundreds of crores on a few lakh of combined capital and no borrowings has no financial base for that trade, which is the signature of invoice circulation.</t>
  </si>
  <si>
    <t xml:space="preserve">cluster_aggregate_turnover / cluster_aggregate_paid_up_capital &gt;= 500 AND cluster_aggregate_turnover &gt;= 500000000 AND cluster_aggregate_borrowings / cluster_aggregate_turnover &lt;= 0.02 AND cluster_aggregate_fixed_assets / cluster_aggregate_turnover &lt;= 0.01 AND cluster_entity_count &gt;= 4</t>
  </si>
  <si>
    <t xml:space="preserve">Turnover-to-capital 500x or more on aggregate turnover of INR 50 crore or more, borrowings under 2% and fixed assets under 1% of turnover, 4+ entities in cluster</t>
  </si>
  <si>
    <t xml:space="preserve">Current FY with 3 FY trend</t>
  </si>
  <si>
    <t xml:space="preserve">cluster_entity_count, cluster_aggregate_turnover, cluster_aggregate_paid_up_capital, cluster_aggregate_borrowings, cluster_aggregate_fixed_assets, cluster_aggregate_net_worth</t>
  </si>
  <si>
    <t xml:space="preserve">Turnover-to-capital is meaningless without business-model context, so this is aggregate-level and must be normalised by sector. Distribution, commodity trading, bullion, fuel retail and agri-trading genuinely run enormous turnover on thin capital because margins are fractions of a percent and stock turns fast - benchmark the cluster's ratio against the sector median for its dominant NIC code and fire on the z-score, not on a universal 500x. Asset-light services, agency and commission businesses, and pure e-commerce marketplaces also show high ratios legitimately, but they show payroll and receivable cycles; the discriminator here is the joint absence of borrowings, fixed assets and working-capital finance, because real high-turnover trade is funded by someone - a bank, a supplier credit line, or promoter loans - and a cluster financing crores of trade from nothing is recording trade that did not happen. Suppress where the trade is genuinely financed off balance sheet through documented channel financing or factoring, and where the entity is an agent recognising only commission. Tighten when the cluster's turnover is concentrated in the last quarter, when GST output is discharged largely through input tax credit rather than cash, or when receivables and payables offset each other almost exactly across the cluster.</t>
  </si>
  <si>
    <t xml:space="preserve">Derived — cross-entity graph, AOC-4 / AOC-4 XBRL Financial Statements, GSTR-9 / 9C Annual Return</t>
  </si>
  <si>
    <t xml:space="preserve">MGT-7 / MGT-7A Annual Return, Income Tax Return (ITR-5 / ITR-6), GSTR-3B</t>
  </si>
  <si>
    <t xml:space="preserve">Commodity and distribution clusters legitimately turn very large volumes on small capital and wafer-thin margins.</t>
  </si>
  <si>
    <t xml:space="preserve">NET-015 (closed customer and supplier set), FIN-042 (turnover with no working capital finance), TAX-027 (output tax paid almost wholly from input credit)</t>
  </si>
  <si>
    <t xml:space="preserve">FATF TBML typology; CBIC circular trading advisories; CARO 2020 clause 3(iii)</t>
  </si>
  <si>
    <t xml:space="preserve">NET-015</t>
  </si>
  <si>
    <t xml:space="preserve">Closed trade circuit</t>
  </si>
  <si>
    <t xml:space="preserve">Entities share one customer and supplier set and have no other market presence</t>
  </si>
  <si>
    <t xml:space="preserve">Build a trade graph from GSTR-1 and GSTR-2A where nodes are GSTINs and edges are supplies. If several entities buy from the same few suppliers and sell to the same few customers, and almost nothing crosses the boundary of that set, the group is trading with itself rather than with a market.</t>
  </si>
  <si>
    <t xml:space="preserve">counterparty_set_jaccard_across_entities &gt;= 0.70 AND cluster_internal_trade_value_share &gt;= 0.85 AND cluster_external_counterparty_count &lt;= 5 AND cluster_entity_count &gt;= 3 AND cluster_aggregate_turnover &gt;= 100000000</t>
  </si>
  <si>
    <t xml:space="preserve">70%+ counterparty-set overlap between entities, 85%+ of trade value staying inside the cluster, 5 or fewer genuine external counterparties, aggregate turnover INR 10 crore or more</t>
  </si>
  <si>
    <t xml:space="preserve">Rolling 12 months of GST returns</t>
  </si>
  <si>
    <t xml:space="preserve">gstin, counterparty_set_jaccard_across_entities, cluster_internal_trade_value_share, cluster_external_counterparty_count, cluster_entity_count, cluster_aggregate_turnover</t>
  </si>
  <si>
    <t xml:space="preserve">Vertical integration is the honest twin of this pattern and must be carved out first. Captive suppliers, contract manufacturers and job-workers legitimately sell almost everything to one principal; an OEM's dedicated ancillary units in an auto cluster, a single-buyer EPC subcontractor, and a franchise or dealership network buying only from the brand owner will all show near-total internal trade - suppress when the concentration is one-directional and explained by a disclosed principal, and when the entities carry the fixed assets, power consumption and payroll of real production. The fraud signature is different: concentration in both directions at once, thin and uniform margins on every hop, invoice values that are round and near-identical across entities, and goods movement that the e-way bill data cannot corroborate. Require the closed circuit to have no fixed-asset or employment base before scoring it as Critical. Suppress for genuine group supply chains disclosed in consolidated accounts and AOC-2, and for SEZ or EOU units whose flows are structurally captive. Tighten when the same set also shares directors or bank accounts, when e-way bills are absent or show impossible transit times, and when adding the reverse-direction edges closes a cycle back to the origin, which is the input to the directed-cycle rule.</t>
  </si>
  <si>
    <t xml:space="preserve">Derived — cross-entity graph, GSTR-1, GSTR-2A / 2B</t>
  </si>
  <si>
    <t xml:space="preserve">E-Way Bill Data, E-Invoice IRN Data, AOC-2 Related Party Annexure</t>
  </si>
  <si>
    <t xml:space="preserve">A captive supplier, job-worker or franchise network genuinely trades almost entirely with one principal and its network.</t>
  </si>
  <si>
    <t xml:space="preserve">NET-021 (directed cycle returning invoices to origin), NET-014 (cluster capital tiny against turnover), TAX-031 (input tax credit circulated without cash tax)</t>
  </si>
  <si>
    <t xml:space="preserve">FATF TBML typology; CBIC circular trading and fake ITC advisories; PMLA</t>
  </si>
  <si>
    <t xml:space="preserve">NET-016</t>
  </si>
  <si>
    <t xml:space="preserve">Centrality anomaly</t>
  </si>
  <si>
    <t xml:space="preserve">High betweenness centrality on an entity with a thin operating profile</t>
  </si>
  <si>
    <t xml:space="preserve">In the trade graph (nodes are GSTINs, directed edges are invoiced supplies), betweenness measures how often an entity sits on the shortest path between other firms. A company that everything routes through, but which has almost no staff, assets or premises, is a conduit rather than a business.</t>
  </si>
  <si>
    <t xml:space="preserve">betweenness_centrality_percentile &gt;= 95 AND employee_count &lt;= 5 AND fixed_assets_gross_block &lt;= 2500000 AND annual_turnover &gt;= 100000000 AND entity_age_years &lt;= 5</t>
  </si>
  <si>
    <t xml:space="preserve">Betweenness in the top 5% of the trade-graph population, 5 or fewer employees, gross block at or below INR 25 lakh, turnover INR 10 crore or more</t>
  </si>
  <si>
    <t xml:space="preserve">Rolling 12 months of trade edges</t>
  </si>
  <si>
    <t xml:space="preserve">betweenness_centrality_percentile, employee_count, fixed_assets_gross_block, annual_turnover, entity_age_years, nic_code_division</t>
  </si>
  <si>
    <t xml:space="preserve">Betweenness must be computed on a bounded, deduplicated graph or the number is noise: cap the graph at a sector or region subgraph, weight edges by invoice value so a single token invoice cannot create a bridge, and drop edges below a materiality floor. The rule then rests entirely on the substance test, because whole legitimate business models are structurally high-betweenness: commission agents, clearing and forwarding agents, freight forwarders, custom house agents, commodity brokers, e-commerce marketplaces, payment aggregators, staffing and manpower agencies, and distributors all exist precisely to sit between other parties. Suppress when the NIC code is in the intermediation set and the entity reports commission income rather than gross trading turnover, or when it holds the relevant licence such as a CHA or IRDAI or SEBI registration. Also suppress for group procurement and shared-service companies that centralise buying for subsidiaries. Tighten when the entity's margin on the flow is under half a percent, when payments out follow payments in within days, when it has no godown, no e-way bills and no electricity consumption, and when its counterparties on either side do not otherwise trade with each other at all. Recompute quarterly, because conduits appear and vanish inside a year.</t>
  </si>
  <si>
    <t xml:space="preserve">AOC-4 / AOC-4 XBRL Financial Statements, EPFO ECR Filing, E-Way Bill Data</t>
  </si>
  <si>
    <t xml:space="preserve">Agents, brokers, distributors and marketplaces are intermediaries by design and legitimately sit between many counterparties.</t>
  </si>
  <si>
    <t xml:space="preserve">NET-017 (sole bridge between two clusters), NET-020 (token margin retained on each hop), OPS-003 (no premises, power or payroll)</t>
  </si>
  <si>
    <t xml:space="preserve">FATF TBML typology; FIU-IND layering indicators; PMLA</t>
  </si>
  <si>
    <t xml:space="preserve">NET-017</t>
  </si>
  <si>
    <t xml:space="preserve">Entity is the only bridge joining two otherwise disconnected trade clusters</t>
  </si>
  <si>
    <t xml:space="preserve">Remove one entity from the trade graph and see whether two groups of firms fall apart into separate pieces. An entity whose removal disconnects the graph is a cut vertex, and a young thin company acting as the sole link between two commercial worlds is usually there to break the audit trail.</t>
  </si>
  <si>
    <t xml:space="preserve">is_articulation_point == true AND bridged_component_min_size &gt;= 5 AND bridge_flow_value_share &gt;= 0.60 AND entity_gross_margin_ratio &lt;= 0.02 AND entity_age_years &lt;= 5</t>
  </si>
  <si>
    <t xml:space="preserve">Articulation point separating two components of 5+ entities each, carrying 60%+ of the value crossing between them, entity margin 2% or less</t>
  </si>
  <si>
    <t xml:space="preserve">is_articulation_point, bridged_component_min_size, bridge_flow_value_share, entity_gross_margin_ratio, entity_age_years, bridged_components_sector_distance</t>
  </si>
  <si>
    <t xml:space="preserve">Articulation points are an artefact of graph completeness as much as of behaviour: if your edge data covers only GST B2B supplies, any flow through a composition dealer, an unregistered supplier, an export leg or a cash market vanishes, and firms look like sole bridges when they are not. Build the graph from the widest available edge set - GSTR-1, GSTR-2A, e-way bills, e-invoices and bank counterparties together - before trusting a cut vertex. Legitimate sole bridges are common and must be excluded: sole selling agents and exclusive distributors are contractually the only route between a manufacturer and a region; import agents and indenting agents bridge a foreign supplier and a domestic market; a group's single export arm or single procurement arm bridges by design. Suppress where an exclusivity or agency agreement is on file, where the bridging entity holds the IEC and the customs documents in its own name, or where the two components are simply upstream and downstream of a real conversion process. Tighten when the two bridged components are in unrelated sectors, when the bridge entity was incorporated shortly before the flows began, when it takes almost no margin, and when the flow reverses direction or returns to the origin component. Escalate to Critical if either component contains a struck-off or enforcement-flagged entity.</t>
  </si>
  <si>
    <t xml:space="preserve">E-Way Bill Data, Bank Statement, DGFT IEC Data</t>
  </si>
  <si>
    <t xml:space="preserve">A sole selling agent, exclusive distributor or group export arm is contractually the only link between two sets of firms.</t>
  </si>
  <si>
    <t xml:space="preserve">NET-016 (high betweenness with thin substance), NET-022 (dense subgraph with no external trade), NET-024 (short path to an enforcement-flagged entity)</t>
  </si>
  <si>
    <t xml:space="preserve">FATF layering typology; CBIC circular trading advisories</t>
  </si>
  <si>
    <t xml:space="preserve">NET-018</t>
  </si>
  <si>
    <t xml:space="preserve">Counterparty degree far above the peer distribution for size and sector</t>
  </si>
  <si>
    <t xml:space="preserve">Degree is simply how many distinct counterparties an entity trades with. A firm dealing with hundreds of suppliers or customers while reporting a tiny balance sheet and no logistics footprint is issuing or absorbing invoices, not selling goods.</t>
  </si>
  <si>
    <t xml:space="preserve">counterparty_degree_zscore_vs_peers &gt;= 3 AND counterparty_degree_total &gt;= 100 AND turnover_per_counterparty &lt;= 500000 AND fixed_assets_gross_block / annual_turnover &lt;= 0.01 AND new_counterparty_share_12m &gt;= 0.70</t>
  </si>
  <si>
    <t xml:space="preserve">Degree 3 sigma above the peer group matched on NIC and turnover band, 100+ counterparties, average value per counterparty at or below INR 5 lakh, 70%+ of counterparties new in 12 months</t>
  </si>
  <si>
    <t xml:space="preserve">Rolling 12 months against a 3 FY peer baseline</t>
  </si>
  <si>
    <t xml:space="preserve">counterparty_degree_total, counterparty_degree_zscore_vs_peers, turnover_per_counterparty, fixed_assets_gross_block, annual_turnover, new_counterparty_share_12m</t>
  </si>
  <si>
    <t xml:space="preserve">Degree scales naturally with turnover and with business model, so the peer group must be matched on both NIC division and turnover band, and separately on B2B versus B2C posture - a FMCG distributor, a pharma stockist, a construction materials trader or a staffing firm will always have hundreds of counterparties, and comparing them to the national mean is meaningless. Aggregators, e-commerce sellers and logistics companies also carry very high degree honestly. The discriminators built into the rule are the small and uniform value per counterparty and the churn: a real distributor's customer base is largely the same people year after year, while an invoice mill's counterparty list turns over almost completely each year. Suppress when the entity is a registered marketplace operator or a B2C retailer where many small counterparties are the model, and when the degree is stable across years. Tighten when many counterparties share a pincode or a bank account, when a large share of them are themselves newly registered or already flagged, when invoice values cluster just under an e-way bill or e-invoice threshold, and when the counterparties have no other trading relationships at all - a hub whose spokes trade with nobody else is a fabricated network.</t>
  </si>
  <si>
    <t xml:space="preserve">E-Invoice IRN Data, AOC-4 / AOC-4 XBRL Financial Statements, E-Way Bill Data</t>
  </si>
  <si>
    <t xml:space="preserve">Distributors, stockists and marketplace sellers genuinely deal with hundreds of small counterparties as their normal business.</t>
  </si>
  <si>
    <t xml:space="preserve">NET-019 (star topology of many-in one-out), NET-026 (counterparties are themselves high risk), TAX-014 (invoice values structured below e-way bill limits)</t>
  </si>
  <si>
    <t xml:space="preserve">FATF TBML typology; CBIC fake invoice advisories</t>
  </si>
  <si>
    <t xml:space="preserve">NET-019</t>
  </si>
  <si>
    <t xml:space="preserve">Flow topology</t>
  </si>
  <si>
    <t xml:space="preserve">Star topology where a node collects from many counterparties and pays out to one</t>
  </si>
  <si>
    <t xml:space="preserve">Look at the shape of an entity's in-edges and out-edges. A hub receiving funds or invoices from a wide fan of senders and forwarding nearly all of it to a single recipient is a collection point, which is how proceeds are consolidated before being moved on.</t>
  </si>
  <si>
    <t xml:space="preserve">in_degree_counterparties &gt;= 20 AND out_degree_counterparties &lt;= 2 AND top_outflow_share &gt;= 0.85 AND inflow_to_outflow_value_ratio between 0.9 and 1.1 AND median_holding_period_days &lt;= 5</t>
  </si>
  <si>
    <t xml:space="preserve">20+ inbound counterparties, 2 or fewer outbound, 85%+ of outflow to one party, inflow and outflow within 10% of each other, funds held 5 days or less</t>
  </si>
  <si>
    <t xml:space="preserve">Rolling 12 months, evaluated monthly</t>
  </si>
  <si>
    <t xml:space="preserve">in_degree_counterparties, out_degree_counterparties, top_outflow_share, inflow_to_outflow_value_ratio, median_holding_period_days, entity_retained_margin_ratio</t>
  </si>
  <si>
    <t xml:space="preserve">Many honest structures are stars and will fire unless excluded by design. Franchise and dealer networks remit to one brand owner; collection agents and business correspondents sweep to one principal; a group's cash-pooling or sweep account concentrates subsidiary balances into one treasury account; escrow, nodal and payment-aggregator accounts are stars by regulation; distributors of a single manufacturer buy from many customers and pay one supplier; and co-operative and aggregator models in dairy, agri and logistics look identical. Suppress where a disclosed principal-agent, franchise or cash-pooling arrangement exists, where the single outbound party is a verified parent or a regulated aggregator, and where the entity is licensed as a nodal or escrow holder. The fraud version is distinguished by the near-total pass-through: inflow and outflow match to within a few percent, the balance decays to near zero after each sweep, no expenses of substance are paid from the account, and the inbound senders have no relationship with each other. Tighten when the inbound counterparties are recently registered, when amounts sit just below reporting thresholds, when the single recipient is offshore or in a higher-risk jurisdiction, and when the mirror pattern (one-in many-out) appears at the recipient, which turns the star into a layering chain.</t>
  </si>
  <si>
    <t xml:space="preserve">Derived — cross-entity graph, Bank Statement, GSTR-1</t>
  </si>
  <si>
    <t xml:space="preserve">UPI / IMPS / NEFT Transaction Log, GSTR-2A / 2B, SWIFT / Wire Messages</t>
  </si>
  <si>
    <t xml:space="preserve">Franchise, dealer, collection-agent and group cash-pooling structures legitimately gather from many and remit to one.</t>
  </si>
  <si>
    <t xml:space="preserve">NET-020 (token margin retained per hop), NET-028 (shared settlement accounts across entities), BNK-009 (balance decays to near zero after each sweep)</t>
  </si>
  <si>
    <t xml:space="preserve">FATF layering typology; FIU-IND STR indicators; PMLA</t>
  </si>
  <si>
    <t xml:space="preserve">NET-020</t>
  </si>
  <si>
    <t xml:space="preserve">Three-hop-plus chain where every intermediary keeps only a token margin</t>
  </si>
  <si>
    <t xml:space="preserve">Trace value along a path A to B to C to D in the trade or payment graph. If each intermediary passes on nearly the whole amount, adding a fraction of a percent and holding it for a day or two, the intermediaries are adding no economic value and exist only to lengthen the trail.</t>
  </si>
  <si>
    <t xml:space="preserve">chain_path_length &gt;= 3 AND max_intermediary_margin_ratio &lt;= 0.01 AND max_intermediary_holding_days &lt;= 7 AND chain_value_transferred &gt;= 10000000 AND intermediaries_with_no_assets_count &gt;= 2</t>
  </si>
  <si>
    <t xml:space="preserve">Path of 3 or more hops, no intermediary retaining more than 1% or holding more than 7 days, chain value INR 1 crore or more, 2+ intermediaries with no fixed assets</t>
  </si>
  <si>
    <t xml:space="preserve">Rolling 12 months; chains traced within 90-day value windows</t>
  </si>
  <si>
    <t xml:space="preserve">chain_path_length, max_intermediary_margin_ratio, max_intermediary_holding_days, chain_value_transferred, intermediaries_with_no_assets_count, chain_goods_movement_corroborated_flag</t>
  </si>
  <si>
    <t xml:space="preserve">The hard part is attribution, not detection - value must be traced by matching amounts and dates across hops, and without invoice-level or transaction-level linkage you will assemble chains that do not exist, so require amount agreement within a tolerance (say 2%) and a forward time ordering before calling a path a chain. Thin margins are lawful in whole sectors: bullion, fuel, agri-commodities, electronics distribution and pharmaceutical wholesale all run on sub-1% net margins, and a genuine multi-tier distribution chain of national to regional to district to retailer is exactly three or four hops long. That is why the rule needs the substance terms - the honest tiers hold stock, carry godowns and vehicles, employ people, and show real holding periods driven by demand, whereas the fabricated chain shows near-zero assets, uniform holding of a day or two, and no corroborating goods movement. Suppress when e-way bills, transporter IDs and weighbridge or delivery evidence corroborate the movement at each hop, and when the intermediaries are established firms with independent trade. Tighten when the chain's first and last node share directors or an address, when the margin is identical at every hop (a sign the split was engineered), and when the chain crosses a state border only on paper to harvest input tax credit.</t>
  </si>
  <si>
    <t xml:space="preserve">Derived — cross-entity graph, GSTR-1, Bank Statement</t>
  </si>
  <si>
    <t xml:space="preserve">E-Way Bill Data, E-Invoice IRN Data, GSTR-2A / 2B</t>
  </si>
  <si>
    <t xml:space="preserve">Multi-tier distribution in low-margin sectors genuinely passes goods through several thin-margin wholesalers.</t>
  </si>
  <si>
    <t xml:space="preserve">NET-021 (chain closes into a cycle), NET-016 (intermediaries have high betweenness and no substance), TAX-031 (input credit circulated without cash tax)</t>
  </si>
  <si>
    <t xml:space="preserve">FATF TBML typology; CBIC circular trading advisories; PMLA layering</t>
  </si>
  <si>
    <t xml:space="preserve">NET-021</t>
  </si>
  <si>
    <t xml:space="preserve">Directed cycle returns funds or invoices to the originator within a short path</t>
  </si>
  <si>
    <t xml:space="preserve">Search the directed graph for cycles: money or invoices leaving an entity and coming back to it through a few intermediaries. Genuine trade rarely returns to its source at nearly the same value within weeks, so a tight closed loop is circular trading or round-tripping.</t>
  </si>
  <si>
    <t xml:space="preserve">directed_cycle_detected == true AND cycle_length &lt;= 5 AND cycle_value_closure_ratio &gt;= 0.90 AND cycle_completion_days &lt;= 90 AND cycle_min_node_margin_ratio &lt;= 0.02</t>
  </si>
  <si>
    <t xml:space="preserve">Cycle of 5 hops or fewer closing at 90%+ of the originating value within 90 days, with at least one node retaining 2% or less</t>
  </si>
  <si>
    <t xml:space="preserve">Rolling 12 months with a 90-day cycle window</t>
  </si>
  <si>
    <t xml:space="preserve">directed_cycle_detected, cycle_length, cycle_value_closure_ratio, cycle_completion_days, cycle_min_node_margin_ratio, cycle_nodes_shared_control_flag</t>
  </si>
  <si>
    <t xml:space="preserve">Cycles exist honestly and the rule must not treat every loop as fraud. Reciprocal trade is normal - a firm sells packaging to a customer and buys components back from the same firm; job-work and toll-manufacturing flows go out as raw material and return as finished goods, which looks like a two-node cycle in GST data; contra settlements, barter and netting between long-standing trade partners create loops; and in construction and engineering, subcontracting both ways between the same firms is routine. Suppress two-node reciprocal trade where the goods descriptions differ materially and both legs have real HSN, e-way bill and stock movement, and suppress job-work flows filed under the ITC-04 process. What matters is value closure and speed: real reciprocal trade has unrelated amounts and no timing relationship, whereas round-tripping returns almost exactly the same value on a schedule. Cap the search depth (5 hops) and require a value-tracing tolerance, or cycle enumeration will both explode computationally and manufacture false loops from coincidental amounts. Tighten to Critical when the cycle nodes share directors, addresses or bank accounts, when the same cycle repeats across quarters, when goods movement is uncorroborated, or when the loop is used to inflate turnover before a bank facility renewal or an IPO.</t>
  </si>
  <si>
    <t xml:space="preserve">GSTR-2A / 2B, E-Way Bill Data, UPI / IMPS / NEFT Transaction Log</t>
  </si>
  <si>
    <t xml:space="preserve">Reciprocal trade, job-work returns and contra settlements between genuine partners create loops in the data.</t>
  </si>
  <si>
    <t xml:space="preserve">NET-015 (closed customer and supplier set), NET-020 (token margin on each hop), NET-025 (common beneficial owner across the cycle nodes)</t>
  </si>
  <si>
    <t xml:space="preserve">FATF TBML round-tripping typology; CBIC circular trading advisories; SEBI circular trading orders</t>
  </si>
  <si>
    <t xml:space="preserve">NET-022</t>
  </si>
  <si>
    <t xml:space="preserve">Community structure</t>
  </si>
  <si>
    <t xml:space="preserve">Community detection isolates a dense subgraph with almost no trade outside it</t>
  </si>
  <si>
    <t xml:space="preserve">Run a community-detection algorithm such as Louvain on the trade graph and score each community by how much of its trade stays inside. A tightly connected group of firms with high internal density and almost no outside customers is a self-contained circuit, not a market participant.</t>
  </si>
  <si>
    <t xml:space="preserve">community_size between 4 and 40 AND community_internal_edge_density &gt;= 0.50 AND community_external_trade_value_share &lt;= 0.10 AND community_aggregate_turnover &gt;= 250000000 AND community_median_entity_age_years &lt;= 6</t>
  </si>
  <si>
    <t xml:space="preserve">Community of 4 to 40 entities with internal edge density 0.50 or above, 10% or less of value traded outside, aggregate turnover INR 25 crore or more</t>
  </si>
  <si>
    <t xml:space="preserve">Rolling 12 months, recomputed quarterly</t>
  </si>
  <si>
    <t xml:space="preserve">community_id, community_size, community_internal_edge_density, community_external_trade_value_share, community_aggregate_turnover, community_median_entity_age_years</t>
  </si>
  <si>
    <t xml:space="preserve">Community detection is unstable: Louvain and Leiden give different partitions on different runs and at different resolution parameters, so fix the resolution, run the algorithm multiple times with different seeds, and only act on communities that persist across runs and across consecutive quarters - a one-off community is an artefact. The obvious benign case is a real corporate group whose subsidiaries trade mainly with each other, so resolve ownership first and suppress communities that map onto a disclosed group with consolidated accounts; the same goes for SEZ and EOU enclaves, captive supply chains around one OEM, and industrial clusters such as textiles in Tiruppur or auto components in Pune, where dense local trading is genuine. The distinguishing feature of the fraudulent community is that it is dense and also economically empty: no end consumer, no export, no retail, no fixed assets, no payroll, and its external share is low not because it sells to a captive principal but because it sells to nobody outside at all. Insist on an end-of-chain test - trace whether value ever leaves the community to a final consumer, an export, or a taxable retail sale - and only escalate when it does not. Tighten when the community also shares gatekeepers or bank accounts, and when its internal edges close cycles.</t>
  </si>
  <si>
    <t xml:space="preserve">E-Way Bill Data, AOC-4 CFS Consolidated, Shipping Bill</t>
  </si>
  <si>
    <t xml:space="preserve">A genuine corporate group, captive supply chain or geographic industrial cluster naturally trades mostly within itself.</t>
  </si>
  <si>
    <t xml:space="preserve">NET-021 (cycles inside the community), NET-015 (shared closed counterparty set), NET-028 (one set of bank accounts settles the community)</t>
  </si>
  <si>
    <t xml:space="preserve">FATF TBML typology; CBIC fake ITC network investigations</t>
  </si>
  <si>
    <t xml:space="preserve">NET-023</t>
  </si>
  <si>
    <t xml:space="preserve">Contamination distance</t>
  </si>
  <si>
    <t xml:space="preserve">Short degrees of separation from a struck-off, blacklisted or enforcement-hit entity</t>
  </si>
  <si>
    <t xml:space="preserve">Measure the shortest path from the subject to any entity on a struck-off, disqualified, GST-cancelled, sanctions or enforcement list, counting director, address, ownership and trade edges. A direct or two-step link to a known bad entity is meaningful; a distant one is not, so the score must fade with distance.</t>
  </si>
  <si>
    <t xml:space="preserve">shortest_path_to_flagged_entity &lt;= 2 AND flagged_neighbour_count &gt;= 2 AND contamination_score &gt;= 0.40 AND flagged_link_type in ('director','address','ownership','bank_account','trade_value_material') AND flagged_link_active_at_event == true</t>
  </si>
  <si>
    <t xml:space="preserve">Within 2 hops of 2+ flagged entities; contamination score = sum over flagged nodes of severity divided by 3 to the power of hop distance, alert at 0.40</t>
  </si>
  <si>
    <t xml:space="preserve">Point in time; link history 5 FY</t>
  </si>
  <si>
    <t xml:space="preserve">shortest_path_to_flagged_entity, flagged_neighbour_count, contamination_score, flagged_link_type, flagged_link_active_at_event, flagged_entity_severity_weight</t>
  </si>
  <si>
    <t xml:space="preserve">Without decay this rule flags the entire register - in a graph of Indian companies almost everyone is within four hops of a struck-off entity, since over two lakh companies have been struck off. Apply an exponential decay of at least one-third per hop, cap the search at 3 hops, and weight by link type: sharing a director or a bank account with a struck-off company is a strong link, being two hops away through a common auditor or a shared business-park address is nearly worthless and those edge types should be down-weighted or excluded from path construction entirely. Time matters as much as distance: a director who left before the other company was struck off, or a customer relationship that ended three years before enforcement began, should not contaminate - require the link to have been live at or after the flagged event, which is what flagged_link_active_at_event enforces. Also distinguish the reason for flagging: strike-off under s.248 for non-filing is extremely common among dormant but honest small companies and deserves a low severity weight, whereas a PMLA attachment, a GST registration cancelled for fake invoicing, a SEBI debarment or a sanctions listing deserves a high one. Suppress for banks, utilities, telecoms and large listed companies, which transact with everyone and will always be adjacent to something bad. Tighten when multiple independent link types point to the same flagged entity.</t>
  </si>
  <si>
    <t xml:space="preserve">Derived — cross-entity graph, MCA Struck-Off Company List, ROC Disqualified Director List</t>
  </si>
  <si>
    <t xml:space="preserve">GST Cancellation / Suspension Order, Sanctions &amp; PEP List, NCLT / NCLAT Orders, Adverse Media / News Archive</t>
  </si>
  <si>
    <t xml:space="preserve">Almost any active company is a few hops from some struck-off entity through an ordinary former customer or a shared building.</t>
  </si>
  <si>
    <t xml:space="preserve">NET-026 (neighbourhood is broadly high risk), NET-024 (successor to a struck-off node), OWN-022 (director sits on a disqualified list)</t>
  </si>
  <si>
    <t xml:space="preserve">Companies Act 2013 s.248 and s.164; PMLA; FIU-IND red flag</t>
  </si>
  <si>
    <t xml:space="preserve">NET-024</t>
  </si>
  <si>
    <t xml:space="preserve">Successor entity</t>
  </si>
  <si>
    <t xml:space="preserve">New node inherits the whole counterparty set of a recently struck-off entity</t>
  </si>
  <si>
    <t xml:space="preserve">Compare a newly incorporated entity's counterparty list with that of an entity recently struck off, deregistered or shut down. When the new company picks up the same customers, suppliers, address and people almost immediately, it is the same operation restarted under a fresh registration (a phoenix).</t>
  </si>
  <si>
    <t xml:space="preserve">predecessor_counterparty_jaccard &gt;= 0.60 AND successor_incorporation_to_predecessor_exit_days &lt;= 365 AND shared_identifier_count &gt;= 2 AND successor_turnover_ramp_months &lt;= 6 AND predecessor_exit_reason in ('struck_off','gst_cancelled','enforcement','insolvency')</t>
  </si>
  <si>
    <t xml:space="preserve">60%+ counterparty overlap, new entity created within 365 days of the predecessor's exit, 2+ shared identifiers (address, phone, email, director, bank, DSC), turnover reaching predecessor scale within 6 months</t>
  </si>
  <si>
    <t xml:space="preserve">36 months spanning predecessor exit and successor formation</t>
  </si>
  <si>
    <t xml:space="preserve">predecessor_counterparty_jaccard, successor_incorporation_to_predecessor_exit_days, shared_identifier_count, successor_turnover_ramp_months, predecessor_exit_reason, predecessor_outstanding_liability_amount</t>
  </si>
  <si>
    <t xml:space="preserve">Business continuity after a corporate change is legal and normal, so this rule is about the reason for the change, not the change itself. Suppress outright for court- and NCLT-approved amalgamations, demergers and slump sales, for resolution plans under IBC where the new vehicle is the approved acquirer, for LLP-to-company and proprietorship-to-company conversions, and for genuine relocations where the old entity is closed voluntarily under STK-2 with all liabilities settled - in all of these the counterparty inheritance is the point of the transaction. The fraud version is defined by what was left behind: unpaid statutory dues, GST demands, defaulted bank facilities, decreed liabilities or an ongoing enforcement action, coupled with the same people running the same trade from the same premises. Weight predecessor_outstanding_liability_amount heavily; a phoenix with nothing to escape is not a phoenix. Tighten when the successor's directors are relatives or employees of the predecessor's directors rather than the same persons, which is the standard disguise, and when the successor's bank account was opened before the predecessor's exit. Note that this rule is one of the few that justifies action on its own, because the counterparty-inheritance pattern is very hard to produce innocently once the exclusions above are applied.</t>
  </si>
  <si>
    <t xml:space="preserve">Derived — cross-entity graph, MCA Struck-Off Company List, GSTR-1</t>
  </si>
  <si>
    <t xml:space="preserve">SPICe+ / INC-32 Incorporation, GST Cancellation / Suspension Order, NCLT / NCLAT Orders, STK-2 Strike Off Application</t>
  </si>
  <si>
    <t xml:space="preserve">An approved merger, IBC resolution or entity-form conversion lawfully transfers the same business and customers to a new vehicle.</t>
  </si>
  <si>
    <t xml:space="preserve">NET-023 (short path to the struck-off predecessor), NET-025 (same beneficial owner behind both), OPS-009 (same premises reused after strike-off)</t>
  </si>
  <si>
    <t xml:space="preserve">Companies Act 2013 s.248; IBC 2016 s.29A; phoenix company typology</t>
  </si>
  <si>
    <t xml:space="preserve">NET-025</t>
  </si>
  <si>
    <t xml:space="preserve">Common ultimate beneficial owner behind entities that trade with each other</t>
  </si>
  <si>
    <t xml:space="preserve">Resolve each entity to its ultimate beneficial owner (the real human who controls it) through BEN-2, shareholding layers and control tests, then check the trade graph. Counterparties that turn out to share one owner while reporting no related-party dealings are pricing with themselves.</t>
  </si>
  <si>
    <t xml:space="preserve">shared_ubo_identifier_count &gt;= 1 AND ubo_linked_counterparty_trade_value &gt;= 5000000 AND aoc2_related_party_disclosed_flag == false AND ubo_ownership_chain_depth &gt;= 2 AND ubo_linked_trade_margin_deviation &gt;= 0.20</t>
  </si>
  <si>
    <t xml:space="preserve">Any shared UBO with INR 50 lakh or more of mutual trade undisclosed in AOC-2, ownership chain 2+ layers deep, margins on those flows deviating 20%+ from arm's length</t>
  </si>
  <si>
    <t xml:space="preserve">Current FY with 3 FY of ownership history</t>
  </si>
  <si>
    <t xml:space="preserve">ultimate_beneficial_owner_id, shared_ubo_identifier_count, ubo_linked_counterparty_trade_value, aoc2_related_party_disclosed_flag, ubo_ownership_chain_depth, ubo_linked_trade_margin_deviation</t>
  </si>
  <si>
    <t xml:space="preserve">UBO resolution is the whole difficulty. India's BEN-2 filing is incomplete and often stale, so build the chain from shareholding in MGT-7, from foreign parent disclosures, and from control indicators, and mark the confidence level - never fire on a low-confidence chain. The 10% significant-beneficial-owner threshold under s.90 misses genuine control held through trusts, HUFs, LLP partners, relatives and layered foreign holdings, so widen the test to control and not just equity, and treat close relatives as one owner when they act together. Related-party trade is entirely lawful; the offence here is non-disclosure and mispricing, so the rule keys on the absence of AOC-2 disclosure plus a margin deviation, not on the relationship. Suppress where related-party disclosure exists in AOC-2, the Board Report, Form 3CEB or consolidated accounts, where the transaction is at a published or regulated price, and where a s.188 approval is on record. Tighten when the trade is priced away from market in a direction that moves profit toward a loss-making or tax-exempt entity (a unit in a tax holiday, an SEZ or a low-tax jurisdiction), when receivables between the parties are never settled in cash, and when the chain passes through a jurisdiction with opaque ownership. Escalate when the shared UBO is also a politically exposed person or appears on a sanctions list.</t>
  </si>
  <si>
    <t xml:space="preserve">Derived — cross-entity graph, BEN-1 / BEN-2 Significant Beneficial Owner, MGT-7 / MGT-7A Annual Return</t>
  </si>
  <si>
    <t xml:space="preserve">AOC-2 Related Party Annexure, Transfer Pricing Report (Form 3CEB), AOC-4 CFS Consolidated</t>
  </si>
  <si>
    <t xml:space="preserve">Group companies with a common owner trade with each other lawfully and simply disclosed it in a document not captured.</t>
  </si>
  <si>
    <t xml:space="preserve">NET-013 (identical shareholder lists), NET-021 (flows form a closed cycle), TAX-019 (undisclosed related-party transactions)</t>
  </si>
  <si>
    <t xml:space="preserve">Companies Act 2013 s.90 and s.188; PMLA beneficial ownership; FATF Recommendation 24</t>
  </si>
  <si>
    <t xml:space="preserve">NET-026</t>
  </si>
  <si>
    <t xml:space="preserve">Neighbourhood risk propagation — counterparties are overwhelmingly high-risk themselves</t>
  </si>
  <si>
    <t xml:space="preserve">Score each of the entity's trade counterparties for risk and take a value-weighted average of the neighbourhood. A firm whose suppliers and customers are almost all newly formed, thinly capitalised or already flagged is operating inside a bad network, whatever its own filings look like.</t>
  </si>
  <si>
    <t xml:space="preserve">neighbour_risk_weighted_mean &gt;= 0.60 AND high_risk_counterparty_value_share &gt;= 0.50 AND counterparty_count_scored &gt;= 10 AND neighbour_risk_iterations &gt;= 2 AND own_standalone_risk_score &lt;= 0.40</t>
  </si>
  <si>
    <t xml:space="preserve">Value-weighted neighbour risk 0.60 or above on a 0-1 scale with 50%+ of trade value with high-risk counterparties, minimum 10 scored counterparties, after 2 propagation iterations</t>
  </si>
  <si>
    <t xml:space="preserve">Rolling 12 months, rescored quarterly</t>
  </si>
  <si>
    <t xml:space="preserve">neighbour_risk_weighted_mean, high_risk_counterparty_value_share, counterparty_count_scored, neighbour_risk_iterations, own_standalone_risk_score, neighbour_risk_score_confidence</t>
  </si>
  <si>
    <t xml:space="preserve">Risk propagation is powerful and dangerous in equal measure: run it to convergence and the risk score floods the whole graph until everything is high risk. Cap propagation at two iterations, damp each iteration to at most half the incoming weight, and never let a propagated score feed back into the source, or the model becomes a self-fulfilling loop where two entities inflate each other. Weight by value, not by count, so that a hundred tiny sales to risky buyers do not outweigh the entity's real business. The rule must be tolerant of legitimate exposure to risky populations: firms selling into the informal economy, microfinance and small-ticket NBFCs, second-hand goods and scrap dealers, staffing companies supplying small contractors, and any business whose customers are simply small and young will always have a risky neighbourhood - benchmark the neighbour risk against the sector and turnover-band median, and fire on the excess rather than the level. Suppress for banks, insurers, utilities, telecoms and marketplaces, whose counterparty base is the entire economy. This rule should raise the priority of a case rather than open one by itself, and its output should always be shown with the confidence measure, because a neighbourhood score built on ten counterparties with thin data is not evidence. Tighten when the entity is a direct counterparty to several entities with cancelled GST registrations.</t>
  </si>
  <si>
    <t xml:space="preserve">Derived — cross-entity graph, GSTR-2A / 2B, GSTR-1</t>
  </si>
  <si>
    <t xml:space="preserve">MCA Company Master Data, GST Cancellation / Suspension Order, MCA Struck-Off Company List</t>
  </si>
  <si>
    <t xml:space="preserve">Businesses serving small, young or informal customers naturally sit in a statistically risky neighbourhood without wrongdoing.</t>
  </si>
  <si>
    <t xml:space="preserve">NET-023 (short path to a specifically flagged entity), NET-018 (abnormal counterparty degree), NET-027 (counterparty base is replaced every year)</t>
  </si>
  <si>
    <t xml:space="preserve">FATF risk-based approach; FIU-IND network analysis; CBIC fake ITC network mapping</t>
  </si>
  <si>
    <t xml:space="preserve">NET-027</t>
  </si>
  <si>
    <t xml:space="preserve">Temporal graph churn — the counterparty set is replaced wholesale every year</t>
  </si>
  <si>
    <t xml:space="preserve">Compare the entity's counterparty set in each year with the previous year's. Real trading relationships persist; an entity whose customers and suppliers are almost entirely different people each year is renting counterparties rather than building a business.</t>
  </si>
  <si>
    <t xml:space="preserve">counterparty_set_year_over_year_jaccard &lt;= 0.15 AND counterparty_churn_years_consecutive &gt;= 2 AND annual_turnover &gt;= 50000000 AND turnover_yoy_change_ratio between 0.8 and 1.25 AND repeat_counterparty_value_share &lt;= 0.20</t>
  </si>
  <si>
    <t xml:space="preserve">Year-on-year counterparty overlap 0.15 or less for 2+ consecutive years while turnover stays within 20-25% of prior year, repeat customers under 20% of value, turnover floor INR 5 crore</t>
  </si>
  <si>
    <t xml:space="preserve">3 FY of counterparty sets</t>
  </si>
  <si>
    <t xml:space="preserve">counterparty_set_year_over_year_jaccard, counterparty_churn_years_consecutive, annual_turnover, turnover_yoy_change_ratio, repeat_counterparty_value_share, nic_code_division</t>
  </si>
  <si>
    <t xml:space="preserve">The pairing of high churn with flat turnover is the point - either alone is innocent. Whole sectors have naturally single-transaction customers: real estate and residential construction sell a flat once, capital goods and heavy machinery vendors, wedding and event services, tender-driven government contractors who win different buyers each cycle, project consultancies, and export houses working through changing overseas buyers all show low repeat rates legitimately, so set the churn baseline per NIC division from the population rather than a flat 0.15. Rapid genuine growth also churns the counterparty list as the entity scales, which is why turnover is required to be roughly flat; a company doubling its revenue with new customers each year is growing, not laundering. Suppress for project-based and one-off-sale models, for entities in their first three years where there is no stable base yet, and where the churn is explained by a documented change of distribution model or the loss of a single large customer. Tighten when the incoming counterparties are themselves newly registered each year, when the departing counterparties are struck off or GST-cancelled shortly after they disappear from the list, when invoice values and product mix stay identical while only the names change, and when the same pattern is visible on the supplier side simultaneously - that is a network refreshing its shells before they attract attention.</t>
  </si>
  <si>
    <t xml:space="preserve">AOC-4 / AOC-4 XBRL Financial Statements, E-Invoice IRN Data, Bank Statement</t>
  </si>
  <si>
    <t xml:space="preserve">Project, tender and one-off-sale businesses genuinely serve a different set of customers every year.</t>
  </si>
  <si>
    <t xml:space="preserve">NET-026 (incoming counterparties are themselves high risk), NET-024 (departed counterparties reappear as successor entities), NET-018 (counterparty base is large and mostly new)</t>
  </si>
  <si>
    <t xml:space="preserve">FATF TBML typology; CBIC fake invoice network advisories</t>
  </si>
  <si>
    <t xml:space="preserve">NET-028</t>
  </si>
  <si>
    <t xml:space="preserve">One small set of bank accounts settles obligations for nominally separate entities</t>
  </si>
  <si>
    <t xml:space="preserve">Build a graph of entities to the accounts that actually pay and receive on their behalf, taken from bank statements and counterparty remittance details. If a handful of accounts settles the dues of several supposedly independent companies, the separation between them is only on paper.</t>
  </si>
  <si>
    <t xml:space="preserve">settlement_account_entity_count &gt;= 3 AND cross_entity_settlement_value_share &gt;= 0.30 AND settlement_accounts_distinct_count &lt;= 3 AND entities_declared_group_flag == false AND third_party_payment_instances &gt;= 10</t>
  </si>
  <si>
    <t xml:space="preserve">3+ entities settled from 3 or fewer accounts, with 30%+ of an entity's obligations paid by an account it does not own, 10+ such instances, no declared group relationship</t>
  </si>
  <si>
    <t xml:space="preserve">settlement_account_entity_count, cross_entity_settlement_value_share, settlement_accounts_distinct_count, entities_declared_group_flag, third_party_payment_instances, settlement_account_owner_id</t>
  </si>
  <si>
    <t xml:space="preserve">Third-party payment is not automatically improper. Group treasuries pay subsidiaries' vendors under documented cash-pooling and recharge arrangements; a parent commonly settles a subsidiary's statutory dues; payment aggregators, escrow agents and nodal accounts settle for merchants by regulation; principals pay on behalf of agents and franchisees; and a customer may pay a supplier's supplier under a tripartite assignment. Suppress where a cash-pooling policy, an inter-corporate loan agreement, a tripartite arrangement or a nodal or escrow licence explains the flow, and where the paying and paid entities consolidate. What converts this into evidence of unity is the absence of any accounting trace: no inter-corporate loan recorded, no receivable or payable between the entities in the books, no interest charged, and no AOC-2 disclosure - so join this rule to the ledgers before scoring, and treat the mismatch between bank reality and book reality as the finding. Tighten when the shared accounts also carry the entities' GST and TDS payments, when the same accounts appear in the entities' account opening files with common signatories, and when balances sweep to zero across the set each month. This rule is strong corroboration for treating the cluster as a single economic entity for enforcement, and it materially strengthens any cycle or star finding built on the same nodes.</t>
  </si>
  <si>
    <t xml:space="preserve">Derived — cross-entity graph, Bank Statement, Bank Account Opening / KYC File</t>
  </si>
  <si>
    <t xml:space="preserve">UPI / IMPS / NEFT Transaction Log, AOC-2 Related Party Annexure, AOC-4 / AOC-4 XBRL Financial Statements</t>
  </si>
  <si>
    <t xml:space="preserve">A group treasury or a licensed nodal or escrow operator lawfully settles payments on behalf of several related entities.</t>
  </si>
  <si>
    <t xml:space="preserve">NET-004 (shared account or shared opening officer), NET-019 (star collection and single payout), NET-025 (common beneficial owner across the set)</t>
  </si>
  <si>
    <t xml:space="preserve">PMLA; RBI Master Direction on KYC; FATF beneficial ownership; Companies Act 2013 s.186</t>
  </si>
  <si>
    <t xml:space="preserve">EXT-001</t>
  </si>
  <si>
    <t xml:space="preserve">External, Legal &amp; Behavioural</t>
  </si>
  <si>
    <t xml:space="preserve">Sanctions screening</t>
  </si>
  <si>
    <t xml:space="preserve">Entity, director or beneficial owner matches a UNSC, MHA UAPA or OFAC designation</t>
  </si>
  <si>
    <t xml:space="preserve">The company name, a director, or the ultimate beneficial owner (the real human who finally owns or controls the company) matches a name on a sanctions or terror-designation list. A match confirmed by a second identifier means the entity may be a front for a designated person.</t>
  </si>
  <si>
    <t xml:space="preserve">sanctions_name_match_score &gt;= 0.90 AND secondary_identifier_match_count &gt;= 1 AND matched_list_type IN ('UNSC 1267','MHA UAPA First Schedule','MHA UAPA Fourth Schedule','OFAC SDN','MoF PMLA designation')</t>
  </si>
  <si>
    <t xml:space="preserve">Fuzzy name match score &gt;= 0.90 plus at least one secondary identifier (date of birth, passport, PAN, nationality, address); score 0.75-0.90 with zero secondary matches routes to manual review, not to alert</t>
  </si>
  <si>
    <t xml:space="preserve">Point in time; rescreen at least monthly and on every list update</t>
  </si>
  <si>
    <t xml:space="preserve">entity_legal_name, director_name_list, beneficial_owner_name_list, sanctions_name_match_score, secondary_identifier_match_count, matched_list_type, date_of_birth_match_flag</t>
  </si>
  <si>
    <t xml:space="preserve">Name matching alone is the single largest source of false positives in Indian screening: transliteration of Devanagari, Urdu and Arabic names into Roman script is unstable, patronymics repeat, and high-frequency surnames (Khan, Ansari, Shah, Patel, Singh) will hit designated persons by pure coincidence. Never fire on a name-only match — gate on at least one secondary identifier and suppress single-token matches on high-frequency surnames entirely. Screen the whole control chain, not just the first layer: run the BEN-2 declared significant beneficial owners and any 10%-plus shareholder, because designated persons hold through relatives and nominees. Distinguish list force: a UNSC 1267 or UAPA Schedule listing carries an immediate freeze obligation under s.51A and must escalate at any confidence with a secondary identifier, while an OFAC SDN hit has no direct legal effect in India but is a correspondent-banking and USD-clearing risk and can be handled as enhanced due diligence unless the entity uses USD trade routes. Tighten to any-token matching for entities in dual-use goods, precious metals, crypto, hawala-prone corridors or charitable trusts. Suppress and log where the person is confirmed deceased or the identifiers positively exclude the match, and store the exclusion so the same hit is not reworked monthly.</t>
  </si>
  <si>
    <t xml:space="preserve">Sanctions &amp; PEP List, BEN-1 / BEN-2 Significant Beneficial Owner, DIR-3 KYC</t>
  </si>
  <si>
    <t xml:space="preserve">MCA Company Master Data, Bank Account Opening / KYC File, PAN Master Data</t>
  </si>
  <si>
    <t xml:space="preserve">A very common Indian name coincides with a designated person who shares nothing else — no date of birth, nationality or address in common.</t>
  </si>
  <si>
    <t xml:space="preserve">EXT-002 (PEP in the control chain), EXT-014 (linked group entity under enforcement), OWN-012 (nominee or proxy shareholding structure)</t>
  </si>
  <si>
    <t xml:space="preserve">UAPA 1967 s.51A; UNSC Res 1267/1373; PMLA s.12; RBI Master Direction KYC 2016</t>
  </si>
  <si>
    <t xml:space="preserve">EXT-002</t>
  </si>
  <si>
    <t xml:space="preserve">PEP exposure</t>
  </si>
  <si>
    <t xml:space="preserve">Politically exposed person or close relative sits in the ownership or control chain</t>
  </si>
  <si>
    <t xml:space="preserve">A politically exposed person (someone holding a prominent public function — minister, MP or MLA, senior civil servant, judge, senior armed forces officer, state enterprise board member) or their close relative owns or controls the entity. It is not wrongdoing by itself, but it raises the risk that the company is a vehicle for undeclared or corrupt proceeds.</t>
  </si>
  <si>
    <t xml:space="preserve">pep_match_confidence &gt;= 0.85 AND (pep_shareholding_pct &gt;= 10 OR pep_control_role_flag == true OR pep_relationship_type IN ('spouse','parent','child','sibling','close_associate'))</t>
  </si>
  <si>
    <t xml:space="preserve">Match confidence &gt;= 0.85; shareholding &gt;= 10% or any directorship, signatory or SBO role; relative and close-associate links counted at the same weight as the PEP</t>
  </si>
  <si>
    <t xml:space="preserve">Point in time; PEP status retained for 5 years after leaving office, longer for government-facing entities</t>
  </si>
  <si>
    <t xml:space="preserve">pep_match_confidence, pep_shareholding_pct, pep_control_role_flag, pep_relationship_type, pep_position_category, pep_position_end_date, entity_government_revenue_share</t>
  </si>
  <si>
    <t xml:space="preserve">PEP status is a due-diligence trigger, never a decline reason on its own — treating it as an adverse finding produces both unfairness and mass false positives, since political families in India hold ordinary commercial interests. Gate on match confidence and secondary identifiers exactly as for sanctions; political surnames cluster heavily and constituency-level namesakes are routine. RBI's KYC direction makes enhanced due diligence and senior-management sign-off mandatory for foreign PEPs and risk-based for domestic ones, so apply a lower confidence bar for foreign PEPs. Decay the score for PEPs more than five years out of office, and suppress the alert entirely for retired junior office-holders where the entity has no government revenue. Tighten sharply and do not decay when the entity earns a material share of revenue from government contracts, licences, mining or land allotments in the same state or ministry the PEP influenced (pair with EXT-022 and EXT-026), when the holding is through a nominee, trust or LLP rather than direct, or when shareholding was transferred to a relative shortly before or after the PEP took office.</t>
  </si>
  <si>
    <t xml:space="preserve">Sanctions &amp; PEP List, BEN-1 / BEN-2 Significant Beneficial Owner, MGT-7 / MGT-7A Annual Return</t>
  </si>
  <si>
    <t xml:space="preserve">DIR-3 KYC, Bank Account Opening / KYC File, Adverse Media / News Archive</t>
  </si>
  <si>
    <t xml:space="preserve">A politician's relative runs an ordinary, fully declared business that has no dealings with the office the PEP holds.</t>
  </si>
  <si>
    <t xml:space="preserve">EXT-001 (sanctions match), EXT-022 (improbable tender win rate), EXT-026 (sudden large supplier to one public buyer)</t>
  </si>
  <si>
    <t xml:space="preserve">FATF Recommendation 12; RBI Master Direction KYC 2016 para 39; PMLA Rules</t>
  </si>
  <si>
    <t xml:space="preserve">EXT-003</t>
  </si>
  <si>
    <t xml:space="preserve">Agency enforcement</t>
  </si>
  <si>
    <t xml:space="preserve">Open ED, SFIO, DRI, CBI or DGGI proceeding names the entity or its key managers</t>
  </si>
  <si>
    <t xml:space="preserve">A central investigative agency — Enforcement Directorate, Serious Fraud Investigation Office, Directorate of Revenue Intelligence, CBI or the GST intelligence wing (DGGI) — has an active case in which the company or its key managerial personnel are named as accused or noticee. Shell structures are usually discovered by one of these agencies first.</t>
  </si>
  <si>
    <t xml:space="preserve">enforcement_case_count_open &gt;= 1 AND enforcement_agency IN ('ED','SFIO','DRI','CBI','DGGI') AND named_party_role IN ('accused','noticee','attached_party') AND case_stage IN ('ECIR/FIR registered','provisional attachment','show cause notice','prosecution complaint','chargesheet')</t>
  </si>
  <si>
    <t xml:space="preserve">N/A — categorical; any one open case where the entity or a KMP is an accused or noticee. Provisional attachment or a filed prosecution complaint escalates automatically to Critical</t>
  </si>
  <si>
    <t xml:space="preserve">Rolling 7 years, or until the case is closed or discharged</t>
  </si>
  <si>
    <t xml:space="preserve">enforcement_case_count_open, enforcement_agency, case_stage, named_party_role, attachment_order_value, case_registration_date, scheduled_offence_flag</t>
  </si>
  <si>
    <t xml:space="preserve">The decisive distinction is role, not the existence of a case. Being summoned as a witness or third-party record-keeper in a wide-net DGGI or DRI investigation is near-routine in some trading, scrap, metals and textile sectors and carries almost no information; being a named accused, an attached party under PMLA s.5, or the subject of a prosecution complaint under s.44 is a hard signal. Suppress entirely when the entity is the complainant or victim, which is a common data-quality error in litigation feeds that record all parties without direction. Normalise DGGI show-cause notices by quantum against turnover: an ITC dispute worth under 1% of annual tax paid is a routine assessment difference, not enforcement. Tighten when the underlying offence is a PMLA scheduled offence, when individual directors rather than only the company are named, when an SFIO investigation is ordered under Companies Act s.212 (which implies the Centre already saw a fraud pattern), or when the action follows a search (EXT-004). Recency matters: decay weight for cases older than five years with no movement, but never decay an attachment that remains in force.</t>
  </si>
  <si>
    <t xml:space="preserve">Auditor Report, CARO Annexure, Board Report</t>
  </si>
  <si>
    <t xml:space="preserve">The company was summoned only to produce records about a customer or supplier who was the real target of the investigation.</t>
  </si>
  <si>
    <t xml:space="preserve">EXT-004 (search or seizure on record), EXT-012 (named in a published fake-invoice list), EXT-014 (group entity under enforcement)</t>
  </si>
  <si>
    <t xml:space="preserve">PMLA 2002 s.5/s.44; Companies Act 2013 s.212; CGST Act 2017 s.67/s.74</t>
  </si>
  <si>
    <t xml:space="preserve">EXT-004</t>
  </si>
  <si>
    <t xml:space="preserve">Search and seizure</t>
  </si>
  <si>
    <t xml:space="preserve">Income tax search, GST search or customs seizure action recorded against the entity</t>
  </si>
  <si>
    <t xml:space="preserve">A search under Income Tax Act s.132, a survey under s.133A, a GST search under CGST s.67 or a customs seizure has been carried out at the entity's premises. A search needs a recorded satisfaction that undisclosed income or goods exist, so it is a strong external signal.</t>
  </si>
  <si>
    <t xml:space="preserve">search_seizure_event_count &gt;= 1 AND event_type IN ('IT search u/s 132','GST search u/s 67','customs seizure','DRI seizure') AND (undisclosed_income_admitted_value &gt; 0 OR goods_seized_value &gt; 0 OR assessment_year_reopened_count &gt;= 1)</t>
  </si>
  <si>
    <t xml:space="preserve">N/A — categorical; any recorded search or seizure where the entity was a searched person. Survey u/s 133A with no admission is logged at half weight</t>
  </si>
  <si>
    <t xml:space="preserve">Rolling 7 years (matches the s.153A/153C block assessment window)</t>
  </si>
  <si>
    <t xml:space="preserve">search_seizure_event_count, event_type, event_date, undisclosed_income_admitted_value, goods_seized_value, assessment_year_reopened_count, entity_was_searched_person_flag</t>
  </si>
  <si>
    <t xml:space="preserve">Do not treat a survey and a search as the same event. A survey under s.133A can be a verification visit during business hours and is often generic sector-wide action; a search under s.132 requires a written satisfaction note about undisclosed income or assets and is a materially stronger signal. Suppress when the entity appears only because it shares premises with the real target and was not itself a searched person — check entity_was_searched_person_flag before firing, as media reports routinely name every company at the address. Suppress where seized goods were released on the merits and no demand followed. Tighten when income is admitted in a statement under s.132(4), when assessments are reopened under s.153A or s.153C, when cash or jewellery is seized well beyond the declared cash balance in the books, or when the search is followed by ED action (EXT-003) — a search plus a subsequent ECIR is a near-definitive case marker. Sector base rates matter: builders, jewellers and scrap dealers face higher survey rates, so weight survey events lower in those NIC codes.</t>
  </si>
  <si>
    <t xml:space="preserve">Litigation Database, Adverse Media / News Archive, Income Tax Return (ITR-5 / ITR-6)</t>
  </si>
  <si>
    <t xml:space="preserve">Auditor Report, CARO Annexure, Tax Audit Report (Form 3CD)</t>
  </si>
  <si>
    <t xml:space="preserve">A survey was conducted as part of a sector-wide verification drive and closed with no addition to income.</t>
  </si>
  <si>
    <t xml:space="preserve">EXT-003 (agency enforcement open), EXT-012 (published evasion list), TAX-021 (undisclosed income surfaced in reassessment)</t>
  </si>
  <si>
    <t xml:space="preserve">Income Tax Act 1961 s.132/s.133A/s.153A; CGST Act 2017 s.67</t>
  </si>
  <si>
    <t xml:space="preserve">EXT-005</t>
  </si>
  <si>
    <t xml:space="preserve">Lender fraud tagging</t>
  </si>
  <si>
    <t xml:space="preserve">Account tagged wilful defaulter, fraud or red-flagged by one or more lenders</t>
  </si>
  <si>
    <t xml:space="preserve">A bank has classified the borrower as a wilful defaulter (able to pay but refusing, or having diverted the borrowed funds) or has reported the account as fraud or a red-flagged account. Fund diversion tagged by a lender is the clearest external evidence that money left the company for no business reason.</t>
  </si>
  <si>
    <t xml:space="preserve">(wilful_defaulter_flag == true OR fraud_account_classification_flag == true OR (rfa_red_flagged_account_flag == true AND days_since_rfa_flag &gt; 180)) AND classification_status != 'stayed_or_vacated'</t>
  </si>
  <si>
    <t xml:space="preserve">N/A — categorical; classification must be confirmed after the show-cause and review-committee process. A red-flagged account is escalated only if unresolved beyond 180 days</t>
  </si>
  <si>
    <t xml:space="preserve">Rolling 5 years from classification date; retained while the classification stands</t>
  </si>
  <si>
    <t xml:space="preserve">wilful_defaulter_flag, fraud_account_classification_flag, rfa_red_flagged_account_flag, classification_status, classified_amount_outstanding, classifying_bank_count, director_wilful_defaulter_overlap_count</t>
  </si>
  <si>
    <t xml:space="preserve">Ordinary default is credit risk, not financial crime — an account that is merely NPA or in SMA-2 must not fire this rule, because business failure is legal. The signal is specifically the wilful or fraud tag, which under RBI's process requires a finding of diversion, siphoning or misrepresentation. Because classifications are frequently challenged and stayed by High Courts on natural-justice grounds, carry a status field and suppress stayed or vacated tags rather than deleting them; log them for analyst view. The highest-value use is at the person level, not the entity level: a newly incorporated company whose directors overlap with a wilful-defaulter borrower is a phoenix pattern and should be scored even when the new entity itself has clean credit. Tighten when two or more banks classify independently, when the fraud is reported in the RBI Central Fraud Registry or CRILC, when the classified amount exceeds net worth, or when the classification cites diversion to related concerns (pair with related-party rules). Relax for guarantors and non-executive directors who had no operational role.</t>
  </si>
  <si>
    <t xml:space="preserve">Loan Sanction / Facility Letter, Adverse Media / News Archive, Auditor Report</t>
  </si>
  <si>
    <t xml:space="preserve">A genuine business failure was tagged by one lender and the classification is under challenge and stayed by a court.</t>
  </si>
  <si>
    <t xml:space="preserve">EXT-006 (insolvency admitted), EXT-014 (group entity under enforcement), FIN-030 (funds advanced to related parties without business purpose)</t>
  </si>
  <si>
    <t xml:space="preserve">RBI Master Circular on Wilful Defaulters; RBI Master Directions on Frauds; CRILC reporting</t>
  </si>
  <si>
    <t xml:space="preserve">EXT-006</t>
  </si>
  <si>
    <t xml:space="preserve">Insolvency proceedings</t>
  </si>
  <si>
    <t xml:space="preserve">Insolvency admitted or liquidation ordered, with avoidance applications filed</t>
  </si>
  <si>
    <t xml:space="preserve">NCLT has admitted an insolvency petition against the company, or a liquidation or resolution order has been passed. Insolvency alone is failure, not fraud — the shell signal is the shape of the claims and any application by the resolution professional alleging preferential, undervalued or fraudulent transactions.</t>
  </si>
  <si>
    <t xml:space="preserve">(ibc_petition_admitted_flag == true OR nclt_order_type IN ('CIRP admission','liquidation order','resolution plan approved')) AND (avoidance_application_filed_flag == true OR related_party_claim_share &gt;= 0.40 OR petition_filing_creditor_related_flag == true)</t>
  </si>
  <si>
    <t xml:space="preserve">Related-party share of admitted claims &gt;= 40%, or any avoidance application under IBC s.43/45/49/66. Admission alone without these is logged at Medium</t>
  </si>
  <si>
    <t xml:space="preserve">Rolling 3 years from the order date</t>
  </si>
  <si>
    <t xml:space="preserve">ibc_petition_admitted_flag, nclt_order_type, petition_filing_creditor_type, petition_filing_creditor_related_flag, admitted_claim_value, related_party_claim_share, avoidance_application_filed_flag</t>
  </si>
  <si>
    <t xml:space="preserve">Read insolvency for its shape, not its existence. Three shapes matter: a s.9 operational-creditor petition filed by a party related to the promoters (a friendly admission used to freeze genuine creditors), admitted claims dominated by unsecured related-party debt that was never visibly funded, and a resolution professional's avoidance application — s.43 preferential, s.45 undervalued, s.49 defrauding creditors, s.66 fraudulent trading. The last of these is close to a finding of fact and should be treated as High on its own. Suppress the voluntary liquidation of a dormant group SPV under s.59, which is routine housekeeping, and suppress admissions where the debt is a disputed government dues claim. Sector and cycle matter: real estate and infrastructure carry high base rates of admission for reasons unrelated to shell activity, so lower weight there unless an avoidance application exists. Note that pre-2016 winding-up petitions still sit before High Courts and will not appear in NCLT feeds — search both. Tighten when the transaction audit reports diversion, or when directors incorporated a new entity in the same line of business during the CIRP.</t>
  </si>
  <si>
    <t xml:space="preserve">NCLT / NCLAT Orders, Litigation Database</t>
  </si>
  <si>
    <t xml:space="preserve">MCA Company Master Data, AOC-4 / AOC-4 XBRL Financial Statements, Adverse Media / News Archive</t>
  </si>
  <si>
    <t xml:space="preserve">A genuine operating business was pushed into insolvency by a real trade creditor after a downturn.</t>
  </si>
  <si>
    <t xml:space="preserve">EXT-005 (wilful defaulter or fraud tag), EXT-010 (cluster of supplier recovery suits), OWN-018 (promoter incorporated a mirror entity)</t>
  </si>
  <si>
    <t xml:space="preserve">IBC 2016 s.7/s.9/s.43/s.45/s.66; IBBI regulations</t>
  </si>
  <si>
    <t xml:space="preserve">EXT-007</t>
  </si>
  <si>
    <t xml:space="preserve">Director disqualification</t>
  </si>
  <si>
    <t xml:space="preserve">Directors appear on the ROC disqualified director list or hold deactivated DINs</t>
  </si>
  <si>
    <t xml:space="preserve">One or more directors are on the Registrar of Companies list of persons disqualified under Companies Act s.164, usually for three years of non-filing at another company or for a fraud-related default. A board substantially made up of disqualified persons cannot be running a real business.</t>
  </si>
  <si>
    <t xml:space="preserve">disqualified_director_count &gt;= 1 AND disqualification_status == 'in_force' AND (disqualified_director_count / total_director_count &gt;= 0.34 OR din_deactivated_flag == true OR disqualification_ground == 'section_164(1)')</t>
  </si>
  <si>
    <t xml:space="preserve">One third or more of the board disqualified, or any DIN deactivated, or any s.164(1) conduct-based ground; disqualification must be in force, not vacated</t>
  </si>
  <si>
    <t xml:space="preserve">Point in time, plus the 5-year disqualification window</t>
  </si>
  <si>
    <t xml:space="preserve">disqualified_director_count, total_director_count, disqualification_ground, disqualification_status, disqualification_period_end_date, din_deactivated_flag, disqualifying_company_struck_off_flag</t>
  </si>
  <si>
    <t xml:space="preserve">The 2017-18 mass disqualification drive swept in a very large number of people whose only fault was a defunct family company that stopped filing, and many were later restored through the Condonation of Delay Scheme or by High Court order — so always check current status and suppress vacated or restored entries, otherwise the rule fires on tens of thousands of ordinary directors. Separate the grounds sharply: s.164(2)(a) non-filing at one dormant company is administrative, while s.164(1) grounds — conviction for an offence involving moral turpitude, fraud, or default under s.188 — are conduct-based and should fire alone. Tighten when the same person is disqualified across three or more companies, when the disqualifying company was struck off, when a fresh entity was incorporated or the person took a new directorship during the disqualification window (which is itself an offence), or when the disqualified directors are also the bank signatories. Suppress for independent directors appointed after the disqualifying default period.</t>
  </si>
  <si>
    <t xml:space="preserve">MCA Company Master Data, MGT-7 / MGT-7A Annual Return, MCA Struck-Off Company List</t>
  </si>
  <si>
    <t xml:space="preserve">The director was caught by the 2017 non-filing sweep for an unrelated dormant family company and the disqualification was later condoned.</t>
  </si>
  <si>
    <t xml:space="preserve">EXT-014 (linked entity under enforcement), CMP-008 (chronic annual-return non-filing), OWN-021 (same person directing many entities)</t>
  </si>
  <si>
    <t xml:space="preserve">Companies Act 2013 s.164/s.167; MCA disqualification drive 2017-18; CODS 2018</t>
  </si>
  <si>
    <t xml:space="preserve">EXT-008</t>
  </si>
  <si>
    <t xml:space="preserve">Adverse media</t>
  </si>
  <si>
    <t xml:space="preserve">Credible adverse media alleges fraud, diversion or a Ponzi scheme by entity or owners</t>
  </si>
  <si>
    <t xml:space="preserve">News or regulator publications allege financial crime — fraud, siphoning of funds, a Ponzi or unauthorised deposit scheme — against the company or the people who run it. It is only useful once the story is confidently resolved to this exact entity and the source is credible.</t>
  </si>
  <si>
    <t xml:space="preserve">adverse_media_hit_count &gt;= 1 AND entity_resolution_confidence &gt;= 0.85 AND allegation_category IN ('fraud','fund_diversion','ponzi_or_deposit_scheme','money_laundering','fake_invoicing') AND source_tier &lt;= 2 AND retraction_flag == false</t>
  </si>
  <si>
    <t xml:space="preserve">Entity resolution confidence &gt;= 0.85; at least one tier-1 or tier-2 source (wire service, national daily, regulator or agency press release); publication within 5 years; a lone tier-3 hit is logged only</t>
  </si>
  <si>
    <t xml:space="preserve">Rolling 5 years, with weight decaying after 3 years unless proceedings continue</t>
  </si>
  <si>
    <t xml:space="preserve">adverse_media_hit_count, entity_resolution_confidence, allegation_category, source_tier, publication_date, article_contains_hard_identifier_flag, retraction_flag</t>
  </si>
  <si>
    <t xml:space="preserve">Without entity resolution this rule is a name-collision generator. Resolve on a hard identifier present in the article — CIN, PAN, GSTIN, DIN, or a registered address — and treat name-only matches as unresolved; trading names such as 'Shree Enterprises' or group words such as 'Sterling', 'Reliance' and 'Sahara' are shared by hundreds of unrelated firms, and homonym directors are extremely common. Restrict allegation_category to financial-crime types: labour disputes, environmental protest, product complaints and political criticism are reputational noise and must not score. Suppress single-source content-farm and SEO-aggregator hits, syndicated reprints counted as separate hits (deduplicate by story cluster, not by URL), paid-takedown sites, and anything retracted or subject to a published correction. Suppress where the subject is a namesake individual whose other identifiers do not match. Tighten when the source is a regulator or agency press release, when independent outlets publish within a short window, when the same principals recur across separate stories over years, or when the allegation matches an open case in EXT-003. For listed entities, allow lower confidence because coverage is dense and identifiers are public.</t>
  </si>
  <si>
    <t xml:space="preserve">Adverse Media / News Archive, Litigation Database</t>
  </si>
  <si>
    <t xml:space="preserve">Company Website Content, Social Media / Employee Listing (LinkedIn), NCLT / NCLAT Orders</t>
  </si>
  <si>
    <t xml:space="preserve">An unrelated company with a similar trading name was the subject of the story and the match was made on name alone.</t>
  </si>
  <si>
    <t xml:space="preserve">EXT-003 (agency enforcement open), EXT-005 (lender fraud tagging), EXT-013 (regulatory bar or licence cancellation)</t>
  </si>
  <si>
    <t xml:space="preserve">FATF adverse media guidance; RBI Master Direction KYC 2016 (ongoing due diligence)</t>
  </si>
  <si>
    <t xml:space="preserve">EXT-009</t>
  </si>
  <si>
    <t xml:space="preserve">Cheque dishonour litigation</t>
  </si>
  <si>
    <t xml:space="preserve">Section 138 cheque bounce prosecutions high vs turnover, from many complainants</t>
  </si>
  <si>
    <t xml:space="preserve">The entity faces multiple criminal complaints under s.138 of the Negotiable Instruments Act for cheques that bounced. Many complaints from unrelated payees, scaled to a small turnover, suggest the company issues cheques it cannot honour.</t>
  </si>
  <si>
    <t xml:space="preserve">s138_case_count_filed_against &gt;= 5 AND distinct_complainant_count &gt;= 3 AND (s138_case_count_filed_against / (revenue_from_operations / 10000000)) &gt;= 1.0 AND days_span_of_filings &lt;= 730</t>
  </si>
  <si>
    <t xml:space="preserve">5 or more complaints in 24 months, from 3 or more distinct complainants, and at least 1 complaint per INR 1 crore of turnover</t>
  </si>
  <si>
    <t xml:space="preserve">s138_case_count_filed_against, distinct_complainant_count, cheque_dishonour_value_total, revenue_from_operations, days_span_of_filings, cheque_return_reason_code, entity_party_direction</t>
  </si>
  <si>
    <t xml:space="preserve">Section 138 is the default debt-collection lever in India, so a raw count measures sector and credit cycle far more than dishonesty. Always normalise by turnover and by the number of distinct complainants: thirty complaints from one aggrieved supplier is a single commercial dispute, six complaints from six unrelated parties is a payments-capacity pattern. Check direction first — litigation feeds often store all parties without roles, and an entity that is mostly the complainant is a lender or seller enforcing its own receivables, which is the opposite signal, so suppress when entity_party_direction is predominantly complainant. Suppress when the return reason is 'payment stopped by drawer' against a disputed supply or 'signature mismatch', which are disputes, not shortfalls. Real estate, construction, NBFC borrowers and agri traders carry high base rates — raise the count threshold or benchmark against sector peers there. Tighten when the reason code is 'account closed' or 'funds insufficient' on a current account that was swept empty shortly before, when filings cluster within 90 days, when the entity is under three years old, or when the same cheques were issued as security against unsecured loans.</t>
  </si>
  <si>
    <t xml:space="preserve">Litigation Database, Cheque Return / Bounce Data</t>
  </si>
  <si>
    <t xml:space="preserve">Bank Statement, Credit Bureau Report (CIBIL / CRIF), AOC-4 / AOC-4 XBRL Financial Statements</t>
  </si>
  <si>
    <t xml:space="preserve">A real business hit a liquidity squeeze in a downturn and its suppliers used the standard s.138 route to press for payment.</t>
  </si>
  <si>
    <t xml:space="preserve">EXT-010 (supplier recovery suit cluster), BNK-041 (account swept to near-zero balance), EXT-006 (insolvency admitted)</t>
  </si>
  <si>
    <t xml:space="preserve">Negotiable Instruments Act 1881 s.138; FIU-IND red flag</t>
  </si>
  <si>
    <t xml:space="preserve">EXT-010</t>
  </si>
  <si>
    <t xml:space="preserve">Creditor litigation cluster</t>
  </si>
  <si>
    <t xml:space="preserve">Cluster of unrelated supplier recovery suits or winding-up petitions in a short window</t>
  </si>
  <si>
    <t xml:space="preserve">Several unrelated suppliers have filed recovery suits, s.9 insolvency demand notices or winding-up petitions against the company within a short period. When this happens while the balance sheet still shows comfortable cash, the reported cash is probably not real.</t>
  </si>
  <si>
    <t xml:space="preserve">civil_recovery_suit_count &gt;= 3 AND distinct_plaintiff_count &gt;= 3 AND plaintiff_related_party_share &lt;= 0.34 AND (suit_claim_value_total / trade_payables) &gt;= 0.20 AND days_span_of_filings &lt;= 540</t>
  </si>
  <si>
    <t xml:space="preserve">3 or more suits from 3 or more unrelated plaintiffs within 18 months, with total claims &gt;= 20% of reported trade payables</t>
  </si>
  <si>
    <t xml:space="preserve">Rolling 18 months</t>
  </si>
  <si>
    <t xml:space="preserve">civil_recovery_suit_count, distinct_plaintiff_count, plaintiff_related_party_share, suit_claim_value_total, trade_payables, days_span_of_filings, cash_and_bank_balance</t>
  </si>
  <si>
    <t xml:space="preserve">Suppliers sue slow payers in every sector, so the count on its own is weak; the forensic content is the convergence of unrelated creditors while the audited balance sheet still reports cash exceeding the total claimed — that contradiction is what makes it a shell indicator rather than a liquidity story. Suppress when plaintiffs are related parties, since friendly claims are a standard way to manufacture creditor pressure and to justify later fund movements. Suppress or raise thresholds for EPC, infrastructure and government contracting, where retention-money and variation-claim disputes are structural and long payment cycles are contractual, and for entities whose disputes concentrate on a single counterparty. Tighten when filings accelerate quarter on quarter, when an IBC s.9 demand notice or an MSME Samadhaan complaint follows, when the entity's MSME-1 return shows large overdue dues to micro and small suppliers, or when cash and bank balances reported in AOC-4 exceed total claims — the last is close to proof that the cash is fictitious.</t>
  </si>
  <si>
    <t xml:space="preserve">Litigation Database, AOC-4 / AOC-4 XBRL Financial Statements</t>
  </si>
  <si>
    <t xml:space="preserve">NCLT / NCLAT Orders, MSME-1 Return, Credit Bureau Report (CIBIL / CRIF)</t>
  </si>
  <si>
    <t xml:space="preserve">A working-capital crunch caused genuine late payment and several suppliers filed within the same quarter.</t>
  </si>
  <si>
    <t xml:space="preserve">EXT-009 (cheque bounce prosecutions), EXT-006 (insolvency admitted), FIN-017 (reported cash inconsistent with bank statements)</t>
  </si>
  <si>
    <t xml:space="preserve">IBC 2016 s.8/s.9; Companies Act 2013 s.271; MSMED Act 2006 s.15</t>
  </si>
  <si>
    <t xml:space="preserve">EXT-011</t>
  </si>
  <si>
    <t xml:space="preserve">Contract dispute pattern</t>
  </si>
  <si>
    <t xml:space="preserve">Arbitration and contract disputes disproportionate to size, with linked counterparties</t>
  </si>
  <si>
    <t xml:space="preserve">The entity is party to an unusual number of arbitrations or contract suits for its size, especially where the subject matter is goods invoiced and paid for but never delivered. Manufactured disputes are used to give a paper reason for money that has already moved.</t>
  </si>
  <si>
    <t xml:space="preserve">(arbitration_case_count + contract_dispute_case_count) &gt;= 4 AND dispute_count_per_inr_crore_revenue &gt;= 0.5 AND distinct_counterparty_count &gt;= 3 AND (dispute_subject_category IN ('non_delivery_after_payment','services_not_rendered') OR counterparty_shared_director_flag == true)</t>
  </si>
  <si>
    <t xml:space="preserve">4 or more disputes, at least 0.5 disputes per INR 1 crore of turnover, 3 or more distinct counterparties; sector peer median used as the real comparator</t>
  </si>
  <si>
    <t xml:space="preserve">arbitration_case_count, contract_dispute_case_count, dispute_count_per_inr_crore_revenue, distinct_counterparty_count, dispute_subject_category, counterparty_shared_director_flag, consent_award_share</t>
  </si>
  <si>
    <t xml:space="preserve">Litigiousness is structural in some sectors — EPC, infrastructure, shipping, commodity trading and film finance generate arbitrations in the ordinary course, and one large project can spawn a dozen claims with no dishonesty anywhere, so benchmark against sector peers of similar contract value rather than an absolute count and suppress for construction and infrastructure NIC codes unless the other legs fire. The forensic edge is subject matter and counterparty identity, not volume: repeated claims that goods invoiced and paid for were never delivered, or that billed services were never rendered, describe circular invoicing; disputes with counterparties that share directors, addresses or auditors with the entity describe a staged dispute. Also watch consent awards settled immediately at the full claimed amount, which is a laundering pattern rather than litigation. Suppress single-counterparty dispute clusters against a government body, which are recovery attempts. Tighten when the disputed value exceeds the entity's fixed assets, or when awards are enforced across borders to a low-tax jurisdiction.</t>
  </si>
  <si>
    <t xml:space="preserve">Litigation Database, Derived — cross-entity graph</t>
  </si>
  <si>
    <t xml:space="preserve">AOC-2 Related Party Annexure, AOC-4 / AOC-4 XBRL Financial Statements, Adverse Media / News Archive</t>
  </si>
  <si>
    <t xml:space="preserve">The company works in a contract-heavy sector such as EPC where arbitration is the normal way commercial claims are settled.</t>
  </si>
  <si>
    <t xml:space="preserve">EXT-014 (linked entity under enforcement), OWN-027 (counterparties share directors or addresses), FIN-044 (advances to suppliers never converted to goods)</t>
  </si>
  <si>
    <t xml:space="preserve">FATF TBML typology; Arbitration and Conciliation Act 1996</t>
  </si>
  <si>
    <t xml:space="preserve">EXT-012</t>
  </si>
  <si>
    <t xml:space="preserve">Published evasion lists</t>
  </si>
  <si>
    <t xml:space="preserve">Entity named on an authority-published fake-invoice or bogus-dealer list</t>
  </si>
  <si>
    <t xml:space="preserve">A tax authority has published the entity in a list of bogus billers, non-existent taxpayers or evaders — for example a state GST department's list of taxpayers found non-existent at their principal place of business, or a DGGI fake-invoice enforcement list. This is an official finding, not an allegation.</t>
  </si>
  <si>
    <t xml:space="preserve">published_evasion_list_hit_flag == true AND identifier_match_type IN ('GSTIN','PAN','CIN') AND list_publisher IN ('DGGI','CBIC','state_GST_department','CBDT','SEBI') AND listed_party_role == 'issuer_or_non_existent'</t>
  </si>
  <si>
    <t xml:space="preserve">N/A — categorical; requires an exact GSTIN, PAN or CIN match. Name-only matches never fire this rule</t>
  </si>
  <si>
    <t xml:space="preserve">Rolling 5 years from publication</t>
  </si>
  <si>
    <t xml:space="preserve">published_evasion_list_hit_flag, list_publisher, identifier_match_type, listed_party_role, listed_offence_type, list_publication_date, gstin_status</t>
  </si>
  <si>
    <t xml:space="preserve">The entire value rests on matching a hard identifier. State GST departments publish bogus-dealer and non-existent-taxpayer lists keyed by GSTIN, and matching them by trade name produces unusable noise because trade names repeat across states — suppress name-only matches outright. Separate the two roles the list can assign: the named issuer of fake invoices or a dealer found non-existent at the registered premises is a Critical finding, while a recipient whose input tax credit was blocked under Rule 86A because its supplier was bogus is a very common position for honest buyers and should route to counterparty and supply-chain review, not to an entity-level Critical. Suppress where the listing was reversed on appeal, where the GSTIN was restored after a revocation application, or where non-existence was recorded at a stale address the taxpayer had already amended in REG-14. Tighten when the GSTIN was cancelled retrospectively for non-existence, when the same PAN appears on lists in two or more states, or when publication coincides with a DGGI proceeding under EXT-003.</t>
  </si>
  <si>
    <t xml:space="preserve">GST Cancellation / Suspension Order, Litigation Database, Adverse Media / News Archive</t>
  </si>
  <si>
    <t xml:space="preserve">GSTR-2A / 2B, PAN Master Data, GST Registration Certificate (REG-06)</t>
  </si>
  <si>
    <t xml:space="preserve">The entity appears only as a buyer whose credit was blocked because one of its suppliers turned out to be bogus.</t>
  </si>
  <si>
    <t xml:space="preserve">EXT-003 (DGGI proceeding open), TAX-009 (ITC claimed from cancelled suppliers), OPS-002 (no physical presence at principal place of business)</t>
  </si>
  <si>
    <t xml:space="preserve">CGST Act 2017 s.122(1A)/s.132; CGST Rule 86A; CBIC fake-invoice drives</t>
  </si>
  <si>
    <t xml:space="preserve">EXT-013</t>
  </si>
  <si>
    <t xml:space="preserve">Regulatory bar</t>
  </si>
  <si>
    <t xml:space="preserve">Sector regulator has debarred the entity or cancelled its licence on conduct grounds</t>
  </si>
  <si>
    <t xml:space="preserve">A sector regulator — SEBI, RBI, IRDAI, DGFT, customs or a state authority — has barred the entity from the market or cancelled its registration on conduct grounds. Continuing to trade in the barred activity afterwards is a strong shell or front indicator.</t>
  </si>
  <si>
    <t xml:space="preserve">regulator_action_flag == true AND action_type IN ('registration_cancelled','licence_revoked','market_access_bar','debarment','prohibitory_order') AND action_ground == 'conduct' AND action_status == 'in_force'</t>
  </si>
  <si>
    <t xml:space="preserve">N/A — categorical; conduct-based bar in force. Administrative lapses cured within 90 days are excluded</t>
  </si>
  <si>
    <t xml:space="preserve">Point in time, plus the full bar period</t>
  </si>
  <si>
    <t xml:space="preserve">regulator_action_flag, regulator_name, action_type, action_ground, action_status, action_effective_date, entity_continued_activity_after_bar_flag</t>
  </si>
  <si>
    <t xml:space="preserve">Separate substantive bars from housekeeping. An NBFC certificate of registration surrendered voluntarily, an IEC deactivated for non-filing, a GST registration cancelled for missed returns, or a Shops and Establishment licence lapsing are administrative and must be suppressed — they fire constantly on small honest firms. Conduct-based actions are different in kind: a SEBI s.11B debarment from the securities market, an RBI cancellation under RBI Act s.45-IA(6) for fit-and-proper failure, an IRDAI licence revocation, a DGFT denied-entity listing, or revocation of customs broker or AEO status all rest on a finding. The strongest sub-signal is continuation: compare action_effective_date with subsequent GSTR-1 filings, e-way bills or shipping bills, because an entity still moving goods or funds in the barred activity is operating through fronts. Tighten when directors are individually debarred, when the ground is misrepresentation in the licence application, or when the bar concerns deposit-taking or investment solicitation. Relax for group-level actions where the specific entity was not the noticee.</t>
  </si>
  <si>
    <t xml:space="preserve">Litigation Database, Adverse Media / News Archive</t>
  </si>
  <si>
    <t xml:space="preserve">DGFT IEC Data, GST Cancellation / Suspension Order, MCA Company Master Data</t>
  </si>
  <si>
    <t xml:space="preserve">The registration lapsed for a filing default and was restored once the returns were filed.</t>
  </si>
  <si>
    <t xml:space="preserve">EXT-008 (adverse media on fraud), EXT-003 (agency enforcement open), OPS-014 (activity continues from an unregistered premises)</t>
  </si>
  <si>
    <t xml:space="preserve">SEBI Act 1992 s.11B; RBI Act 1934 s.45-IA(6); DGFT denied entity list; Customs Brokers Licensing Regulations</t>
  </si>
  <si>
    <t xml:space="preserve">EXT-014</t>
  </si>
  <si>
    <t xml:space="preserve">Group contagion</t>
  </si>
  <si>
    <t xml:space="preserve">First-degree linked entity sharing directors, UBO or address is already under enforcement</t>
  </si>
  <si>
    <t xml:space="preserve">Another company connected to this one — through a shared director, the same ultimate beneficial owner, the same registered address, auditor or bank signatory — is already the subject of enforcement or a fraud tag. Shell operators run entities in batches, so a tainted sibling is one of the best early predictors.</t>
  </si>
  <si>
    <t xml:space="preserve">linked_entity_under_enforcement_count &gt;= 1 AND degrees_of_separation == 1 AND link_strength_score &gt;= 0.6 AND link_type IN ('common_ubo','common_director','shared_registered_address','common_auditor','common_bank_signatory') AND link_overlap_with_offence_period_flag == true</t>
  </si>
  <si>
    <t xml:space="preserve">At least one first-degree link with strength &gt;= 0.6 overlapping the offence period; second-degree links count only when two independent link types coincide</t>
  </si>
  <si>
    <t xml:space="preserve">Rolling 5 years, restricted to the period the link was live</t>
  </si>
  <si>
    <t xml:space="preserve">linked_entity_under_enforcement_count, degrees_of_separation, link_strength_score, link_type, linked_entity_enforcement_agency, link_overlap_with_offence_period_flag, incorporation_date_vs_linked_enforcement_date</t>
  </si>
  <si>
    <t xml:space="preserve">Contagion must decay with both distance and link quality or the graph turns everything red. A shared independent director across two large listed boards is not a group; a shared ultimate beneficial owner plus a shared registered office is. Default to first-degree links only and require the link to have been live during the linked entity's offence period — a director who joined years after the conduct should not taint the new entity, which is what link_overlap_with_offence_period_flag exists to test. Suppress when the shared director is an independent or nominee director of a listed company, when the shared address is a recognised co-working space, business centre or industrial estate, when the shared auditor is a large firm with hundreds of clients (weight auditor links inversely to the auditor's client count), and when the shared bank is merely the same branch. Tighten when the linked entity's offence family matches the subject's own risk profile, when funds moved between the two, when they share a single mobile number, email domain or DSC, and above all when the subject was incorporated shortly after enforcement began against the linked entity — the phoenix pattern, which should escalate to High regardless of link count.</t>
  </si>
  <si>
    <t xml:space="preserve">Derived — cross-entity graph, Litigation Database, MCA Company Master Data</t>
  </si>
  <si>
    <t xml:space="preserve">BEN-1 / BEN-2 Significant Beneficial Owner, DIN Master Data, Signatory Details / DSC Register</t>
  </si>
  <si>
    <t xml:space="preserve">The only link is a professional independent director or a large audit firm shared with hundreds of unrelated clients.</t>
  </si>
  <si>
    <t xml:space="preserve">EXT-003 (agency enforcement open), EXT-005 (lender fraud tagging), OWN-021 (director holds many concurrent directorships)</t>
  </si>
  <si>
    <t xml:space="preserve">FATF beneficial ownership typology; SFIO group investigation practice; PMLA</t>
  </si>
  <si>
    <t xml:space="preserve">EXT-015</t>
  </si>
  <si>
    <t xml:space="preserve">Onboarding probing</t>
  </si>
  <si>
    <t xml:space="preserve">Onboarding questions probe reporting thresholds, CTR limits or monitoring scope</t>
  </si>
  <si>
    <t xml:space="preserve">During onboarding the applicant asks what amounts get reported, what triggers a suspicious transaction report, or whether the account is monitored. The analyst codes each question into the onboarding interview log against a fixed taxonomy, so the behaviour becomes a countable field rather than a narrative note.</t>
  </si>
  <si>
    <t xml:space="preserve">onboarding_query_code_count &gt;= 2 AND query_topic_category IN ('reporting_threshold','monitoring_scope','str_ctr_trigger','regulator_notification') AND queries_before_funding_flag == true AND customer_has_compliance_function_flag == false</t>
  </si>
  <si>
    <t xml:space="preserve">2 or more coded threshold or monitoring questions within one onboarding cycle, asked before the account is funded</t>
  </si>
  <si>
    <t xml:space="preserve">Onboarding cycle, plus 90 days after account opening</t>
  </si>
  <si>
    <t xml:space="preserve">onboarding_query_code_count, query_topic_category, queries_before_funding_flag, customer_has_compliance_function_flag, query_verbatim_text, analyst_observation_confidence</t>
  </si>
  <si>
    <t xml:space="preserve">Record the coded topic plus the verbatim question — never score an analyst's free-text impression, because the same conversation can be summarised as diligence or as probing depending on who writes it. Compliance-aware customers legitimately ask these questions: treasurers and CFOs asking about cash-deposit limits, PAN-quoting under Income Tax Rule 114B, FEMA remittance ceilings or GST e-invoice limits are doing their job, and a regulated applicant (NBFC, payment aggregator, broker, insurer) will ask about monitoring because it must build its own. Suppress when the customer has a compliance function or a regulated licence, when the query comes through counsel or a consultant on the customer's own obligations, or when it is a single factual question answered and dropped. Tighten when the question is framed as how to stay below a limit, whether the bank informs the department, what makes an alert fire, or whether cash under a stated figure is 'safe' — and especially when the figure named matches a real threshold (INR 10 lakh cash aggregation, INR 50,000 PAN trigger, USD 5,000). Escalate only when paired with an actual structuring pattern in the account.</t>
  </si>
  <si>
    <t xml:space="preserve">Bank Account Opening / KYC File</t>
  </si>
  <si>
    <t xml:space="preserve">Site Visit Report, Bank Statement</t>
  </si>
  <si>
    <t xml:space="preserve">A finance manager was checking the bank's cash-deposit and PAN-quoting rules so the company could comply with them.</t>
  </si>
  <si>
    <t xml:space="preserve">BNK-018 (cash deposits structured below the reporting limit), EXT-018 (shifting source-of-funds story), EXT-017 (pressure to complete quickly)</t>
  </si>
  <si>
    <t xml:space="preserve">FIU-IND red flag; RBI Master Direction KYC 2016; PMLA Rule 3</t>
  </si>
  <si>
    <t xml:space="preserve">EXT-016</t>
  </si>
  <si>
    <t xml:space="preserve">Price indifference</t>
  </si>
  <si>
    <t xml:space="preserve">Accepts clearly above-market fees or unfavourable terms without any negotiation</t>
  </si>
  <si>
    <t xml:space="preserve">The customer takes pricing well above the standard book rate and does not negotiate at all, and declines cheaper alternatives when they are offered. Indifference to cost is a classic laundering marker because the fee is simply the price of access. The analyst logs the offered versus accepted price and the number of negotiation rounds.</t>
  </si>
  <si>
    <t xml:space="preserve">pricing_deviation_from_book_rate_pct &gt;= 25 AND negotiation_round_count == 0 AND cheaper_alternative_declined_flag == true AND relationship_tenure_days &lt;= 180 AND term_sheet_acceptance_hours &lt;= 24</t>
  </si>
  <si>
    <t xml:space="preserve">Accepted price 25% or more above the peer book rate, zero negotiation rounds, term sheet signed within 24 hours, within the first 6 months of relationship</t>
  </si>
  <si>
    <t xml:space="preserve">Rolling 12 months from first contact</t>
  </si>
  <si>
    <t xml:space="preserve">pricing_deviation_from_book_rate_pct, negotiation_round_count, cheaper_alternative_declined_flag, relationship_tenure_days, term_sheet_acceptance_hours, product_opacity_score</t>
  </si>
  <si>
    <t xml:space="preserve">Plenty of honest customers do not negotiate: small firms with no treasury capability, buyers who value speed over basis points, subsidiaries whose parent negotiated group terms centrally, and anyone buying a standard board-rate retail product where there is no margin to negotiate — suppress all of these, and suppress entirely where the product has no negotiable spread. The comparison must be to genuine peers of the same size, tenor and product, not to a headline rate card, or the deviation number is meaningless. The signal strengthens when the customer volunteers to pay more, refuses a cheaper alternative that was explicitly put in front of them, or chooses the costlier of two products specifically because it is more opaque — cash-settled, bearer-like, routed through an extra jurisdiction or leg. Tighten when this coincides with urgency (EXT-017) or with an unexplained source of funds. On its own this is a Low, log-only observation; it earns weight only in combination.</t>
  </si>
  <si>
    <t xml:space="preserve">Bank Account Opening / KYC File, Loan Sanction / Facility Letter</t>
  </si>
  <si>
    <t xml:space="preserve">A small firm without treasury expertise accepted the first quote because it needed the facility quickly and had no benchmark.</t>
  </si>
  <si>
    <t xml:space="preserve">EXT-017 (unexplained urgency), EXT-018 (shifting source-of-funds story), BNK-033 (funds move out immediately after credit)</t>
  </si>
  <si>
    <t xml:space="preserve">Wolfsberg AML Principles; FATF customer-behaviour red flags</t>
  </si>
  <si>
    <t xml:space="preserve">EXT-017</t>
  </si>
  <si>
    <t xml:space="preserve">Pressure and urgency</t>
  </si>
  <si>
    <t xml:space="preserve">Unexplained urgency with pressure applied through a senior or influential contact</t>
  </si>
  <si>
    <t xml:space="preserve">The applicant demands a very fast turnaround with no verifiable business deadline, and escalates through a senior executive, board member or an influential outside contact rather than the normal relationship channel. The analyst logs each escalation with its channel and whether a supporting document for the deadline exists.</t>
  </si>
  <si>
    <t xml:space="preserve">escalation_event_count &gt;= 2 AND escalation_channel IN ('senior_executive','board_member','external_influential_contact','introducer') AND deadline_documentary_support_flag == false AND requested_turnaround_days &lt;= 3 AND escalation_bypasses_process_flag == true</t>
  </si>
  <si>
    <t xml:space="preserve">2 or more logged escalations, requested turnaround of 3 days or less, no documentary support for the stated deadline</t>
  </si>
  <si>
    <t xml:space="preserve">Onboarding cycle or single transaction request window</t>
  </si>
  <si>
    <t xml:space="preserve">escalation_event_count, escalation_channel, escalation_bypasses_process_flag, deadline_documentary_support_flag, requested_turnaround_days, control_step_waiver_requested_flag</t>
  </si>
  <si>
    <t xml:space="preserve">A genuine business under commercial time pressure is also urgent — shipment cut-offs, letter-of-credit expiry, tender bid-bond and EMD deadlines, auction dates, quarter-end drawdowns and festival inventory buying all create real, sharp deadlines — so urgency alone carries no information and must never fire this rule by itself. The two discriminators are verifiability and channel. A real deadline comes with a document (tender notice, LC expiry date, customs or auction schedule) and travels through the relationship manager; a manufactured one arrives as pressure from someone with no commercial role in the transaction and is aimed at skipping a specific control step. Suppress when deadline_documentary_support_flag is true, and when the escalation is the customer chasing a genuine service-level breach on the bank's side. Tighten when the escalation explicitly requests waiver or deferral of KYC, EDD or source-of-funds checks, when it is routed through a PEP or introducer (pair with EXT-002), when the same pattern recurs across several requests, or when the pressure comes from an internal senior person with no account ownership — that is an insider-risk case in its own right and should route to a separate channel.</t>
  </si>
  <si>
    <t xml:space="preserve">Email Header / MX Record, Loan Sanction / Facility Letter</t>
  </si>
  <si>
    <t xml:space="preserve">A real shipment or letter-of-credit deadline was approaching and the promoter escalated through the only senior contact he knew.</t>
  </si>
  <si>
    <t xml:space="preserve">EXT-016 (accepts unfavourable terms without negotiating), EXT-002 (PEP in the control chain), EXT-020 (application dropped once EDD is requested)</t>
  </si>
  <si>
    <t xml:space="preserve">Wolfsberg AML Principles; FIU-IND red flag; RBI KYC ongoing due diligence</t>
  </si>
  <si>
    <t xml:space="preserve">EXT-018</t>
  </si>
  <si>
    <t xml:space="preserve">Source of funds narrative</t>
  </si>
  <si>
    <t xml:space="preserve">Source of funds or wealth story changes materially after each rejection</t>
  </si>
  <si>
    <t xml:space="preserve">The explanation of source of funds (where this specific money came from) or source of wealth (how the overall wealth was built) is replaced with a new and contradictory version each time the previous one is rejected. Each version is stored with a timestamp and the rejection reason that preceded it, so the sequence itself is the evidence.</t>
  </si>
  <si>
    <t xml:space="preserve">sof_explanation_version_count &gt;= 3 AND explanation_change_after_rejection_flag == true AND explanation_mutually_inconsistent_flag == true AND (sow_supported_value_ratio &lt; 0.5 OR documentary_support_lag_days &gt; 30)</t>
  </si>
  <si>
    <t xml:space="preserve">3 or more materially different versions, each following a rejection; documented wealth under 50% of declared wealth</t>
  </si>
  <si>
    <t xml:space="preserve">Onboarding cycle plus any subsequent periodic review</t>
  </si>
  <si>
    <t xml:space="preserve">sof_explanation_version_count, explanation_change_after_rejection_flag, explanation_mutually_inconsistent_flag, sow_supported_value_ratio, documentary_support_lag_days, version_timestamp_sequence</t>
  </si>
  <si>
    <t xml:space="preserve">Refinement is not fabrication. A genuine customer's first answer is often vague and improves once he understands what is actually being asked, and Indian personal wealth is legitimately mixed and poorly documented — ancestral agricultural income exempt from tax, HUF and partition assets, gifts within the family, gold, and property sales evidenced only by a registered sale deed with no bank trail. A second, better-supported version of the same story must therefore be treated as normal and suppressed. What scores is mutual inconsistency: version two contradicts version one rather than adding to it, and the sequence of versions tracks the analyst's objections rather than any underlying fact. Suppress for first-generation or non-English-speaking customers whose first answer was relayed through an intermediary, and where documents merely arrived late but corroborate the original account. Tighten when the amount claimed changes, when a fresh counterparty or jurisdiction appears in each version, when the supporting document is dated after the question was asked (check PDF metadata), or when the final version conveniently lands just below a threshold that would require further proof.</t>
  </si>
  <si>
    <t xml:space="preserve">Income Tax Return (ITR-5 / ITR-6), AIS / TIS, Document Metadata (PDF / Office)</t>
  </si>
  <si>
    <t xml:space="preserve">The first explanation was vague and the customer simply gave a fuller, better-documented account of the same funds later.</t>
  </si>
  <si>
    <t xml:space="preserve">EXT-015 (probing about reporting thresholds), EXT-021 (documents produced only on demand), OWN-014 (share capital introduced with no traceable source)</t>
  </si>
  <si>
    <t xml:space="preserve">FATF Recommendation 10; RBI Master Direction KYC 2016; FIU-IND STR indicators</t>
  </si>
  <si>
    <t xml:space="preserve">EXT-019</t>
  </si>
  <si>
    <t xml:space="preserve">Representative rotation</t>
  </si>
  <si>
    <t xml:space="preserve">Refuses in-person contact or sends a different representative to every interaction</t>
  </si>
  <si>
    <t xml:space="preserve">Nobody who actually controls the company is ever available: meetings are declined and a different person turns up each time, usually without any board resolution authorising them. The analyst logs each interaction with the representative's identity and whether the beneficial owner has ever been met through any channel.</t>
  </si>
  <si>
    <t xml:space="preserve">distinct_representative_count &gt;= 3 AND beneficial_owner_met_flag == false AND representative_authority_document_count &lt; distinct_representative_count AND site_visit_completed_flag == false AND vcip_completed_flag == false</t>
  </si>
  <si>
    <t xml:space="preserve">3 or more distinct representatives with fewer authority letters than representatives, no site visit, no video KYC, beneficial owner never met</t>
  </si>
  <si>
    <t xml:space="preserve">Onboarding cycle plus 12 months</t>
  </si>
  <si>
    <t xml:space="preserve">distinct_representative_count, beneficial_owner_met_flag, representative_authority_document_count, site_visit_completed_flag, vcip_completed_flag, representative_shared_contact_flag</t>
  </si>
  <si>
    <t xml:space="preserve">Declining a branch visit is not a signal in itself — video-based customer identification is a fully legal RBI channel and remote onboarding is now the norm, so suppress entirely when V-CIP was completed with liveness and geotagging, when the customer is in another city or abroad, or when the entity uses a chartered accountant or company secretary as its standing authorised representative, which is ordinary Indian practice for small firms. The real condition is that no controlling person is ever reachable by any channel while the faces keep changing and none of them can be tied to a board resolution or authority letter. Tighten sharply when the rotating representatives share a mobile number, email domain, device fingerprint or IP with representatives of other applicant entities — that is a formation agent running a stable of shells rather than a company with staff turnover — when the site visit cannot be completed at the stated address, and when representatives cannot answer basic operational questions about the business they claim to run. Alone this is a Low log-only observation.</t>
  </si>
  <si>
    <t xml:space="preserve">Bank Account Opening / KYC File, Site Visit Report</t>
  </si>
  <si>
    <t xml:space="preserve">IP &amp; Device Fingerprint Log, Signatory Details / DSC Register</t>
  </si>
  <si>
    <t xml:space="preserve">The promoter is based in another city and sends whichever office employee or consultant is free that day.</t>
  </si>
  <si>
    <t xml:space="preserve">OPS-002 (no physical presence at the registered address), OWN-012 (nominee or proxy shareholding), EXT-019 shared-contact overlap with other applicants</t>
  </si>
  <si>
    <t xml:space="preserve">RBI Master Direction KYC 2016 (V-CIP); FATF Recommendation 10</t>
  </si>
  <si>
    <t xml:space="preserve">EXT-020</t>
  </si>
  <si>
    <t xml:space="preserve">EDD abandonment</t>
  </si>
  <si>
    <t xml:space="preserve">Application abandoned within days of enhanced due diligence being requested</t>
  </si>
  <si>
    <t xml:space="preserve">A near-complete application is withdrawn immediately after the analyst asks for enhanced due diligence — typically beneficial ownership proof or source of funds. Abandonment is weak on its own, so it is recorded in a structured drop-off log with the stage, the timing and the exact item that was asked for.</t>
  </si>
  <si>
    <t xml:space="preserve">edd_request_flag == true AND days_between_edd_request_and_withdrawal &lt;= 14 AND prior_document_submission_completeness &gt;= 0.8 AND edd_item_requested IN ('beneficial_ownership','source_of_funds','source_of_wealth') AND same_ubo_abandonment_count &gt;= 2</t>
  </si>
  <si>
    <t xml:space="preserve">Withdrawal within 14 days of the EDD request on a file already 80% complete; alert only when the same beneficial owner has abandoned 2 or more applications</t>
  </si>
  <si>
    <t xml:space="preserve">Rolling 24 months across all applications sharing a UBO, address or introducer</t>
  </si>
  <si>
    <t xml:space="preserve">edd_request_flag, days_between_edd_request_and_withdrawal, prior_document_submission_completeness, edd_item_requested, same_ubo_abandonment_count, withdrawal_reason_stated_flag</t>
  </si>
  <si>
    <t xml:space="preserve">Abandonment must be logged, not acted on. Most drop-offs are ordinary friction — a faster offer elsewhere, a changed business plan, a document list that looked long, or a small firm that simply does not have the paperwork — and treating withdrawal as adverse would punish exactly the customers least able to produce records. Never file a suspicious transaction report on abandonment alone, and never let it become a silent de-risking mark against a customer who reapplies. The value is population-level and retrospective: capture stage, timing and the specific EDD item, so that the same beneficial owner reappearing under a different entity name, or one particular question causing repeated drop-offs among applicants who share an address or introducer, becomes visible as a pattern. Suppress single first-time abandonments entirely, and suppress where the customer gave a verifiable reason such as a declined facility or a competing sanction. Tighten to an alert only when the file was near complete, the walk-away followed a beneficial-ownership or source-of-funds question within days, and the same UBO has done it before.</t>
  </si>
  <si>
    <t xml:space="preserve">Bank Account Opening / KYC File, Derived — cross-entity graph</t>
  </si>
  <si>
    <t xml:space="preserve">The applicant got a quicker approval from another bank and dropped this application while the document list was still open.</t>
  </si>
  <si>
    <t xml:space="preserve">EXT-018 (shifting source-of-funds story), EXT-015 (probing about reporting thresholds), OWN-012 (nominee or proxy shareholding)</t>
  </si>
  <si>
    <t xml:space="preserve">FIU-IND STR guidance; RBI Master Direction KYC 2016; FATF Recommendation 10</t>
  </si>
  <si>
    <t xml:space="preserve">EXT-021</t>
  </si>
  <si>
    <t xml:space="preserve">Document drip-feed</t>
  </si>
  <si>
    <t xml:space="preserve">Documents produced only in fragments, each item supplied after a specific demand</t>
  </si>
  <si>
    <t xml:space="preserve">Nothing is volunteered: the customer supplies exactly the item demanded and nothing adjacent, round after round, and file metadata shows the documents were created after the request rather than retrieved from records. The analyst logs the number of request rounds and how much arrived unprompted.</t>
  </si>
  <si>
    <t xml:space="preserve">document_request_round_count &gt;= 4 AND unsolicited_document_share &lt;= 0.10 AND document_created_after_request_flag == true AND mean_document_turnaround_days &gt;= 10 AND entity_turnover_band != 'below_tax_audit_limit'</t>
  </si>
  <si>
    <t xml:space="preserve">4 or more request rounds, 10% or less of documents volunteered, mean turnaround 10 days or more, metadata creation date after the request date</t>
  </si>
  <si>
    <t xml:space="preserve">Onboarding or review cycle</t>
  </si>
  <si>
    <t xml:space="preserve">document_request_round_count, unsolicited_document_share, mean_document_turnaround_days, document_created_after_request_flag, document_metadata_creation_date, entity_turnover_band</t>
  </si>
  <si>
    <t xml:space="preserve">Small vendors and proprietorships genuinely produce documents slowly and only what is asked for — they have no compliance staff, records sit with an external accountant, and GST or ITR copies must be chased from a consultant — so turnaround time measures capacity, not intent, and must not be scored on its own. Suppress for entities below the tax-audit turnover band, for first-year entities, during statutory peak periods (September and November filing deadlines, and year-end), and wherever the delay is uniform across every item rather than selective. The forensic content is selectivity and freshness. Selectivity: the customer answers the literal question and never the obvious next one, which is how someone who is constructing a story behaves rather than someone retrieving records. Freshness: PDF or Office metadata shows the file was authored after the request was raised, meaning it was made rather than found. Tighten when creation dates cluster the day before submission, when unrelated documents share one author, template or software fingerprint, when scanned documents show no genuine paper artefacts, or when each round produces a document that contradicts the previous one. Alone this is a Low log-only signal.</t>
  </si>
  <si>
    <t xml:space="preserve">Bank Account Opening / KYC File, Document Metadata (PDF / Office)</t>
  </si>
  <si>
    <t xml:space="preserve">A small proprietor with no in-house accounts team had to fetch every paper from his consultant one at a time.</t>
  </si>
  <si>
    <t xml:space="preserve">EXT-018 (shifting source-of-funds story), CMP-019 (documents share one author or template), EXT-020 (application dropped once EDD is requested)</t>
  </si>
  <si>
    <t xml:space="preserve">FATF Recommendation 10; FIU-IND red flag; forensic document metadata practice</t>
  </si>
  <si>
    <t xml:space="preserve">EXT-022</t>
  </si>
  <si>
    <t xml:space="preserve">Tender win improbability</t>
  </si>
  <si>
    <t xml:space="preserve">Public tender win rate or winning margin improbably good for the entity's size</t>
  </si>
  <si>
    <t xml:space="preserve">The entity wins public tenders far more often than its size and history justify, or beats the second-lowest bidder by a fraction of a percent again and again. Repeatedly shaving L2 by a hair implies knowledge of rival bids rather than efficiency.</t>
  </si>
  <si>
    <t xml:space="preserve">tender_participation_count &gt;= 5 AND tender_win_rate &gt;= 0.60 AND competing_bidder_count_mean &gt;= 3 AND (mean_winning_margin_pct &lt;= 0.5 OR single_buyer_award_share &gt;= 0.70) AND entity_age_years &lt;= 5</t>
  </si>
  <si>
    <t xml:space="preserve">Win rate 60%+ over 5 or more bids with 3+ real competitors; average winning margin 0.5% or less below L2; or 70%+ of award value from one buyer</t>
  </si>
  <si>
    <t xml:space="preserve">3 FY of tender history</t>
  </si>
  <si>
    <t xml:space="preserve">tender_participation_count, tender_win_rate, mean_winning_margin_pct, single_buyer_award_share, competing_bidder_count_mean, entity_age_years, award_value_to_turnover_ratio</t>
  </si>
  <si>
    <t xml:space="preserve">A genuinely efficient incumbent does win often: an OEM bidding its own product, a commodity supply decided purely on L1 price where margins are naturally razor thin, a rate-contract or empanelled vendor, and specialists with few competitors all show high win rates without any collusion — so never score win rate without margin and competition context. Suppress single-source and proprietary-article-certificate procurements, GeM rate contracts, reverse-auction formats where the final price converges by design, and any series where the mean competing bidder count is below three because the statistic is then meaningless. Statistical care matters: with fewer than five bids the win rate has no power, so treat the count floor as hard, and compare margins against the price volatility of the underlying input — beating L2 by less than the daily movement of the raw material is the real improbability. Tighten when the same losing bidders recur across this entity's wins (pair with EXT-023), when the buying department is one a PEP in the ownership chain can influence (EXT-002), when award value dwarfs turnover or declared capacity (EXT-024), or when wins begin abruptly after a change of officer at the buyer.</t>
  </si>
  <si>
    <t xml:space="preserve">Tender / Procurement Portal</t>
  </si>
  <si>
    <t xml:space="preserve">Derived — cross-entity graph, AOC-4 / AOC-4 XBRL Financial Statements</t>
  </si>
  <si>
    <t xml:space="preserve">The firm is the original equipment manufacturer or a rate-contract holder and genuinely has the lowest cost base in that category.</t>
  </si>
  <si>
    <t xml:space="preserve">EXT-023 (bidding alongside linked entities), EXT-024 (contract beyond demonstrable capability), EXT-002 (PEP in the control chain)</t>
  </si>
  <si>
    <t xml:space="preserve">Competition Act 2002 s.3(3)(d); CVC procurement guidelines; CCI bid-rigging cases</t>
  </si>
  <si>
    <t xml:space="preserve">EXT-023</t>
  </si>
  <si>
    <t xml:space="preserve">Bid rigging shape</t>
  </si>
  <si>
    <t xml:space="preserve">Bids in the same tenders as entities sharing its directors, address or contact details</t>
  </si>
  <si>
    <t xml:space="preserve">The entity repeatedly bids in tenders alongside other bidders that share its directors, registered address, phone number, email domain, bank account or digital signature. Cover bidding needs several entities that look independent to the buyer, so the link is only visible by joining the bidder list to company and GST records.</t>
  </si>
  <si>
    <t xml:space="preserve">co_bidding_tender_count &gt;= 3 AND co_bidder_shared_attribute_count &gt;= 1 AND shared_attribute_type IN ('director','registered_address','contact_number','email_domain','bank_account','DSC_holder') AND declared_consortium_flag == false AND (bid_price_rank_rotation_flag == true OR common_dsc_or_ip_flag == true)</t>
  </si>
  <si>
    <t xml:space="preserve">3 or more tenders with at least one linked co-bidder, no declared consortium, plus either rank rotation across tenders or a shared digital signature or submission IP</t>
  </si>
  <si>
    <t xml:space="preserve">co_bidding_tender_count, co_bidder_shared_attribute_count, shared_attribute_type, declared_consortium_flag, bid_price_rank_rotation_flag, common_dsc_or_ip_flag, bid_price_spread_pct</t>
  </si>
  <si>
    <t xml:space="preserve">This rule lives entirely in the graph join between the published bidder list and MCA, GST and signatory records; nothing in the entity's own file reveals it. Suppress declared consortium and joint-venture bids, group companies bidding in genuinely different technical packages where the tender permits it, shared addresses inside real industrial estates, SEZs or business centres, and links that consist only of a shared auditor or a shared professional who files returns for many local firms — those are weak attributes and will flood the queue. Require at least one strong attribute (common director, common bank account, same digital signature holder) or two weak ones. Tighten when bids are uploaded from a single IP or signed with digital signature certificates issued to the same person, when price ranks rotate so each linked entity wins in turn across a series, when the price spread among linked bidders is implausibly uniform while unrelated bidders scatter, when a linked entity bids just high enough to make the winner look competitive, and above all when the losing linked bidder later appears as a subcontractor or supplier to the winner — that combination is both bid rigging and a ready-made fund-routing channel.</t>
  </si>
  <si>
    <t xml:space="preserve">Tender / Procurement Portal, Derived — cross-entity graph</t>
  </si>
  <si>
    <t xml:space="preserve">MCA Company Master Data, Signatory Details / DSC Register, IP &amp; Device Fingerprint Log</t>
  </si>
  <si>
    <t xml:space="preserve">Two group companies bid for different technical packages of the same project, which the tender expressly allowed.</t>
  </si>
  <si>
    <t xml:space="preserve">EXT-022 (improbable win rate), OWN-027 (counterparties share directors or addresses), EXT-024 (winner has no delivery capability)</t>
  </si>
  <si>
    <t xml:space="preserve">Competition Act 2002 s.3(3)(d); CCI cartel decisions; CVC guidelines</t>
  </si>
  <si>
    <t xml:space="preserve">EXT-024</t>
  </si>
  <si>
    <t xml:space="preserve">Capability mismatch</t>
  </si>
  <si>
    <t xml:space="preserve">Awarded a contract far beyond its demonstrable capacity or past performance</t>
  </si>
  <si>
    <t xml:space="preserve">The entity wins a contract several times larger than its turnover, with almost no assets, employees or comparable past work, and no declared subcontracting arrangement. That combination usually means a front inserted between the real supplier and the buyer.</t>
  </si>
  <si>
    <t xml:space="preserve">award_value &gt; 10000000 AND (award_value / revenue_from_operations_prior_fy) &gt;= 3 AND past_similar_contract_count == 0 AND subcontracting_disclosed_flag == false AND (employee_count &lt;= 10 OR (fixed_assets_value / award_value) &lt;= 0.02)</t>
  </si>
  <si>
    <t xml:space="preserve">Award above INR 1 crore and at least 3x prior-year turnover; no comparable past contract; 10 or fewer employees or fixed assets under 2% of award value</t>
  </si>
  <si>
    <t xml:space="preserve">Award date, with 3 FY of prior financials</t>
  </si>
  <si>
    <t xml:space="preserve">award_value, revenue_from_operations_prior_fy, past_similar_contract_count, subcontracting_disclosed_flag, employee_count, fixed_assets_value, sector_capability_licence_flag</t>
  </si>
  <si>
    <t xml:space="preserve">Test capability against what the contract actually requires, not against a generic asset ratio, because asset-light intermediaries legitimately win supply orders many times their turnover — an authorised distributor placing a back-to-back order on its principal needs neither plant nor headcount, and a services or software contract needs no fixed assets at all. Suppress for authorised dealers and channel partners with a documented manufacturer tie-up, for declared subcontracting or consortium arrangements naming the technically qualified partner, and for procurement tracks that deliberately relax turnover and experience conditions — MSME reservation, Startup India exemptions from prior-turnover and experience criteria, and innovation-track buys. Suppress where the buyer's own qualification criteria were met on paper by a parent guarantee. Tighten when the work needs a licence, registration or technical certification the entity does not hold (sector_capability_licence_flag false), when the buyer waived published qualification criteria for this bidder, when EPFO and ESIC records show no workforce capable of delivering, when the entity has no premises consistent with the scope, and when it was incorporated shortly before the tender (EXT-025).</t>
  </si>
  <si>
    <t xml:space="preserve">Tender / Procurement Portal, AOC-4 / AOC-4 XBRL Financial Statements</t>
  </si>
  <si>
    <t xml:space="preserve">EPFO ECR Filing, Udyam / MSME Registration, GSTR-1</t>
  </si>
  <si>
    <t xml:space="preserve">The firm is an authorised distributor placing a back-to-back order on its principal, so it needs no assets or staff of its own.</t>
  </si>
  <si>
    <t xml:space="preserve">EXT-022 (improbable win rate), EXT-026 (sudden large supplier to one public buyer), OPS-011 (no workforce recorded in EPFO)</t>
  </si>
  <si>
    <t xml:space="preserve">CVC procurement guidelines; GFR 2017 Rule 173; public procurement policy for MSEs</t>
  </si>
  <si>
    <t xml:space="preserve">EXT-025</t>
  </si>
  <si>
    <t xml:space="preserve">Scheme timing</t>
  </si>
  <si>
    <t xml:space="preserve">Incorporated just before the cut-off that qualifies it for a subsidy or incentive</t>
  </si>
  <si>
    <t xml:space="preserve">The company was formed within weeks of the date that makes it eligible for a government scheme, subsidy or tax incentive, and a related entity already carries on the same activity. That points to an old business re-registering as a new unit to restart an exemption clock.</t>
  </si>
  <si>
    <t xml:space="preserve">days_between_incorporation_and_scheme_qualification &lt;= 90 AND scheme_benefit_claimed_value &gt; 0 AND related_entity_same_activity_flag == true AND (revenue_from_operations_first_fy == 0 OR (scheme_benefit_claimed_value / total_assets) &gt;= 0.5)</t>
  </si>
  <si>
    <t xml:space="preserve">Incorporated within 90 days of the eligibility cut-off; benefit claimed 50%+ of total assets, or nil first-year operating revenue</t>
  </si>
  <si>
    <t xml:space="preserve">Point in time at incorporation, plus first 2 FY</t>
  </si>
  <si>
    <t xml:space="preserve">days_between_incorporation_and_scheme_qualification, scheme_benefit_claimed_value, related_entity_same_activity_flag, revenue_from_operations_first_fy, total_assets, sibling_incorporation_cluster_count</t>
  </si>
  <si>
    <t xml:space="preserve">Incorporating in order to use a published incentive is legal and is precisely what industrial policy intends — new units under PLI, SEZ and state capital-subsidy schemes, Startup India recognition and the s.80-IAC tax holiday all require the entity to be new — so timing alone must never fire this rule and the related-entity leg is mandatory, not optional. Suppress genuine greenfield projects that show capital expenditure, land, a power connection and construction activity, and suppress first-generation entrepreneurs with no prior related business. The abuse pattern is the old business wearing a new coat: an existing concern with the same activity, address, machinery, workforce or customer list shifts billing into the newly formed entity to reset an exemption clock or to re-qualify for a benefit it has exhausted. Tighten when several sibling entities are incorporated around the same notification date by the same promoter group, when the benefit claimed dwarfs the capital actually deployed, when the workforce and electricity load simply move across from the older entity, or when the subsidy is drawn and the unit thereafter shows no EPFO or utility activity at all.</t>
  </si>
  <si>
    <t xml:space="preserve">MCA Company Master Data, SPICe+ / INC-32 Incorporation</t>
  </si>
  <si>
    <t xml:space="preserve">Udyam / MSME Registration, Electricity / Utility Bill, EPFO ECR Filing</t>
  </si>
  <si>
    <t xml:space="preserve">A real new manufacturing unit was set up to take up an incentive the policy was designed to attract.</t>
  </si>
  <si>
    <t xml:space="preserve">EXT-024 (no demonstrable capability), OWN-018 (promoter runs a mirror entity in the same activity), OPS-011 (no workforce recorded in EPFO)</t>
  </si>
  <si>
    <t xml:space="preserve">Income Tax Act s.80-IAC; PLI and SEZ incentive misuse typology; Companies Act 2013</t>
  </si>
  <si>
    <t xml:space="preserve">EXT-026</t>
  </si>
  <si>
    <t xml:space="preserve">Public buyer concentration</t>
  </si>
  <si>
    <t xml:space="preserve">Sudden large supplier to a single public sector buyer with no prior track record</t>
  </si>
  <si>
    <t xml:space="preserve">A firm with no relevant history suddenly invoices a very large share of its turnover to one government or public sector buyer. This is the classic pass-through inserted between the real supplier and the department to skim margin or generate cash.</t>
  </si>
  <si>
    <t xml:space="preserve">psu_buyer_revenue_share &gt;= 0.70 AND months_since_first_supply_to_buyer &lt;= 12 AND revenue_growth_multiple_yoy &gt;= 5 AND prior_sector_experience_years &lt;= 2 AND employee_count &lt;= 15</t>
  </si>
  <si>
    <t xml:space="preserve">70%+ of turnover from one government or PSU buyer, relationship under 12 months, 5x year-on-year revenue growth, under 2 years of sector experience</t>
  </si>
  <si>
    <t xml:space="preserve">psu_buyer_revenue_share, months_since_first_supply_to_buyer, revenue_growth_multiple_yoy, prior_sector_experience_years, employee_count, gstr1_b2g_invoice_concentration, single_vendor_purchase_share</t>
  </si>
  <si>
    <t xml:space="preserve">Single-buyer concentration is ordinary business risk, not a crime signal: genuine defence, railway, power and public-health suppliers often depend on one department, and any small firm that lands one large rate contract will show exactly this ratio for a year. The pattern that matters is discontinuity — no relevant history, no workforce, no assets, and yet crores invoiced to one buyer within months. Suppress OEMs and their authorised channel partners, entities on long-standing approval registers (DGQA, RDSO, CDSCO, NABL and similar), MSEs benefiting from the 25% public-procurement reservation, and genuine emergency-procurement surges; the 2020-21 PPE, oxygen and consumables buying is a good historical calibration set for what innocent explosive growth looks like. Tighten when GSTR-1 and GSTR-2A show the entity buying the same goods from a single vendor at a thin fixed markup with no value addition, when payment received from the buyer is swept out within days, when it was incorporated within two years of the first order (EXT-025), when there is no EPFO workforce or warehouse consistent with the volume, or when e-way bills show goods moving directly from the original supplier to the buyer without ever touching the entity.</t>
  </si>
  <si>
    <t xml:space="preserve">Tender / Procurement Portal, GSTR-1</t>
  </si>
  <si>
    <t xml:space="preserve">Form 26AS, AOC-4 / AOC-4 XBRL Financial Statements, E-Way Bill Data</t>
  </si>
  <si>
    <t xml:space="preserve">A small firm won its first large rate contract and that single order legitimately dominates its turnover for a year.</t>
  </si>
  <si>
    <t xml:space="preserve">EXT-024 (contract beyond demonstrable capability), EXT-002 (PEP in the control chain), BNK-033 (funds swept out immediately after credit)</t>
  </si>
  <si>
    <t xml:space="preserve">CVC guidelines on pass-through vendors; GFR 2017; FIU-IND red flag</t>
  </si>
  <si>
    <t xml:space="preserve">FIELD DICTIONARY — 2199 distinct data fields</t>
  </si>
  <si>
    <t xml:space="preserve">Sorted by how many rules the field unlocks. Extract the top of this list first — it buys the most detection coverage per unit of effort.</t>
  </si>
  <si>
    <t xml:space="preserve">Field Name (snake_case)</t>
  </si>
  <si>
    <t xml:space="preserve">Rules Unlocked</t>
  </si>
  <si>
    <t xml:space="preserve">Categories Served</t>
  </si>
  <si>
    <t xml:space="preserve">Source Documents</t>
  </si>
  <si>
    <t xml:space="preserve">Example Rule IDs</t>
  </si>
  <si>
    <t xml:space="preserve">revenue_from_operations</t>
  </si>
  <si>
    <t xml:space="preserve">Compliance &amp; Regulatory Filing; Document &amp; Digital Forensics; External, Legal &amp; Behavioural; Financial &amp; Accounting Forensics; Operational Reality &amp; Physical Substance; Ownership, Structure &amp; Governance</t>
  </si>
  <si>
    <t xml:space="preserve">AOC-4 / AOC-4 XBRL Financial Statements; MCA Company Master Data; EPFO ECR Filing; GSTR-1</t>
  </si>
  <si>
    <t xml:space="preserve">FIN-001, FIN-002, FIN-003, FIN-004, FIN-005, FIN-006</t>
  </si>
  <si>
    <t xml:space="preserve">nic_code</t>
  </si>
  <si>
    <t xml:space="preserve">Banking &amp; Transaction Behaviour; Financial &amp; Accounting Forensics; Operational Reality &amp; Physical Substance; Ownership, Structure &amp; Governance; Tax &amp; GST Data Forensics</t>
  </si>
  <si>
    <t xml:space="preserve">AOC-4 / AOC-4 XBRL Financial Statements; GSTR-1; EPFO ECR Filing; Bank Statement</t>
  </si>
  <si>
    <t xml:space="preserve">FIN-001, FIN-002, FIN-003, FIN-006, FIN-007, FIN-009</t>
  </si>
  <si>
    <t xml:space="preserve">entity_age_years</t>
  </si>
  <si>
    <t xml:space="preserve">Banking &amp; Transaction Behaviour; External, Legal &amp; Behavioural; Financial &amp; Accounting Forensics; Network &amp; Cross-Entity Linkage; Operational Reality &amp; Physical Substance; Ownership, Structure &amp; Governance</t>
  </si>
  <si>
    <t xml:space="preserve">AOC-4 / AOC-4 XBRL Financial Statements; MCA Company Master Data; GSTR-1; EPFO ECR Filing</t>
  </si>
  <si>
    <t xml:space="preserve">FIN-001, FIN-031, FIN-036, OWN-002, OWN-004, OWN-015</t>
  </si>
  <si>
    <t xml:space="preserve">declared_activity_class</t>
  </si>
  <si>
    <t xml:space="preserve">AOC-4 / AOC-4 XBRL Financial Statements; MCA Company Master Data; INC-22 Registered Office; Property Tax Record</t>
  </si>
  <si>
    <t xml:space="preserve">OPS-002, OPS-003, OPS-012, OPS-013, OPS-015, OPS-017</t>
  </si>
  <si>
    <t xml:space="preserve">total_assets</t>
  </si>
  <si>
    <t xml:space="preserve">External, Legal &amp; Behavioural; Financial &amp; Accounting Forensics; Ownership, Structure &amp; Governance</t>
  </si>
  <si>
    <t xml:space="preserve">AOC-4 / AOC-4 XBRL Financial Statements; MCA Company Master Data; EPFO ECR Filing; AOC-2 Related Party Annexure</t>
  </si>
  <si>
    <t xml:space="preserve">FIN-001, FIN-015, FIN-016, FIN-017, FIN-025, FIN-026</t>
  </si>
  <si>
    <t xml:space="preserve">employee_benefit_expense</t>
  </si>
  <si>
    <t xml:space="preserve">Financial &amp; Accounting Forensics; Operational Reality &amp; Physical Substance; Tax &amp; GST Data Forensics</t>
  </si>
  <si>
    <t xml:space="preserve">AOC-4 / AOC-4 XBRL Financial Statements; EPFO ECR Filing; Bank Statement; Payroll Register</t>
  </si>
  <si>
    <t xml:space="preserve">FIN-003, FIN-007, FIN-024, TAX-041, OPS-016, OPS-019</t>
  </si>
  <si>
    <t xml:space="preserve">incorporation_date</t>
  </si>
  <si>
    <t xml:space="preserve">Compliance &amp; Regulatory Filing; Operational Reality &amp; Physical Substance; Ownership, Structure &amp; Governance</t>
  </si>
  <si>
    <t xml:space="preserve">MCA Company Master Data; SPICe+ / INC-32 Incorporation; AOC-4 / AOC-4 XBRL Financial Statements; MGT-7 / MGT-7A Annual Return</t>
  </si>
  <si>
    <t xml:space="preserve">CMP-003, CMP-007, CMP-011, CMP-012, CMP-015, CMP-022</t>
  </si>
  <si>
    <t xml:space="preserve">mca_company_status</t>
  </si>
  <si>
    <t xml:space="preserve">Banking &amp; Transaction Behaviour; Compliance &amp; Regulatory Filing</t>
  </si>
  <si>
    <t xml:space="preserve">MCA Company Master Data; AOC-4 / AOC-4 XBRL Financial Statements; GSTR-1; MCA Struck-Off Company List</t>
  </si>
  <si>
    <t xml:space="preserve">CMP-001, CMP-002, CMP-003, CMP-005, CMP-007, CMP-011</t>
  </si>
  <si>
    <t xml:space="preserve">paid_up_capital</t>
  </si>
  <si>
    <t xml:space="preserve">Compliance &amp; Regulatory Filing; Financial &amp; Accounting Forensics; Operational Reality &amp; Physical Substance; Ownership, Structure &amp; Governance</t>
  </si>
  <si>
    <t xml:space="preserve">AOC-4 / AOC-4 XBRL Financial Statements; MCA Company Master Data; MGT-7 / MGT-7A Annual Return; Auditor Report</t>
  </si>
  <si>
    <t xml:space="preserve">FIN-053, FIN-054, CMP-021, CMP-024, CMP-025, CMP-029</t>
  </si>
  <si>
    <t xml:space="preserve">net_worth</t>
  </si>
  <si>
    <t xml:space="preserve">Financial &amp; Accounting Forensics; Ownership, Structure &amp; Governance</t>
  </si>
  <si>
    <t xml:space="preserve">AOC-4 / AOC-4 XBRL Financial Statements; CARO Annexure; Auditor Report; MGT-14 Resolutions</t>
  </si>
  <si>
    <t xml:space="preserve">FIN-018, FIN-030, FIN-048, FIN-049, FIN-050, FIN-054</t>
  </si>
  <si>
    <t xml:space="preserve">registered_office_address_normalised</t>
  </si>
  <si>
    <t xml:space="preserve">Network &amp; Cross-Entity Linkage; Operational Reality &amp; Physical Substance; Ownership, Structure &amp; Governance</t>
  </si>
  <si>
    <t xml:space="preserve">INC-22 Registered Office; MCA Company Master Data; Derived — cross-entity graph; DIR-3 KYC</t>
  </si>
  <si>
    <t xml:space="preserve">OWN-008, OWN-034, OPS-001, OPS-004, OPS-009, OPS-015</t>
  </si>
  <si>
    <t xml:space="preserve">board_size</t>
  </si>
  <si>
    <t xml:space="preserve">DIR-12 Director Change; MCA Company Master Data; AOC-4 / AOC-4 XBRL Financial Statements; MGT-7 / MGT-7A Annual Return</t>
  </si>
  <si>
    <t xml:space="preserve">OWN-001, OWN-002, OWN-003, OWN-005, OWN-006, OWN-009</t>
  </si>
  <si>
    <t xml:space="preserve">independent_director_count</t>
  </si>
  <si>
    <t xml:space="preserve">DIR-12 Director Change; MGT-7 / MGT-7A Annual Return; DIN Master Data; MCA Company Master Data</t>
  </si>
  <si>
    <t xml:space="preserve">OWN-001, OWN-003, OWN-004, OWN-007, OWN-009, OWN-038</t>
  </si>
  <si>
    <t xml:space="preserve">profit_before_tax</t>
  </si>
  <si>
    <t xml:space="preserve">Financial &amp; Accounting Forensics; Tax &amp; GST Data Forensics</t>
  </si>
  <si>
    <t xml:space="preserve">AOC-4 / AOC-4 XBRL Financial Statements; Tax Audit Report (Form 3CD); Income Tax Return (ITR-5 / ITR-6); CARO Annexure</t>
  </si>
  <si>
    <t xml:space="preserve">FIN-002, FIN-031, FIN-037, FIN-056, TAX-040, TAX-047</t>
  </si>
  <si>
    <t xml:space="preserve">total_credit_value</t>
  </si>
  <si>
    <t xml:space="preserve">Bank Statement; UPI / IMPS / NEFT Transaction Log; GSTR-1; Form 26AS</t>
  </si>
  <si>
    <t xml:space="preserve">BNK-001, BNK-004, BNK-005, BNK-016, BNK-033, BNK-042</t>
  </si>
  <si>
    <t xml:space="preserve">cluster_entity_count</t>
  </si>
  <si>
    <t xml:space="preserve">Network &amp; Cross-Entity Linkage; Ownership, Structure &amp; Governance</t>
  </si>
  <si>
    <t xml:space="preserve">Derived — cross-entity graph; DIN Master Data; DIR-12 Director Change; MCA Company Master Data</t>
  </si>
  <si>
    <t xml:space="preserve">OWN-013, OWN-033, OWN-042, NET-014, NET-015</t>
  </si>
  <si>
    <t xml:space="preserve">director_din</t>
  </si>
  <si>
    <t xml:space="preserve">Network &amp; Cross-Entity Linkage; Ownership, Structure &amp; Governance; Trade, Customs &amp; Cross-Border</t>
  </si>
  <si>
    <t xml:space="preserve">DIN Master Data; Derived — cross-entity graph; DIR-12 Director Change; MCA Company Master Data</t>
  </si>
  <si>
    <t xml:space="preserve">OWN-001, OWN-013, TRD-024, NET-011, NET-012</t>
  </si>
  <si>
    <t xml:space="preserve">dpt3_filed_flag</t>
  </si>
  <si>
    <t xml:space="preserve">Compliance &amp; Regulatory Filing; Financial &amp; Accounting Forensics; Ownership, Structure &amp; Governance</t>
  </si>
  <si>
    <t xml:space="preserve">AOC-4 / AOC-4 XBRL Financial Statements; DPT-3 Return of Deposits; PAS-3 Return of Allotment; Auditor Report</t>
  </si>
  <si>
    <t xml:space="preserve">FIN-052, FIN-053, CMP-027, OWN-030, OWN-031</t>
  </si>
  <si>
    <t xml:space="preserve">entities_share_disclosed_group</t>
  </si>
  <si>
    <t xml:space="preserve">Derived — cross-entity graph; MCA Company Master Data; IP &amp; Device Fingerprint Log; Document Metadata (PDF / Office)</t>
  </si>
  <si>
    <t xml:space="preserve">DIG-008, DIG-014, DIG-016, DIG-017, DIG-023</t>
  </si>
  <si>
    <t xml:space="preserve">gst_turnover_fy</t>
  </si>
  <si>
    <t xml:space="preserve">Income Tax Return (ITR-5 / ITR-6); MCA Company Master Data; Form 26AS; GSTR-9 / 9C Annual Return</t>
  </si>
  <si>
    <t xml:space="preserve">CMP-008, CMP-015, CMP-038, CMP-041, CMP-042</t>
  </si>
  <si>
    <t xml:space="preserve">invoice_date</t>
  </si>
  <si>
    <t xml:space="preserve">Document &amp; Digital Forensics; Tax &amp; GST Data Forensics</t>
  </si>
  <si>
    <t xml:space="preserve">GSTR-2A / 2B; GSTR-1; E-Invoice IRN Data; GST Cancellation / Suspension Order</t>
  </si>
  <si>
    <t xml:space="preserve">TAX-003, TAX-008, TAX-012, TAX-030, DIG-006</t>
  </si>
  <si>
    <t xml:space="preserve">trade_receivables</t>
  </si>
  <si>
    <t xml:space="preserve">AOC-4 / AOC-4 XBRL Financial Statements; GSTR-1; AOC-2 Related Party Annexure; Auditor Report</t>
  </si>
  <si>
    <t xml:space="preserve">FIN-015, FIN-021, FIN-027, FIN-032, FIN-034</t>
  </si>
  <si>
    <t xml:space="preserve">annual_turnover</t>
  </si>
  <si>
    <t xml:space="preserve">Network &amp; Cross-Entity Linkage; Tax &amp; GST Data Forensics</t>
  </si>
  <si>
    <t xml:space="preserve">Derived — cross-entity graph; GSTR-1; GSTR-2A / 2B; GSTR-9 / 9C Annual Return</t>
  </si>
  <si>
    <t xml:space="preserve">TAX-048, NET-016, NET-018, NET-027</t>
  </si>
  <si>
    <t xml:space="preserve">ben2_filed_flag</t>
  </si>
  <si>
    <t xml:space="preserve">Compliance &amp; Regulatory Filing; Ownership, Structure &amp; Governance</t>
  </si>
  <si>
    <t xml:space="preserve">BEN-1 / BEN-2 Significant Beneficial Owner; MGT-7 / MGT-7A Annual Return; MCA Company Master Data; MOA / AOA</t>
  </si>
  <si>
    <t xml:space="preserve">CMP-026, OWN-015, OWN-019, OWN-043</t>
  </si>
  <si>
    <t xml:space="preserve">capital_work_in_progress</t>
  </si>
  <si>
    <t xml:space="preserve">AOC-4 / AOC-4 XBRL Financial Statements; MCA Company Master Data; CARO Annexure; Tax Audit Report (Form 3CD)</t>
  </si>
  <si>
    <t xml:space="preserve">FIN-001, FIN-017, FIN-019, FIN-035</t>
  </si>
  <si>
    <t xml:space="preserve">contract_labour_expense</t>
  </si>
  <si>
    <t xml:space="preserve">Financial &amp; Accounting Forensics; Operational Reality &amp; Physical Substance</t>
  </si>
  <si>
    <t xml:space="preserve">AOC-4 / AOC-4 XBRL Financial Statements; EPFO ECR Filing; MGT-7 / MGT-7A Annual Return; Derived — cross-entity graph</t>
  </si>
  <si>
    <t xml:space="preserve">FIN-007, OPS-016, OPS-018, OPS-019</t>
  </si>
  <si>
    <t xml:space="preserve">cost_of_goods_sold</t>
  </si>
  <si>
    <t xml:space="preserve">AOC-4 / AOC-4 XBRL Financial Statements; E-Way Bill Data; GST Registration Certificate (REG-06); MSME-1 Return</t>
  </si>
  <si>
    <t xml:space="preserve">FIN-012, FIN-022, FIN-028, FIN-039</t>
  </si>
  <si>
    <t xml:space="preserve">declared_employee_count</t>
  </si>
  <si>
    <t xml:space="preserve">AOC-4 / AOC-4 XBRL Financial Statements; EPFO ECR Filing; MGT-7 / MGT-7A Annual Return; ESIC Contribution Record</t>
  </si>
  <si>
    <t xml:space="preserve">OPS-016, OPS-019, OPS-020, OPS-037</t>
  </si>
  <si>
    <t xml:space="preserve">disclosed_group_relationship_flag</t>
  </si>
  <si>
    <t xml:space="preserve">Derived — cross-entity graph; MGT-7 / MGT-7A Annual Return; DIN Master Data; DIR-12 Director Change</t>
  </si>
  <si>
    <t xml:space="preserve">OWN-013, OWN-021, OWN-042, OWN-045</t>
  </si>
  <si>
    <t xml:space="preserve">distinct_counterparty_count</t>
  </si>
  <si>
    <t xml:space="preserve">Banking &amp; Transaction Behaviour; External, Legal &amp; Behavioural; Tax &amp; GST Data Forensics; Trade, Customs &amp; Cross-Border</t>
  </si>
  <si>
    <t xml:space="preserve">Derived — cross-entity graph; Bank Statement; Tax Audit Report (Form 3CD); AOC-4 / AOC-4 XBRL Financial Statements</t>
  </si>
  <si>
    <t xml:space="preserve">BNK-012, TAX-036, TRD-023, EXT-011</t>
  </si>
  <si>
    <t xml:space="preserve">employee_count_epfo</t>
  </si>
  <si>
    <t xml:space="preserve">Financial &amp; Accounting Forensics; Operational Reality &amp; Physical Substance; Ownership, Structure &amp; Governance</t>
  </si>
  <si>
    <t xml:space="preserve">AOC-4 / AOC-4 XBRL Financial Statements; EPFO ECR Filing; INC-22 Registered Office; MCA Company Master Data</t>
  </si>
  <si>
    <t xml:space="preserve">FIN-040, OWN-008, OWN-037, OPS-003</t>
  </si>
  <si>
    <t xml:space="preserve">epfo_member_count_mean_12m</t>
  </si>
  <si>
    <t xml:space="preserve">AOC-4 / AOC-4 XBRL Financial Statements; EPFO ECR Filing; Derived — cross-entity graph; Bank Statement</t>
  </si>
  <si>
    <t xml:space="preserve">OPS-017, OPS-018, OPS-022, OPS-037</t>
  </si>
  <si>
    <t xml:space="preserve">purchases_of_stock_in_trade</t>
  </si>
  <si>
    <t xml:space="preserve">AOC-4 / AOC-4 XBRL Financial Statements; E-Way Bill Data; Tax Audit Report (Form 3CD); GST Registration Certificate (REG-06)</t>
  </si>
  <si>
    <t xml:space="preserve">FIN-002, FIN-009, FIN-012, FIN-014</t>
  </si>
  <si>
    <t xml:space="preserve">secured_borrowings</t>
  </si>
  <si>
    <t xml:space="preserve">AOC-4 / AOC-4 XBRL Financial Statements; CHG-1 / CHG-4 / CHG-9 Index of Charges; Insurance Policy Record; AOC-2 Related Party Annexure</t>
  </si>
  <si>
    <t xml:space="preserve">FIN-010, OWN-031, OWN-046, OWN-047</t>
  </si>
  <si>
    <t xml:space="preserve">share_application_money_pending</t>
  </si>
  <si>
    <t xml:space="preserve">AOC-4 / AOC-4 XBRL Financial Statements; PAS-3 Return of Allotment; DPT-3 Return of Deposits; Bank Statement</t>
  </si>
  <si>
    <t xml:space="preserve">FIN-052, CMP-013, CMP-027, OWN-030</t>
  </si>
  <si>
    <t xml:space="preserve">supplier_gstin</t>
  </si>
  <si>
    <t xml:space="preserve">Derived — cross-entity graph; GSTR-2A / 2B; Tax Audit Report (Form 3CD); GSTR-1</t>
  </si>
  <si>
    <t xml:space="preserve">TAX-008, TAX-009, TAX-017, TAX-039</t>
  </si>
  <si>
    <t xml:space="preserve">total_debit_value</t>
  </si>
  <si>
    <t xml:space="preserve">Bank Statement; IP &amp; Device Fingerprint Log; UPI / IMPS / NEFT Transaction Log; Bank Account Opening / KYC File</t>
  </si>
  <si>
    <t xml:space="preserve">BNK-007, BNK-020, BNK-023, BNK-033</t>
  </si>
  <si>
    <t xml:space="preserve">ae_jurisdiction</t>
  </si>
  <si>
    <t xml:space="preserve">Transfer Pricing Report (Form 3CEB); AOC-4 / AOC-4 XBRL Financial Statements; AOC-2 Related Party Annexure; SWIFT / Wire Messages</t>
  </si>
  <si>
    <t xml:space="preserve">TAX-041, TAX-042, TAX-043</t>
  </si>
  <si>
    <t xml:space="preserve">auditor_change_flag</t>
  </si>
  <si>
    <t xml:space="preserve">Auditor Report; AOC-4 / AOC-4 XBRL Financial Statements; CARO Annexure</t>
  </si>
  <si>
    <t xml:space="preserve">FIN-055, FIN-058, FIN-060</t>
  </si>
  <si>
    <t xml:space="preserve">closing_inventory</t>
  </si>
  <si>
    <t xml:space="preserve">AOC-4 / AOC-4 XBRL Financial Statements; Insurance Policy Record; E-Way Bill Data; GST Registration Certificate (REG-06)</t>
  </si>
  <si>
    <t xml:space="preserve">FIN-010, FIN-012, FIN-014</t>
  </si>
  <si>
    <t xml:space="preserve">closing_inventory_value</t>
  </si>
  <si>
    <t xml:space="preserve">AOC-4 / AOC-4 XBRL Financial Statements; INC-22 Registered Office; Property Tax Record; GST Registration Certificate (REG-06)</t>
  </si>
  <si>
    <t xml:space="preserve">OPS-003, OPS-014, OPS-029</t>
  </si>
  <si>
    <t xml:space="preserve">cth_code</t>
  </si>
  <si>
    <t xml:space="preserve">Bill of Entry; Customs / ICEGATE Data; Packing List / Commercial Invoice; Transfer Pricing Report (Form 3CEB)</t>
  </si>
  <si>
    <t xml:space="preserve">TRD-001, TRD-002, TRD-019</t>
  </si>
  <si>
    <t xml:space="preserve">cycle_length</t>
  </si>
  <si>
    <t xml:space="preserve">Network &amp; Cross-Entity Linkage; Ownership, Structure &amp; Governance; Tax &amp; GST Data Forensics</t>
  </si>
  <si>
    <t xml:space="preserve">Derived — cross-entity graph; GSTR-1; MGT-7 / MGT-7A Annual Return; AOC-4 CFS Consolidated</t>
  </si>
  <si>
    <t xml:space="preserve">OWN-018, TAX-008, NET-021</t>
  </si>
  <si>
    <t xml:space="preserve">debtor_days</t>
  </si>
  <si>
    <t xml:space="preserve">Banking &amp; Transaction Behaviour; Financial &amp; Accounting Forensics</t>
  </si>
  <si>
    <t xml:space="preserve">AOC-4 / AOC-4 XBRL Financial Statements; MSME-1 Return; Bank Statement; GSTR-1</t>
  </si>
  <si>
    <t xml:space="preserve">FIN-022, FIN-023, BNK-028</t>
  </si>
  <si>
    <t xml:space="preserve">declared_assessable_value_inr</t>
  </si>
  <si>
    <t xml:space="preserve">Bill of Entry; Packing List / Commercial Invoice; Customs / ICEGATE Data; Shipping Bill</t>
  </si>
  <si>
    <t xml:space="preserve">TRD-001, TRD-002, TRD-004</t>
  </si>
  <si>
    <t xml:space="preserve">declared_turnover_value</t>
  </si>
  <si>
    <t xml:space="preserve">Bank Statement; AOC-4 / AOC-4 XBRL Financial Statements; GSTR-3B; Income Tax Return (ITR-5 / ITR-6)</t>
  </si>
  <si>
    <t xml:space="preserve">BNK-027, BNK-028, BNK-036</t>
  </si>
  <si>
    <t xml:space="preserve">director_remuneration</t>
  </si>
  <si>
    <t xml:space="preserve">Operational Reality &amp; Physical Substance; Ownership, Structure &amp; Governance</t>
  </si>
  <si>
    <t xml:space="preserve">DIR-12 Director Change; MGT-7 / MGT-7A Annual Return; AOC-4 / AOC-4 XBRL Financial Statements; DIN Master Data</t>
  </si>
  <si>
    <t xml:space="preserve">OWN-001, OWN-009, OPS-016</t>
  </si>
  <si>
    <t xml:space="preserve">doc_metadata_creation_datetime</t>
  </si>
  <si>
    <t xml:space="preserve">Document Metadata (PDF / Office); Packing List / Commercial Invoice; E-Way Bill Data; Bank Statement</t>
  </si>
  <si>
    <t xml:space="preserve">DIG-002, DIG-003, DIG-004</t>
  </si>
  <si>
    <t xml:space="preserve">domain_creation_date</t>
  </si>
  <si>
    <t xml:space="preserve">Document &amp; Digital Forensics; Operational Reality &amp; Physical Substance</t>
  </si>
  <si>
    <t xml:space="preserve">Website WHOIS / Domain Record; Company Website Content; GSTR-1; MCA Company Master Data</t>
  </si>
  <si>
    <t xml:space="preserve">OPS-031, OPS-032, DIG-019</t>
  </si>
  <si>
    <t xml:space="preserve">domain_registration_present</t>
  </si>
  <si>
    <t xml:space="preserve">MCA Company Master Data; AOC-4 / AOC-4 XBRL Financial Statements; Tax Audit Report (Form 3CD); Company Website Content</t>
  </si>
  <si>
    <t xml:space="preserve">OPS-030, OPS-031, OPS-034</t>
  </si>
  <si>
    <t xml:space="preserve">employee_count</t>
  </si>
  <si>
    <t xml:space="preserve">External, Legal &amp; Behavioural; Network &amp; Cross-Entity Linkage</t>
  </si>
  <si>
    <t xml:space="preserve">GSTR-1; Tender / Procurement Portal; Derived — cross-entity graph; GSTR-2A / 2B</t>
  </si>
  <si>
    <t xml:space="preserve">NET-016, EXT-024, EXT-026</t>
  </si>
  <si>
    <t xml:space="preserve">entity_incorporation_date</t>
  </si>
  <si>
    <t xml:space="preserve">Document &amp; Digital Forensics; Trade, Customs &amp; Cross-Border</t>
  </si>
  <si>
    <t xml:space="preserve">Customs / ICEGATE Data; AOC-4 / AOC-4 XBRL Financial Statements; EPFO ECR Filing; DGFT IEC Data</t>
  </si>
  <si>
    <t xml:space="preserve">TRD-012, TRD-023, DIG-019</t>
  </si>
  <si>
    <t xml:space="preserve">entity_type</t>
  </si>
  <si>
    <t xml:space="preserve">Compliance &amp; Regulatory Filing; Document &amp; Digital Forensics; Ownership, Structure &amp; Governance</t>
  </si>
  <si>
    <t xml:space="preserve">MCA Company Master Data; AOC-4 / AOC-4 XBRL Financial Statements; Tax Audit Report (Form 3CD); Income Tax Return (ITR-5 / ITR-6)</t>
  </si>
  <si>
    <t xml:space="preserve">CMP-042, OWN-002, DIG-022</t>
  </si>
  <si>
    <t xml:space="preserve">foreign_shareholding_pct</t>
  </si>
  <si>
    <t xml:space="preserve">MGT-7 / MGT-7A Annual Return; BEN-1 / BEN-2 Significant Beneficial Owner; SWIFT / Wire Messages; MCA Company Master Data</t>
  </si>
  <si>
    <t xml:space="preserve">CMP-026, OWN-016, OWN-032</t>
  </si>
  <si>
    <t xml:space="preserve">gst_annual_turnover</t>
  </si>
  <si>
    <t xml:space="preserve">GSTR-9 / 9C Annual Return; Income Tax Return (ITR-5 / ITR-6); Form 26AS; Bank Statement</t>
  </si>
  <si>
    <t xml:space="preserve">TAX-019, TAX-020, TAX-021</t>
  </si>
  <si>
    <t xml:space="preserve">gst_taxpayer_type</t>
  </si>
  <si>
    <t xml:space="preserve">GSTR-1; GSTR-3B; GSTR-9 / 9C Annual Return; GST Cancellation / Suspension Order</t>
  </si>
  <si>
    <t xml:space="preserve">CMP-032, CMP-033, CMP-036</t>
  </si>
  <si>
    <t xml:space="preserve">gstin</t>
  </si>
  <si>
    <t xml:space="preserve">Network &amp; Cross-Entity Linkage; Trade, Customs &amp; Cross-Border</t>
  </si>
  <si>
    <t xml:space="preserve">GSTR-2A / 2B; Derived — cross-entity graph; Bill of Entry; AOC-4 / AOC-4 XBRL Financial Statements</t>
  </si>
  <si>
    <t xml:space="preserve">TRD-026, NET-010, NET-015</t>
  </si>
  <si>
    <t xml:space="preserve">hs_code_8digit</t>
  </si>
  <si>
    <t xml:space="preserve">Shipping Bill; Bill of Entry; Packing List / Commercial Invoice; Transfer Pricing Report (Form 3CEB)</t>
  </si>
  <si>
    <t xml:space="preserve">TRD-004, TRD-020, TRD-025</t>
  </si>
  <si>
    <t xml:space="preserve">inc20a_filed_flag</t>
  </si>
  <si>
    <t xml:space="preserve">SPICe+ / INC-32 Incorporation; INC-20A Commencement; MCA Company Master Data; MGT-7 / MGT-7A Annual Return</t>
  </si>
  <si>
    <t xml:space="preserve">CMP-012, OWN-023, OWN-026</t>
  </si>
  <si>
    <t xml:space="preserve">inventories</t>
  </si>
  <si>
    <t xml:space="preserve">AOC-4 / AOC-4 XBRL Financial Statements; AOC-2 Related Party Annexure; CARO Annexure</t>
  </si>
  <si>
    <t xml:space="preserve">FIN-015, FIN-028, FIN-032</t>
  </si>
  <si>
    <t xml:space="preserve">invoice_value</t>
  </si>
  <si>
    <t xml:space="preserve">Banking &amp; Transaction Behaviour; Tax &amp; GST Data Forensics</t>
  </si>
  <si>
    <t xml:space="preserve">GSTR-1; Bank Statement; Packing List / Commercial Invoice; GSTR-2A / 2B</t>
  </si>
  <si>
    <t xml:space="preserve">BNK-008, TAX-008, TAX-032</t>
  </si>
  <si>
    <t xml:space="preserve">invoice_value_population</t>
  </si>
  <si>
    <t xml:space="preserve">GSTR-1; E-Invoice IRN Data; GSTR-2A / 2B; E-Way Bill Data</t>
  </si>
  <si>
    <t xml:space="preserve">FIN-043, FIN-044, FIN-045</t>
  </si>
  <si>
    <t xml:space="preserve">leased_area_sqft</t>
  </si>
  <si>
    <t xml:space="preserve">Rent Agreement / Lease Deed; INC-22 Registered Office; AOC-4 / AOC-4 XBRL Financial Statements; MCA Company Master Data</t>
  </si>
  <si>
    <t xml:space="preserve">OPS-002, OPS-003, OPS-011</t>
  </si>
  <si>
    <t xml:space="preserve">nic_code_division</t>
  </si>
  <si>
    <t xml:space="preserve">Compliance &amp; Regulatory Filing; Network &amp; Cross-Entity Linkage</t>
  </si>
  <si>
    <t xml:space="preserve">GSTR-1; Derived — cross-entity graph; GSTR-2A / 2B; MOA / AOA</t>
  </si>
  <si>
    <t xml:space="preserve">CMP-015, NET-016, NET-027</t>
  </si>
  <si>
    <t xml:space="preserve">other_income</t>
  </si>
  <si>
    <t xml:space="preserve">GSTR-9 / 9C Annual Return; AOC-4 / AOC-4 XBRL Financial Statements; MCA Company Master Data; GSTR-1</t>
  </si>
  <si>
    <t xml:space="preserve">FIN-001, FIN-005, TAX-019</t>
  </si>
  <si>
    <t xml:space="preserve">pas3_filed_flag</t>
  </si>
  <si>
    <t xml:space="preserve">Compliance &amp; Regulatory Filing; Financial &amp; Accounting Forensics</t>
  </si>
  <si>
    <t xml:space="preserve">PAS-3 Return of Allotment; AOC-4 / AOC-4 XBRL Financial Statements; Bank Statement</t>
  </si>
  <si>
    <t xml:space="preserve">FIN-051, FIN-052, CMP-013</t>
  </si>
  <si>
    <t xml:space="preserve">plant_and_machinery_gross_block</t>
  </si>
  <si>
    <t xml:space="preserve">AOC-4 / AOC-4 XBRL Financial Statements; Tax Audit Report (Form 3CD); CARO Annexure; Insurance Policy Record</t>
  </si>
  <si>
    <t xml:space="preserve">OPS-027, OPS-029, OPS-038</t>
  </si>
  <si>
    <t xml:space="preserve">printed_document_date</t>
  </si>
  <si>
    <t xml:space="preserve">DIG-002, DIG-003, DIG-015</t>
  </si>
  <si>
    <t xml:space="preserve">receivables_from_related_parties</t>
  </si>
  <si>
    <t xml:space="preserve">AOC-4 / AOC-4 XBRL Financial Statements; GSTR-1; Auditor Report</t>
  </si>
  <si>
    <t xml:space="preserve">FIN-021, FIN-027, FIN-034</t>
  </si>
  <si>
    <t xml:space="preserve">recipient_gstin</t>
  </si>
  <si>
    <t xml:space="preserve">Derived — cross-entity graph; GSTR-1; GST Registration Certificate (REG-06); E-Way Bill Data</t>
  </si>
  <si>
    <t xml:space="preserve">TAX-008, TAX-009, TAX-032</t>
  </si>
  <si>
    <t xml:space="preserve">registered_office_change_count_36m</t>
  </si>
  <si>
    <t xml:space="preserve">Compliance &amp; Regulatory Filing; Operational Reality &amp; Physical Substance</t>
  </si>
  <si>
    <t xml:space="preserve">MCA Company Master Data; INC-22 Registered Office; MGT-14 Resolutions; Electricity / Utility Bill</t>
  </si>
  <si>
    <t xml:space="preserve">CMP-014, CMP-016, OPS-005</t>
  </si>
  <si>
    <t xml:space="preserve">shipping_bill_number</t>
  </si>
  <si>
    <t xml:space="preserve">Banking &amp; Transaction Behaviour; Tax &amp; GST Data Forensics; Trade, Customs &amp; Cross-Border</t>
  </si>
  <si>
    <t xml:space="preserve">Shipping Bill; Bank Statement; SWIFT / Wire Messages; Customs / ICEGATE Data</t>
  </si>
  <si>
    <t xml:space="preserve">BNK-040, TAX-045, TRD-009</t>
  </si>
  <si>
    <t xml:space="preserve">statutory_minimum_directors</t>
  </si>
  <si>
    <t xml:space="preserve">DIR-12 Director Change; MCA Company Master Data; DIR-11 Director Resignation; AOC-4 / AOC-4 XBRL Financial Statements</t>
  </si>
  <si>
    <t xml:space="preserve">CMP-020, OWN-002, OWN-006</t>
  </si>
  <si>
    <t xml:space="preserve">total_director_count</t>
  </si>
  <si>
    <t xml:space="preserve">Compliance &amp; Regulatory Filing; External, Legal &amp; Behavioural</t>
  </si>
  <si>
    <t xml:space="preserve">DIN Master Data; ROC Disqualified Director List; DIR-12 Director Change; DIR-3 KYC</t>
  </si>
  <si>
    <t xml:space="preserve">CMP-017, CMP-018, EXT-007</t>
  </si>
  <si>
    <t xml:space="preserve">total_itc_availed</t>
  </si>
  <si>
    <t xml:space="preserve">GSTR-2A / 2B; GSTR-3B; GST Cancellation / Suspension Order; GSTR-9 / 9C Annual Return</t>
  </si>
  <si>
    <t xml:space="preserve">TAX-003, TAX-006, TAX-007</t>
  </si>
  <si>
    <t xml:space="preserve">total_liabilities</t>
  </si>
  <si>
    <t xml:space="preserve">AOC-4 / AOC-4 XBRL Financial Statements; Tax Audit Report (Form 3CD); Income Tax Return (ITR-5 / ITR-6); Bank Statement</t>
  </si>
  <si>
    <t xml:space="preserve">FIN-038, TAX-036, TAX-037</t>
  </si>
  <si>
    <t xml:space="preserve">transport_mode</t>
  </si>
  <si>
    <t xml:space="preserve">Bill of Lading / Airway Bill; Bill of Entry; Customs / ICEGATE Data; Derived — cross-entity graph</t>
  </si>
  <si>
    <t xml:space="preserve">TRD-014, TRD-015, TRD-017</t>
  </si>
  <si>
    <t xml:space="preserve">valuation_report_present</t>
  </si>
  <si>
    <t xml:space="preserve">AOC-4 / AOC-4 XBRL Financial Statements; Auditor Report; PAS-3 Return of Allotment</t>
  </si>
  <si>
    <t xml:space="preserve">FIN-016, FIN-050, FIN-051</t>
  </si>
  <si>
    <t xml:space="preserve">vehicle_number</t>
  </si>
  <si>
    <t xml:space="preserve">E-Way Bill Data; GSTR-1</t>
  </si>
  <si>
    <t xml:space="preserve">TAX-011, TAX-027, TAX-028</t>
  </si>
  <si>
    <t xml:space="preserve">wilful_defaulter_flag</t>
  </si>
  <si>
    <t xml:space="preserve">Banking &amp; Transaction Behaviour; Compliance &amp; Regulatory Filing; External, Legal &amp; Behavioural</t>
  </si>
  <si>
    <t xml:space="preserve">Credit Bureau Report (CIBIL / CRIF); Litigation Database; NCLT / NCLAT Orders</t>
  </si>
  <si>
    <t xml:space="preserve">CMP-049, BNK-035, EXT-005</t>
  </si>
  <si>
    <t xml:space="preserve">accumulated_losses</t>
  </si>
  <si>
    <t xml:space="preserve">AOC-4 / AOC-4 XBRL Financial Statements; Auditor Report; STK-2 Strike Off Application; MCA Struck-Off Company List</t>
  </si>
  <si>
    <t xml:space="preserve">FIN-054, OPS-042</t>
  </si>
  <si>
    <t xml:space="preserve">address_is_recognised_coworking_flag</t>
  </si>
  <si>
    <t xml:space="preserve">INC-22 Registered Office; Derived — cross-entity graph; MCA Company Master Data; MCA Struck-Off Company List</t>
  </si>
  <si>
    <t xml:space="preserve">OPS-001, OPS-009</t>
  </si>
  <si>
    <t xml:space="preserve">agent_membership_number</t>
  </si>
  <si>
    <t xml:space="preserve">Derived — cross-entity graph; SPICe+ / INC-32 Incorporation; MCA Company Master Data</t>
  </si>
  <si>
    <t xml:space="preserve">NET-008, NET-009</t>
  </si>
  <si>
    <t xml:space="preserve">allottee_pan_set</t>
  </si>
  <si>
    <t xml:space="preserve">PAS-3 Return of Allotment; MGT-14 Resolutions; Bank Statement; AOC-4 / AOC-4 XBRL Financial Statements</t>
  </si>
  <si>
    <t xml:space="preserve">OWN-025, OWN-029</t>
  </si>
  <si>
    <t xml:space="preserve">annual_aggregate_turnover</t>
  </si>
  <si>
    <t xml:space="preserve">GSTR-3B; GSTR-2A / 2B; GSTR-1; MCA Company Master Data</t>
  </si>
  <si>
    <t xml:space="preserve">TAX-001, TAX-025</t>
  </si>
  <si>
    <t xml:space="preserve">annual_credit_value</t>
  </si>
  <si>
    <t xml:space="preserve">Bank Statement; Derived — cross-entity graph</t>
  </si>
  <si>
    <t xml:space="preserve">BNK-003, BNK-012</t>
  </si>
  <si>
    <t xml:space="preserve">aoc2_related_party_disclosed_flag</t>
  </si>
  <si>
    <t xml:space="preserve">Banking &amp; Transaction Behaviour; Network &amp; Cross-Entity Linkage</t>
  </si>
  <si>
    <t xml:space="preserve">Derived — cross-entity graph; Bank Statement; MCA Company Master Data; BEN-1 / BEN-2 Significant Beneficial Owner</t>
  </si>
  <si>
    <t xml:space="preserve">BNK-013, NET-025</t>
  </si>
  <si>
    <t xml:space="preserve">aoc2_transaction_count</t>
  </si>
  <si>
    <t xml:space="preserve">AOC-2 Related Party Annexure; AOC-4 / AOC-4 XBRL Financial Statements; Board Report</t>
  </si>
  <si>
    <t xml:space="preserve">FIN-046, CMP-030</t>
  </si>
  <si>
    <t xml:space="preserve">aoc4_revenue_from_operations</t>
  </si>
  <si>
    <t xml:space="preserve">Compliance &amp; Regulatory Filing; Tax &amp; GST Data Forensics</t>
  </si>
  <si>
    <t xml:space="preserve">GSTR-9 / 9C Annual Return; Income Tax Return (ITR-5 / ITR-6); Form 26AS</t>
  </si>
  <si>
    <t xml:space="preserve">CMP-041, TAX-019</t>
  </si>
  <si>
    <t xml:space="preserve">aqi</t>
  </si>
  <si>
    <t xml:space="preserve">FIN-033, FIN-035</t>
  </si>
  <si>
    <t xml:space="preserve">attachment_order_value</t>
  </si>
  <si>
    <t xml:space="preserve">Litigation Database; Adverse Media / News Archive; NCLT / NCLAT Orders</t>
  </si>
  <si>
    <t xml:space="preserve">CMP-048, EXT-003</t>
  </si>
  <si>
    <t xml:space="preserve">auditor_firm_registration_number</t>
  </si>
  <si>
    <t xml:space="preserve">ADT-1 Auditor Appointment; Auditor Report; MGT-7 / MGT-7A Annual Return; Derived — cross-entity graph</t>
  </si>
  <si>
    <t xml:space="preserve">CMP-024, NET-007</t>
  </si>
  <si>
    <t xml:space="preserve">authorised_signatory_pan</t>
  </si>
  <si>
    <t xml:space="preserve">Derived — cross-entity graph; GST Registration Certificate (REG-06); Bank Account Opening / KYC File; MGT-14 Resolutions</t>
  </si>
  <si>
    <t xml:space="preserve">TAX-009, NET-006</t>
  </si>
  <si>
    <t xml:space="preserve">average_monthly_wage</t>
  </si>
  <si>
    <t xml:space="preserve">AOC-4 / AOC-4 XBRL Financial Statements; ESIC Contribution Record; EPFO ECR Filing; Bank Statement</t>
  </si>
  <si>
    <t xml:space="preserve">OPS-019, OPS-022</t>
  </si>
  <si>
    <t xml:space="preserve">bad_debts_written_off_current_fy</t>
  </si>
  <si>
    <t xml:space="preserve">AOC-4 / AOC-4 XBRL Financial Statements; Auditor Report; Tax Audit Report (Form 3CD)</t>
  </si>
  <si>
    <t xml:space="preserve">FIN-027, FIN-029</t>
  </si>
  <si>
    <t xml:space="preserve">bank_credit_total_fy</t>
  </si>
  <si>
    <t xml:space="preserve">MSC-1 / MSC-3 Dormant Status; MCA Company Master Data; GSTR-1; Income Tax Return (ITR-5 / ITR-6)</t>
  </si>
  <si>
    <t xml:space="preserve">CMP-002, CMP-038</t>
  </si>
  <si>
    <t xml:space="preserve">bank_credit_turnover</t>
  </si>
  <si>
    <t xml:space="preserve">Bank Statement; AOC-4 / AOC-4 XBRL Financial Statements</t>
  </si>
  <si>
    <t xml:space="preserve">FIN-011, FIN-024</t>
  </si>
  <si>
    <t xml:space="preserve">bill_of_lading_number</t>
  </si>
  <si>
    <t xml:space="preserve">Bill of Lading / Airway Bill; Derived — cross-entity graph; Loan Sanction / Facility Letter; Customs / ICEGATE Data</t>
  </si>
  <si>
    <t xml:space="preserve">TRD-009, TRD-014</t>
  </si>
  <si>
    <t xml:space="preserve">book_value_per_share</t>
  </si>
  <si>
    <t xml:space="preserve">AOC-4 / AOC-4 XBRL Financial Statements; MGT-7 / MGT-7A Annual Return; PAS-3 Return of Allotment; MGT-14 Resolutions</t>
  </si>
  <si>
    <t xml:space="preserve">OWN-024, OWN-029</t>
  </si>
  <si>
    <t xml:space="preserve">borrowings</t>
  </si>
  <si>
    <t xml:space="preserve">AOC-4 / AOC-4 XBRL Financial Statements; CARO Annexure; CHG-1 / CHG-4 / CHG-9 Index of Charges</t>
  </si>
  <si>
    <t xml:space="preserve">FIN-030, FIN-041</t>
  </si>
  <si>
    <t xml:space="preserve">brought_forward_loss_setoff_amount</t>
  </si>
  <si>
    <t xml:space="preserve">Income Tax Return (ITR-5 / ITR-6); MGT-7 / MGT-7A Annual Return; Tax Audit Report (Form 3CD); AOC-4 / AOC-4 XBRL Financial Statements</t>
  </si>
  <si>
    <t xml:space="preserve">TAX-040, TAX-047</t>
  </si>
  <si>
    <t xml:space="preserve">buyer_name</t>
  </si>
  <si>
    <t xml:space="preserve">Shipping Bill; Customs / ICEGATE Data; Derived — cross-entity graph; Bank Statement</t>
  </si>
  <si>
    <t xml:space="preserve">TRD-007, TRD-021</t>
  </si>
  <si>
    <t xml:space="preserve">cash_and_bank_balance</t>
  </si>
  <si>
    <t xml:space="preserve">External, Legal &amp; Behavioural; Financial &amp; Accounting Forensics</t>
  </si>
  <si>
    <t xml:space="preserve">AOC-4 / AOC-4 XBRL Financial Statements; Bank Statement; Litigation Database</t>
  </si>
  <si>
    <t xml:space="preserve">FIN-024, EXT-010</t>
  </si>
  <si>
    <t xml:space="preserve">cash_deposit_value</t>
  </si>
  <si>
    <t xml:space="preserve">Bank Statement; GSTR-1; AIS / TIS; AOC-4 / AOC-4 XBRL Financial Statements</t>
  </si>
  <si>
    <t xml:space="preserve">BNK-016, BNK-028</t>
  </si>
  <si>
    <t xml:space="preserve">cash_flow_from_operations</t>
  </si>
  <si>
    <t xml:space="preserve">FIN-031, FIN-032</t>
  </si>
  <si>
    <t xml:space="preserve">cash_ledger_payment</t>
  </si>
  <si>
    <t xml:space="preserve">GSTR-3B; GSTR-9 / 9C Annual Return; GSTR-1</t>
  </si>
  <si>
    <t xml:space="preserve">TAX-004, TAX-013</t>
  </si>
  <si>
    <t xml:space="preserve">claimed_years_in_business</t>
  </si>
  <si>
    <t xml:space="preserve">Website WHOIS / Domain Record; Company Website Content</t>
  </si>
  <si>
    <t xml:space="preserve">DIG-019, DIG-027</t>
  </si>
  <si>
    <t xml:space="preserve">clause_31_cash_transactions</t>
  </si>
  <si>
    <t xml:space="preserve">Tax Audit Report (Form 3CD); Bank Statement</t>
  </si>
  <si>
    <t xml:space="preserve">TAX-034, TAX-035</t>
  </si>
  <si>
    <t xml:space="preserve">cluster_aggregate_turnover</t>
  </si>
  <si>
    <t xml:space="preserve">Derived — cross-entity graph; AOC-4 / AOC-4 XBRL Financial Statements; GSTR-9 / 9C Annual Return; GSTR-1</t>
  </si>
  <si>
    <t xml:space="preserve">NET-014, NET-015</t>
  </si>
  <si>
    <t xml:space="preserve">counterparty_country_code</t>
  </si>
  <si>
    <t xml:space="preserve">Packing List / Commercial Invoice; SWIFT / Wire Messages; Bank Statement; Bill of Entry</t>
  </si>
  <si>
    <t xml:space="preserve">TRD-011, TRD-016</t>
  </si>
  <si>
    <t xml:space="preserve">counterparty_gstin_count</t>
  </si>
  <si>
    <t xml:space="preserve">GSTR-1; AOC-2 Related Party Annexure; E-Invoice IRN Data</t>
  </si>
  <si>
    <t xml:space="preserve">FIN-004, FIN-043</t>
  </si>
  <si>
    <t xml:space="preserve">counterparty_name</t>
  </si>
  <si>
    <t xml:space="preserve">Packing List / Commercial Invoice; Bill of Entry; Shipping Bill; Bill of Lading / Airway Bill</t>
  </si>
  <si>
    <t xml:space="preserve">TRD-016, TRD-018</t>
  </si>
  <si>
    <t xml:space="preserve">counterparty_pan</t>
  </si>
  <si>
    <t xml:space="preserve">Derived — cross-entity graph; Bank Statement; MCA Company Master Data; Tax Audit Report (Form 3CD)</t>
  </si>
  <si>
    <t xml:space="preserve">BNK-013, TAX-036</t>
  </si>
  <si>
    <t xml:space="preserve">country_of_origin</t>
  </si>
  <si>
    <t xml:space="preserve">Bill of Entry; Customs / ICEGATE Data; Packing List / Commercial Invoice</t>
  </si>
  <si>
    <t xml:space="preserve">TRD-001, TRD-002</t>
  </si>
  <si>
    <t xml:space="preserve">creditor_days</t>
  </si>
  <si>
    <t xml:space="preserve">AOC-4 / AOC-4 XBRL Financial Statements; MSME-1 Return</t>
  </si>
  <si>
    <t xml:space="preserve">FIN-022, FIN-023</t>
  </si>
  <si>
    <t xml:space="preserve">days_since_remittance</t>
  </si>
  <si>
    <t xml:space="preserve">Banking &amp; Transaction Behaviour; Trade, Customs &amp; Cross-Border</t>
  </si>
  <si>
    <t xml:space="preserve">Bill of Entry; SWIFT / Wire Messages; Bank Statement</t>
  </si>
  <si>
    <t xml:space="preserve">BNK-039, TRD-022</t>
  </si>
  <si>
    <t xml:space="preserve">days_span_of_filings</t>
  </si>
  <si>
    <t xml:space="preserve">Litigation Database; Cheque Return / Bounce Data; AOC-4 / AOC-4 XBRL Financial Statements</t>
  </si>
  <si>
    <t xml:space="preserve">EXT-009, EXT-010</t>
  </si>
  <si>
    <t xml:space="preserve">declared_unit_price_inr</t>
  </si>
  <si>
    <t xml:space="preserve">depi</t>
  </si>
  <si>
    <t xml:space="preserve">FIN-033, FIN-037</t>
  </si>
  <si>
    <t xml:space="preserve">depreciable_gross_block</t>
  </si>
  <si>
    <t xml:space="preserve">AOC-4 / AOC-4 XBRL Financial Statements; Tax Audit Report (Form 3CD)</t>
  </si>
  <si>
    <t xml:space="preserve">FIN-019, FIN-037</t>
  </si>
  <si>
    <t xml:space="preserve">depreciation_and_amortisation_expense</t>
  </si>
  <si>
    <t xml:space="preserve">depreciation_expense</t>
  </si>
  <si>
    <t xml:space="preserve">AOC-4 / AOC-4 XBRL Financial Statements; Tax Audit Report (Form 3CD); CARO Annexure</t>
  </si>
  <si>
    <t xml:space="preserve">FIN-013, OPS-027</t>
  </si>
  <si>
    <t xml:space="preserve">device_fingerprint_hash</t>
  </si>
  <si>
    <t xml:space="preserve">Banking &amp; Transaction Behaviour; Document &amp; Digital Forensics</t>
  </si>
  <si>
    <t xml:space="preserve">Derived — cross-entity graph; IP &amp; Device Fingerprint Log; Bank Account Opening / KYC File</t>
  </si>
  <si>
    <t xml:space="preserve">BNK-024, DIG-017</t>
  </si>
  <si>
    <t xml:space="preserve">director_din_list</t>
  </si>
  <si>
    <t xml:space="preserve">MCA Struck-Off Company List; DIN Master Data; Adverse Media / News Archive; Bank Account Opening / KYC File</t>
  </si>
  <si>
    <t xml:space="preserve">CMP-004, BNK-023</t>
  </si>
  <si>
    <t xml:space="preserve">director_shareholding_pct</t>
  </si>
  <si>
    <t xml:space="preserve">MGT-7 / MGT-7A Annual Return; DIR-12 Director Change; AOC-4 / AOC-4 XBRL Financial Statements; DIN Master Data</t>
  </si>
  <si>
    <t xml:space="preserve">OWN-009, OWN-010</t>
  </si>
  <si>
    <t xml:space="preserve">disqualified_director_count</t>
  </si>
  <si>
    <t xml:space="preserve">ROC Disqualified Director List; DIN Master Data; DIR-12 Director Change</t>
  </si>
  <si>
    <t xml:space="preserve">CMP-018, EXT-007</t>
  </si>
  <si>
    <t xml:space="preserve">distinct_generator_gstin_count</t>
  </si>
  <si>
    <t xml:space="preserve">E-Way Bill Data; Derived — cross-entity graph</t>
  </si>
  <si>
    <t xml:space="preserve">TAX-027, TAX-031</t>
  </si>
  <si>
    <t xml:space="preserve">document_entity_id</t>
  </si>
  <si>
    <t xml:space="preserve">Document Metadata (PDF / Office); Derived — cross-entity graph; Bank Account Opening / KYC File; Packing List / Commercial Invoice</t>
  </si>
  <si>
    <t xml:space="preserve">DIG-007, DIG-008</t>
  </si>
  <si>
    <t xml:space="preserve">document_metadata_creation_date</t>
  </si>
  <si>
    <t xml:space="preserve">External, Legal &amp; Behavioural; Ownership, Structure &amp; Governance</t>
  </si>
  <si>
    <t xml:space="preserve">Document Metadata (PDF / Office); MGT-7 / MGT-7A Annual Return; Site Visit Report; Bank Account Opening / KYC File</t>
  </si>
  <si>
    <t xml:space="preserve">OWN-040, EXT-021</t>
  </si>
  <si>
    <t xml:space="preserve">domain_used_on_invoices_or_kyc</t>
  </si>
  <si>
    <t xml:space="preserve">DIG-019, DIG-020</t>
  </si>
  <si>
    <t xml:space="preserve">dsri</t>
  </si>
  <si>
    <t xml:space="preserve">AOC-4 / AOC-4 XBRL Financial Statements; GSTR-1</t>
  </si>
  <si>
    <t xml:space="preserve">FIN-033, FIN-034</t>
  </si>
  <si>
    <t xml:space="preserve">einvoice_applicable_flag</t>
  </si>
  <si>
    <t xml:space="preserve">E-Invoice IRN Data; GSTR-1; GSTR-9 / 9C Annual Return</t>
  </si>
  <si>
    <t xml:space="preserve">CMP-037, TAX-016</t>
  </si>
  <si>
    <t xml:space="preserve">entities_at_registered_office</t>
  </si>
  <si>
    <t xml:space="preserve">INC-22 Registered Office; MCA Company Master Data; DIR-3 KYC; Derived — cross-entity graph</t>
  </si>
  <si>
    <t xml:space="preserve">OWN-008, OWN-034</t>
  </si>
  <si>
    <t xml:space="preserve">entity_class</t>
  </si>
  <si>
    <t xml:space="preserve">MGT-7 / MGT-7A Annual Return; MCA Company Master Data; DIR-12 Director Change; MGT-14 Resolutions</t>
  </si>
  <si>
    <t xml:space="preserve">CMP-021, CMP-029</t>
  </si>
  <si>
    <t xml:space="preserve">entity_status</t>
  </si>
  <si>
    <t xml:space="preserve">Site Visit Report; Photograph with Geotag; INC-22 Registered Office; GSTR-3B</t>
  </si>
  <si>
    <t xml:space="preserve">OPS-008, OPS-040</t>
  </si>
  <si>
    <t xml:space="preserve">epfo_establishment_registered</t>
  </si>
  <si>
    <t xml:space="preserve">EPFO ECR Filing; AOC-4 / AOC-4 XBRL Financial Statements; MGT-7 / MGT-7A Annual Return</t>
  </si>
  <si>
    <t xml:space="preserve">OPS-016, OPS-017</t>
  </si>
  <si>
    <t xml:space="preserve">epfo_registration_flag</t>
  </si>
  <si>
    <t xml:space="preserve">EPFO ECR Filing; ESIC Contribution Record; AOC-4 / AOC-4 XBRL Financial Statements</t>
  </si>
  <si>
    <t xml:space="preserve">CMP-044, CMP-045</t>
  </si>
  <si>
    <t xml:space="preserve">eway_bill_count</t>
  </si>
  <si>
    <t xml:space="preserve">AOC-4 / AOC-4 XBRL Financial Statements; E-Way Bill Data; GST Registration Certificate (REG-06)</t>
  </si>
  <si>
    <t xml:space="preserve">FIN-009, FIN-012</t>
  </si>
  <si>
    <t xml:space="preserve">export_turnover_share</t>
  </si>
  <si>
    <t xml:space="preserve">GSTR-3B; GSTR-2A / 2B; GSTR-9 / 9C Annual Return</t>
  </si>
  <si>
    <t xml:space="preserve">TAX-001, TAX-005</t>
  </si>
  <si>
    <t xml:space="preserve">exporter_iec</t>
  </si>
  <si>
    <t xml:space="preserve">Shipping Bill; GSTR-1; Customs / ICEGATE Data; Bank Statement</t>
  </si>
  <si>
    <t xml:space="preserve">TAX-045, TAX-046</t>
  </si>
  <si>
    <t xml:space="preserve">fcgpr_filed_flag</t>
  </si>
  <si>
    <t xml:space="preserve">MGT-7 / MGT-7A Annual Return; SWIFT / Wire Messages; BEN-1 / BEN-2 Significant Beneficial Owner; PAS-3 Return of Allotment</t>
  </si>
  <si>
    <t xml:space="preserve">OWN-016, OWN-032</t>
  </si>
  <si>
    <t xml:space="preserve">first_board_replaced_within_days</t>
  </si>
  <si>
    <t xml:space="preserve">SPICe+ / INC-32 Incorporation; DIR-12 Director Change; Signatory Details / DSC Register; MGT-7 / MGT-7A Annual Return</t>
  </si>
  <si>
    <t xml:space="preserve">OWN-014, OWN-023</t>
  </si>
  <si>
    <t xml:space="preserve">first_material_txn_date</t>
  </si>
  <si>
    <t xml:space="preserve">NCLT / NCLAT Orders; MCA Company Master Data; DIR-12 Director Change; AOC-4 / AOC-4 XBRL Financial Statements</t>
  </si>
  <si>
    <t xml:space="preserve">CMP-006, CMP-010</t>
  </si>
  <si>
    <t xml:space="preserve">fixed_assets_gross_block</t>
  </si>
  <si>
    <t xml:space="preserve">Derived — cross-entity graph; GSTR-1; GSTR-2A / 2B</t>
  </si>
  <si>
    <t xml:space="preserve">NET-016, NET-018</t>
  </si>
  <si>
    <t xml:space="preserve">fixed_assets_net_block</t>
  </si>
  <si>
    <t xml:space="preserve">AOC-4 / AOC-4 XBRL Financial Statements; EPFO ECR Filing; MCA Company Master Data; CHG-1 / CHG-4 / CHG-9 Index of Charges</t>
  </si>
  <si>
    <t xml:space="preserve">OWN-037, OWN-048</t>
  </si>
  <si>
    <t xml:space="preserve">form26as_gross_receipts_fy</t>
  </si>
  <si>
    <t xml:space="preserve">Form 26AS; Income Tax Return (ITR-5 / ITR-6); AIS / TIS; GSTR-9 / 9C Annual Return</t>
  </si>
  <si>
    <t xml:space="preserve">CMP-039, CMP-041</t>
  </si>
  <si>
    <t xml:space="preserve">form_3ceb_alp_study_on_file</t>
  </si>
  <si>
    <t xml:space="preserve">Transfer Pricing Report (Form 3CEB); AOC-2 Related Party Annexure; Bill of Entry; Shipping Bill</t>
  </si>
  <si>
    <t xml:space="preserve">TRD-019, TRD-020</t>
  </si>
  <si>
    <t xml:space="preserve">freight_amount_inr</t>
  </si>
  <si>
    <t xml:space="preserve">Packing List / Commercial Invoice; Bill of Lading / Airway Bill; Bill of Entry; Bank Statement</t>
  </si>
  <si>
    <t xml:space="preserve">TRD-015, TRD-018</t>
  </si>
  <si>
    <t xml:space="preserve">freight_and_transport_expense</t>
  </si>
  <si>
    <t xml:space="preserve">from_pincode</t>
  </si>
  <si>
    <t xml:space="preserve">TAX-027, TAX-029</t>
  </si>
  <si>
    <t xml:space="preserve">gross_fixed_assets</t>
  </si>
  <si>
    <t xml:space="preserve">AOC-4 / AOC-4 XBRL Financial Statements; EPFO ECR Filing; Electricity / Utility Bill</t>
  </si>
  <si>
    <t xml:space="preserve">FIN-003, FIN-013</t>
  </si>
  <si>
    <t xml:space="preserve">gst_cancellation_effective_date</t>
  </si>
  <si>
    <t xml:space="preserve">GST Cancellation / Suspension Order; GST Registration Certificate (REG-06); PAN Master Data; GSTR-1</t>
  </si>
  <si>
    <t xml:space="preserve">CMP-031, CMP-034</t>
  </si>
  <si>
    <t xml:space="preserve">gst_registration_date</t>
  </si>
  <si>
    <t xml:space="preserve">gst_registration_status</t>
  </si>
  <si>
    <t xml:space="preserve">MCA Company Master Data; MCA Struck-Off Company List; STK-2 Strike Off Application; GST Cancellation / Suspension Order</t>
  </si>
  <si>
    <t xml:space="preserve">CMP-001, CMP-032</t>
  </si>
  <si>
    <t xml:space="preserve">hs_chapter</t>
  </si>
  <si>
    <t xml:space="preserve">TRD-012, TRD-023</t>
  </si>
  <si>
    <t xml:space="preserve">hs_code_4digit</t>
  </si>
  <si>
    <t xml:space="preserve">Shipping Bill; Bill of Entry; Packing List / Commercial Invoice; Customs / ICEGATE Data</t>
  </si>
  <si>
    <t xml:space="preserve">TRD-003, TRD-007</t>
  </si>
  <si>
    <t xml:space="preserve">iec_number</t>
  </si>
  <si>
    <t xml:space="preserve">DGFT IEC Data; Customs / ICEGATE Data; DIN Master Data; Bill of Entry</t>
  </si>
  <si>
    <t xml:space="preserve">TRD-024, TRD-026</t>
  </si>
  <si>
    <t xml:space="preserve">iec_status</t>
  </si>
  <si>
    <t xml:space="preserve">Compliance &amp; Regulatory Filing; Trade, Customs &amp; Cross-Border</t>
  </si>
  <si>
    <t xml:space="preserve">DGFT IEC Data; GST Cancellation / Suspension Order; GSTR-2A / 2B; Customs / ICEGATE Data</t>
  </si>
  <si>
    <t xml:space="preserve">CMP-050, TRD-024</t>
  </si>
  <si>
    <t xml:space="preserve">inc20a_filed_date</t>
  </si>
  <si>
    <t xml:space="preserve">INC-20A Commencement; MCA Company Master Data; SPICe+ / INC-32 Incorporation; AOC-4 / AOC-4 XBRL Financial Statements</t>
  </si>
  <si>
    <t xml:space="preserve">CMP-012, CMP-013</t>
  </si>
  <si>
    <t xml:space="preserve">interest_expense</t>
  </si>
  <si>
    <t xml:space="preserve">interest_income_on_loans_given</t>
  </si>
  <si>
    <t xml:space="preserve">AOC-4 / AOC-4 XBRL Financial Statements; CARO Annexure</t>
  </si>
  <si>
    <t xml:space="preserve">FIN-030, FIN-048</t>
  </si>
  <si>
    <t xml:space="preserve">inventory_days</t>
  </si>
  <si>
    <t xml:space="preserve">FIN-023, FIN-028</t>
  </si>
  <si>
    <t xml:space="preserve">inventory_plus_receivables</t>
  </si>
  <si>
    <t xml:space="preserve">CHG-1 / CHG-4 / CHG-9 Index of Charges; AOC-4 / AOC-4 XBRL Financial Statements; CERSAI Charge Registry</t>
  </si>
  <si>
    <t xml:space="preserve">OWN-046, OWN-048</t>
  </si>
  <si>
    <t xml:space="preserve">inverted_duty_flag</t>
  </si>
  <si>
    <t xml:space="preserve">investor_pan</t>
  </si>
  <si>
    <t xml:space="preserve">PAS-3 Return of Allotment; Income Tax Return (ITR-5 / ITR-6); Bank Statement; AOC-4 / AOC-4 XBRL Financial Statements</t>
  </si>
  <si>
    <t xml:space="preserve">TAX-037, TAX-038</t>
  </si>
  <si>
    <t xml:space="preserve">itr_filed_flag</t>
  </si>
  <si>
    <t xml:space="preserve">Income Tax Return (ITR-5 / ITR-6); Tax Audit Report (Form 3CD); GSTR-9 / 9C Annual Return; DIN Master Data</t>
  </si>
  <si>
    <t xml:space="preserve">CMP-042, OWN-010</t>
  </si>
  <si>
    <t xml:space="preserve">land_and_building_gross_block</t>
  </si>
  <si>
    <t xml:space="preserve">AOC-4 / AOC-4 XBRL Financial Statements; Electricity / Utility Bill; CARO Annexure</t>
  </si>
  <si>
    <t xml:space="preserve">FIN-008, FIN-018</t>
  </si>
  <si>
    <t xml:space="preserve">last_filing_date</t>
  </si>
  <si>
    <t xml:space="preserve">MCA Company Master Data; INC-22A ACTIVE; DIR-3 KYC; DIN Master Data</t>
  </si>
  <si>
    <t xml:space="preserve">CMP-003, CMP-017</t>
  </si>
  <si>
    <t xml:space="preserve">licence_validity_status</t>
  </si>
  <si>
    <t xml:space="preserve">MCA Company Master Data; Shops &amp; Establishment Licence; Property Tax Record; GSTR-1</t>
  </si>
  <si>
    <t xml:space="preserve">OPS-025, OPS-026</t>
  </si>
  <si>
    <t xml:space="preserve">loop_hop_count</t>
  </si>
  <si>
    <t xml:space="preserve">Derived — cross-entity graph; Bank Statement; Shipping Bill; Bill of Entry</t>
  </si>
  <si>
    <t xml:space="preserve">BNK-014, TRD-028</t>
  </si>
  <si>
    <t xml:space="preserve">mca_status_effective_date</t>
  </si>
  <si>
    <t xml:space="preserve">MCA Company Master Data; MCA Struck-Off Company List; STK-2 Strike Off Application; NCLT / NCLAT Orders</t>
  </si>
  <si>
    <t xml:space="preserve">CMP-001, CMP-005</t>
  </si>
  <si>
    <t xml:space="preserve">mgt14_filed_count_fy</t>
  </si>
  <si>
    <t xml:space="preserve">AOC-4 / AOC-4 XBRL Financial Statements; Board Report; MGT-14 Resolutions; AOC-2 Related Party Annexure</t>
  </si>
  <si>
    <t xml:space="preserve">CMP-029, CMP-030</t>
  </si>
  <si>
    <t xml:space="preserve">monthly_taxable_turnover</t>
  </si>
  <si>
    <t xml:space="preserve">TAX-004, TAX-018</t>
  </si>
  <si>
    <t xml:space="preserve">nic_code_sector</t>
  </si>
  <si>
    <t xml:space="preserve">FIN-013, FIN-014</t>
  </si>
  <si>
    <t xml:space="preserve">nidb_reference_unit_price_inr</t>
  </si>
  <si>
    <t xml:space="preserve">official_contact_phone</t>
  </si>
  <si>
    <t xml:space="preserve">GST Registration Certificate (REG-06); Derived — cross-entity graph; MCA Company Master Data; Telephone Directory / Telecom Record</t>
  </si>
  <si>
    <t xml:space="preserve">DIG-023, DIG-024</t>
  </si>
  <si>
    <t xml:space="preserve">official_email_address</t>
  </si>
  <si>
    <t xml:space="preserve">MCA Company Master Data; GST Registration Certificate (REG-06); AOC-4 / AOC-4 XBRL Financial Statements; Derived — cross-entity graph</t>
  </si>
  <si>
    <t xml:space="preserve">DIG-022, DIG-023</t>
  </si>
  <si>
    <t xml:space="preserve">other_intangible_assets</t>
  </si>
  <si>
    <t xml:space="preserve">AOC-4 / AOC-4 XBRL Financial Statements; Auditor Report</t>
  </si>
  <si>
    <t xml:space="preserve">FIN-016, FIN-035</t>
  </si>
  <si>
    <t xml:space="preserve">ownership_chain_depth</t>
  </si>
  <si>
    <t xml:space="preserve">Derived — cross-entity graph; AOC-4 CFS Consolidated; MGT-7 / MGT-7A Annual Return; BEN-1 / BEN-2 Significant Beneficial Owner</t>
  </si>
  <si>
    <t xml:space="preserve">OWN-017, OWN-036</t>
  </si>
  <si>
    <t xml:space="preserve">pas3_allotment_amount</t>
  </si>
  <si>
    <t xml:space="preserve">PAS-3 Return of Allotment; Bank Statement; MGT-14 Resolutions; AOC-4 / AOC-4 XBRL Financial Statements</t>
  </si>
  <si>
    <t xml:space="preserve">OWN-025, OWN-030</t>
  </si>
  <si>
    <t xml:space="preserve">power_and_fuel_expense</t>
  </si>
  <si>
    <t xml:space="preserve">AOC-4 / AOC-4 XBRL Financial Statements; Electricity / Utility Bill; Tax Audit Report (Form 3CD); CARO Annexure</t>
  </si>
  <si>
    <t xml:space="preserve">FIN-008, OPS-027</t>
  </si>
  <si>
    <t xml:space="preserve">ppob_address_hash</t>
  </si>
  <si>
    <t xml:space="preserve">GST Registration Certificate (REG-06); Derived — cross-entity graph</t>
  </si>
  <si>
    <t xml:space="preserve">TAX-009, TAX-024</t>
  </si>
  <si>
    <t xml:space="preserve">premises_type</t>
  </si>
  <si>
    <t xml:space="preserve">Property Tax Record; INC-22 Registered Office; AOC-4 / AOC-4 XBRL Financial Statements; Shops &amp; Establishment Licence</t>
  </si>
  <si>
    <t xml:space="preserve">OPS-003, OPS-025</t>
  </si>
  <si>
    <t xml:space="preserve">printed_date_span_days</t>
  </si>
  <si>
    <t xml:space="preserve">Document Metadata (PDF / Office); Packing List / Commercial Invoice; Bank Statement; Bank Account Opening / KYC File</t>
  </si>
  <si>
    <t xml:space="preserve">DIG-003, DIG-015</t>
  </si>
  <si>
    <t xml:space="preserve">profit_before_tax_abs</t>
  </si>
  <si>
    <t xml:space="preserve">AOC-4 / AOC-4 XBRL Financial Statements; Tax Audit Report (Form 3CD); Auditor Report</t>
  </si>
  <si>
    <t xml:space="preserve">FIN-029, FIN-060</t>
  </si>
  <si>
    <t xml:space="preserve">property_tax_usage_category</t>
  </si>
  <si>
    <t xml:space="preserve">OPS-003, OPS-012</t>
  </si>
  <si>
    <t xml:space="preserve">purpose_code</t>
  </si>
  <si>
    <t xml:space="preserve">SWIFT / Wire Messages; Bank Statement; Shipping Bill; AOC-4 / AOC-4 XBRL Financial Statements</t>
  </si>
  <si>
    <t xml:space="preserve">BNK-037, BNK-038</t>
  </si>
  <si>
    <t xml:space="preserve">registered_office_state</t>
  </si>
  <si>
    <t xml:space="preserve">Professional Tax Record; AOC-4 / AOC-4 XBRL Financial Statements; Shops &amp; Establishment Licence; Property Tax Record</t>
  </si>
  <si>
    <t xml:space="preserve">OPS-020, OPS-025</t>
  </si>
  <si>
    <t xml:space="preserve">related_party_count</t>
  </si>
  <si>
    <t xml:space="preserve">AOC-2 Related Party Annexure; AOC-4 / AOC-4 XBRL Financial Statements; Tax Audit Report (Form 3CD)</t>
  </si>
  <si>
    <t xml:space="preserve">FIN-046, OWN-041</t>
  </si>
  <si>
    <t xml:space="preserve">related_party_flag</t>
  </si>
  <si>
    <t xml:space="preserve">related_party_premises_flag</t>
  </si>
  <si>
    <t xml:space="preserve">Rent Agreement / Lease Deed; AOC-4 / AOC-4 XBRL Financial Statements; AOC-2 Related Party Annexure</t>
  </si>
  <si>
    <t xml:space="preserve">OPS-010, OPS-011</t>
  </si>
  <si>
    <t xml:space="preserve">rent_agreement_present</t>
  </si>
  <si>
    <t xml:space="preserve">INC-22 Registered Office; ADT-1 Auditor Appointment; SPICe+ / INC-32 Incorporation; Rent Agreement / Lease Deed</t>
  </si>
  <si>
    <t xml:space="preserve">OPS-004, OPS-010</t>
  </si>
  <si>
    <t xml:space="preserve">rent_expense_amount</t>
  </si>
  <si>
    <t xml:space="preserve">revenue_from_operations_prior_fy</t>
  </si>
  <si>
    <t xml:space="preserve">AOC-4 / AOC-4 XBRL Financial Statements; GSTR-1; Tender / Procurement Portal</t>
  </si>
  <si>
    <t xml:space="preserve">FIN-021, EXT-024</t>
  </si>
  <si>
    <t xml:space="preserve">right_of_use_asset</t>
  </si>
  <si>
    <t xml:space="preserve">AOC-4 / AOC-4 XBRL Financial Statements; Electricity / Utility Bill</t>
  </si>
  <si>
    <t xml:space="preserve">FIN-008, FIN-013</t>
  </si>
  <si>
    <t xml:space="preserve">sgi</t>
  </si>
  <si>
    <t xml:space="preserve">AOC-4 / AOC-4 XBRL Financial Statements; EPFO ECR Filing</t>
  </si>
  <si>
    <t xml:space="preserve">FIN-033, FIN-036</t>
  </si>
  <si>
    <t xml:space="preserve">shareholder_pan</t>
  </si>
  <si>
    <t xml:space="preserve">MGT-7 / MGT-7A Annual Return; Income Tax Return (ITR-5 / ITR-6); Form 26AS; AIS / TIS</t>
  </si>
  <si>
    <t xml:space="preserve">OWN-011, OWN-019</t>
  </si>
  <si>
    <t xml:space="preserve">shareholder_pan_set</t>
  </si>
  <si>
    <t xml:space="preserve">MGT-7 / MGT-7A Annual Return; Derived — cross-entity graph; BEN-1 / BEN-2 Significant Beneficial Owner</t>
  </si>
  <si>
    <t xml:space="preserve">OWN-021, NET-013</t>
  </si>
  <si>
    <t xml:space="preserve">shareholding_change_date</t>
  </si>
  <si>
    <t xml:space="preserve">MGT-7 / MGT-7A Annual Return; BEN-1 / BEN-2 Significant Beneficial Owner; MCA Company Master Data; Income Tax Return (ITR-5 / ITR-6)</t>
  </si>
  <si>
    <t xml:space="preserve">CMP-026, TAX-040</t>
  </si>
  <si>
    <t xml:space="preserve">signatory_pan</t>
  </si>
  <si>
    <t xml:space="preserve">Bank Account Opening / KYC File; Signatory Details / DSC Register; GST Registration Certificate (REG-06); IP &amp; Device Fingerprint Log</t>
  </si>
  <si>
    <t xml:space="preserve">OWN-012, OWN-045</t>
  </si>
  <si>
    <t xml:space="preserve">supplier_country_code</t>
  </si>
  <si>
    <t xml:space="preserve">tds_194a_deducted</t>
  </si>
  <si>
    <t xml:space="preserve">AOC-4 / AOC-4 XBRL Financial Statements; CHG-1 / CHG-4 / CHG-9 Index of Charges; DPT-3 Return of Deposits</t>
  </si>
  <si>
    <t xml:space="preserve">FIN-041, FIN-053</t>
  </si>
  <si>
    <t xml:space="preserve">third_party_comparable_unit_price_inr</t>
  </si>
  <si>
    <t xml:space="preserve">to_pincode</t>
  </si>
  <si>
    <t xml:space="preserve">total_cash_deposit_value</t>
  </si>
  <si>
    <t xml:space="preserve">Bank Statement; Form 26AS; GST Registration Certificate (REG-06); MCA Company Master Data</t>
  </si>
  <si>
    <t xml:space="preserve">BNK-006, BNK-017</t>
  </si>
  <si>
    <t xml:space="preserve">total_expenditure</t>
  </si>
  <si>
    <t xml:space="preserve">total_purchases</t>
  </si>
  <si>
    <t xml:space="preserve">AOC-2 Related Party Annexure; AOC-4 / AOC-4 XBRL Financial Statements; GSTR-2A / 2B; Tax Audit Report (Form 3CD)</t>
  </si>
  <si>
    <t xml:space="preserve">FIN-046, TAX-039</t>
  </si>
  <si>
    <t xml:space="preserve">total_revenue</t>
  </si>
  <si>
    <t xml:space="preserve">TAX-041, TAX-042</t>
  </si>
  <si>
    <t xml:space="preserve">total_throughput_value</t>
  </si>
  <si>
    <t xml:space="preserve">Bank Statement; GSTR-1; GSTR-2A / 2B; UPI / IMPS / NEFT Transaction Log</t>
  </si>
  <si>
    <t xml:space="preserve">BNK-015, BNK-041</t>
  </si>
  <si>
    <t xml:space="preserve">trade_licence_present</t>
  </si>
  <si>
    <t xml:space="preserve">Property Tax Record; Shops &amp; Establishment Licence; MCA Company Master Data</t>
  </si>
  <si>
    <t xml:space="preserve">OPS-012, OPS-025</t>
  </si>
  <si>
    <t xml:space="preserve">transporter_id</t>
  </si>
  <si>
    <t xml:space="preserve">E-Way Bill Data; GSTR-1; Derived — cross-entity graph</t>
  </si>
  <si>
    <t xml:space="preserve">TAX-011, TAX-031</t>
  </si>
  <si>
    <t xml:space="preserve">turnover_fy</t>
  </si>
  <si>
    <t xml:space="preserve">AOC-4 / AOC-4 XBRL Financial Statements; MGT-7 / MGT-7A Annual Return; Board Report; Shops &amp; Establishment Licence</t>
  </si>
  <si>
    <t xml:space="preserve">CMP-025, CMP-046</t>
  </si>
  <si>
    <t xml:space="preserve">udyam_declared_turnover</t>
  </si>
  <si>
    <t xml:space="preserve">Udyam / MSME Registration; AOC-4 / AOC-4 XBRL Financial Statements; Shops &amp; Establishment Licence; GSTR-9 / 9C Annual Return</t>
  </si>
  <si>
    <t xml:space="preserve">CMP-046, OPS-038</t>
  </si>
  <si>
    <t xml:space="preserve">unsecured_loans_total</t>
  </si>
  <si>
    <t xml:space="preserve">AOC-4 / AOC-4 XBRL Financial Statements; MCA Company Master Data; CHG-1 / CHG-4 / CHG-9 Index of Charges</t>
  </si>
  <si>
    <t xml:space="preserve">OWN-027, OWN-046</t>
  </si>
  <si>
    <t xml:space="preserve">valuation_report_flag</t>
  </si>
  <si>
    <t xml:space="preserve">website_live_status</t>
  </si>
  <si>
    <t xml:space="preserve">Website WHOIS / Domain Record; GSTR-1; MCA Company Master Data; Company Website Content</t>
  </si>
  <si>
    <t xml:space="preserve">OPS-031, OPS-032</t>
  </si>
  <si>
    <t xml:space="preserve">account_age_days</t>
  </si>
  <si>
    <t xml:space="preserve">Bank Statement; Bank Account Opening / KYC File</t>
  </si>
  <si>
    <t xml:space="preserve">account_age_months</t>
  </si>
  <si>
    <t xml:space="preserve">account_in_form3cd_flag</t>
  </si>
  <si>
    <t xml:space="preserve">Income Tax Return (ITR-5 / ITR-6); Tax Audit Report (Form 3CD); Bank Statement</t>
  </si>
  <si>
    <t xml:space="preserve">account_in_itr_schedule_flag</t>
  </si>
  <si>
    <t xml:space="preserve">account_open_date</t>
  </si>
  <si>
    <t xml:space="preserve">account_opening_officer_id_entity_count</t>
  </si>
  <si>
    <t xml:space="preserve">Derived — cross-entity graph; Bank Account Opening / KYC File; Bank Statement</t>
  </si>
  <si>
    <t xml:space="preserve">account_opening_window_days</t>
  </si>
  <si>
    <t xml:space="preserve">account_velocity_ratio</t>
  </si>
  <si>
    <t xml:space="preserve">accounting_policy_changes_count</t>
  </si>
  <si>
    <t xml:space="preserve">accumulated_depreciation</t>
  </si>
  <si>
    <t xml:space="preserve">action_effective_date</t>
  </si>
  <si>
    <t xml:space="preserve">Litigation Database; Adverse Media / News Archive</t>
  </si>
  <si>
    <t xml:space="preserve">action_ground</t>
  </si>
  <si>
    <t xml:space="preserve">action_status</t>
  </si>
  <si>
    <t xml:space="preserve">action_type</t>
  </si>
  <si>
    <t xml:space="preserve">active_form_filed</t>
  </si>
  <si>
    <t xml:space="preserve">INC-22A ACTIVE; Photograph with Geotag; INC-22 Registered Office</t>
  </si>
  <si>
    <t xml:space="preserve">actual_revenue_achieved</t>
  </si>
  <si>
    <t xml:space="preserve">PAS-3 Return of Allotment; AOC-4 / AOC-4 XBRL Financial Statements</t>
  </si>
  <si>
    <t xml:space="preserve">actual_route_distance_nm</t>
  </si>
  <si>
    <t xml:space="preserve">Bill of Lading / Airway Bill; Shipping Bill; Bill of Entry</t>
  </si>
  <si>
    <t xml:space="preserve">additional_fee_paid_total</t>
  </si>
  <si>
    <t xml:space="preserve">MCA Company Master Data; AOC-4 / AOC-4 XBRL Financial Statements; MGT-7 / MGT-7A Annual Return</t>
  </si>
  <si>
    <t xml:space="preserve">additional_handling_cost_inr</t>
  </si>
  <si>
    <t xml:space="preserve">Packing List / Commercial Invoice; Bill of Lading / Airway Bill; Bank Statement</t>
  </si>
  <si>
    <t xml:space="preserve">additional_place_of_business_count</t>
  </si>
  <si>
    <t xml:space="preserve">GST Registration Certificate (REG-06); PAN Master Data; E-Way Bill Data</t>
  </si>
  <si>
    <t xml:space="preserve">additional_place_of_business_declared</t>
  </si>
  <si>
    <t xml:space="preserve">GST Registration Certificate (REG-06); E-Way Bill Data; AOC-4 / AOC-4 XBRL Financial Statements</t>
  </si>
  <si>
    <t xml:space="preserve">address_change_dates</t>
  </si>
  <si>
    <t xml:space="preserve">INC-22 Registered Office; MCA Company Master Data; MGT-14 Resolutions</t>
  </si>
  <si>
    <t xml:space="preserve">address_contains_street_or_building</t>
  </si>
  <si>
    <t xml:space="preserve">INC-22 Registered Office; MCA Company Master Data; GST Registration Certificate (REG-06)</t>
  </si>
  <si>
    <t xml:space="preserve">address_degree_pincode_zscore</t>
  </si>
  <si>
    <t xml:space="preserve">Derived — cross-entity graph; INC-22 Registered Office; MCA Company Master Data</t>
  </si>
  <si>
    <t xml:space="preserve">address_first_seen_date</t>
  </si>
  <si>
    <t xml:space="preserve">address_geocode_confidence</t>
  </si>
  <si>
    <t xml:space="preserve">address_is_commercial_complex_flag</t>
  </si>
  <si>
    <t xml:space="preserve">INC-22 Registered Office; MCA Company Master Data; Derived — cross-entity graph</t>
  </si>
  <si>
    <t xml:space="preserve">address_is_known_serviced_office_flag</t>
  </si>
  <si>
    <t xml:space="preserve">INC-22 Registered Office; Derived — cross-entity graph; MCA Company Master Data</t>
  </si>
  <si>
    <t xml:space="preserve">address_is_service_provider_flag</t>
  </si>
  <si>
    <t xml:space="preserve">address_is_shared_office_flag</t>
  </si>
  <si>
    <t xml:space="preserve">INC-22 Registered Office; DIR-3 KYC; MCA Company Master Data</t>
  </si>
  <si>
    <t xml:space="preserve">address_match_flag</t>
  </si>
  <si>
    <t xml:space="preserve">Packing List / Commercial Invoice; Bill of Lading / Airway Bill; Derived — cross-entity graph</t>
  </si>
  <si>
    <t xml:space="preserve">address_node_degree_active</t>
  </si>
  <si>
    <t xml:space="preserve">address_pincode</t>
  </si>
  <si>
    <t xml:space="preserve">address_service_type</t>
  </si>
  <si>
    <t xml:space="preserve">Rent Agreement / Lease Deed; INC-22 Registered Office; MCA Company Master Data</t>
  </si>
  <si>
    <t xml:space="preserve">address_token_count</t>
  </si>
  <si>
    <t xml:space="preserve">adjudicated_section_list</t>
  </si>
  <si>
    <t xml:space="preserve">NCLT / NCLAT Orders; MCA Company Master Data; Litigation Database</t>
  </si>
  <si>
    <t xml:space="preserve">adjudication_penalty_amount_total</t>
  </si>
  <si>
    <t xml:space="preserve">adjusted_total_turnover</t>
  </si>
  <si>
    <t xml:space="preserve">GSTR-3B; GSTR-1; GSTR-2A / 2B</t>
  </si>
  <si>
    <t xml:space="preserve">admitted_claim_value</t>
  </si>
  <si>
    <t xml:space="preserve">NCLT / NCLAT Orders; Litigation Database</t>
  </si>
  <si>
    <t xml:space="preserve">adt1_filed_flag</t>
  </si>
  <si>
    <t xml:space="preserve">ADT-1 Auditor Appointment; Auditor Report; MCA Company Master Data</t>
  </si>
  <si>
    <t xml:space="preserve">adt1_last_filed_date</t>
  </si>
  <si>
    <t xml:space="preserve">adt3_filed_count_36m</t>
  </si>
  <si>
    <t xml:space="preserve">ADT-3 Auditor Resignation; ADT-1 Auditor Appointment; Auditor Report</t>
  </si>
  <si>
    <t xml:space="preserve">adt3_filed_date_list</t>
  </si>
  <si>
    <t xml:space="preserve">adt3_reason_category</t>
  </si>
  <si>
    <t xml:space="preserve">adt3_reason_text</t>
  </si>
  <si>
    <t xml:space="preserve">adt4_filed_flag</t>
  </si>
  <si>
    <t xml:space="preserve">CARO Annexure; Auditor Report</t>
  </si>
  <si>
    <t xml:space="preserve">advance_ageing_over_2_years_amount</t>
  </si>
  <si>
    <t xml:space="preserve">AOC-4 / AOC-4 XBRL Financial Statements; GSTR-2A / 2B</t>
  </si>
  <si>
    <t xml:space="preserve">advance_counterparty_related_flag</t>
  </si>
  <si>
    <t xml:space="preserve">advance_from_customers</t>
  </si>
  <si>
    <t xml:space="preserve">advance_import_remittance_value</t>
  </si>
  <si>
    <t xml:space="preserve">advance_import_remittance_value_inr</t>
  </si>
  <si>
    <t xml:space="preserve">advance_receipt_tax</t>
  </si>
  <si>
    <t xml:space="preserve">GSTR-1; GSTR-3B</t>
  </si>
  <si>
    <t xml:space="preserve">advances_from_related_parties</t>
  </si>
  <si>
    <t xml:space="preserve">DPT-3 Return of Deposits; AOC-4 / AOC-4 XBRL Financial Statements; Auditor Report</t>
  </si>
  <si>
    <t xml:space="preserve">advances_to_suppliers</t>
  </si>
  <si>
    <t xml:space="preserve">adverse_clause_count_3cd</t>
  </si>
  <si>
    <t xml:space="preserve">adverse_clause_count_prior_year</t>
  </si>
  <si>
    <t xml:space="preserve">adverse_media_hit_count</t>
  </si>
  <si>
    <t xml:space="preserve">Adverse Media / News Archive; Litigation Database</t>
  </si>
  <si>
    <t xml:space="preserve">adverse_media_hit_on_former_name</t>
  </si>
  <si>
    <t xml:space="preserve">MCA Company Master Data; MGT-14 Resolutions; MOA / AOA</t>
  </si>
  <si>
    <t xml:space="preserve">adverse_media_investigation_flag</t>
  </si>
  <si>
    <t xml:space="preserve">Sanctions &amp; PEP List; BEN-1 / BEN-2 Significant Beneficial Owner; Adverse Media / News Archive</t>
  </si>
  <si>
    <t xml:space="preserve">advertising_expense</t>
  </si>
  <si>
    <t xml:space="preserve">Trademark / IP Registry; AOC-4 / AOC-4 XBRL Financial Statements; Company Website Content</t>
  </si>
  <si>
    <t xml:space="preserve">ae_headline_tax_rate</t>
  </si>
  <si>
    <t xml:space="preserve">Transfer Pricing Report (Form 3CEB); AOC-2 Related Party Annexure; SWIFT / Wire Messages</t>
  </si>
  <si>
    <t xml:space="preserve">ae_interest_expense</t>
  </si>
  <si>
    <t xml:space="preserve">Transfer Pricing Report (Form 3CEB); AOC-4 / AOC-4 XBRL Financial Statements</t>
  </si>
  <si>
    <t xml:space="preserve">ae_interest_rate</t>
  </si>
  <si>
    <t xml:space="preserve">ae_loan_principal</t>
  </si>
  <si>
    <t xml:space="preserve">ageing_schedules_present</t>
  </si>
  <si>
    <t xml:space="preserve">AOC-4 / AOC-4 XBRL Financial Statements; Document Metadata (PDF / Office)</t>
  </si>
  <si>
    <t xml:space="preserve">agent_cohort_address_reuse_rate</t>
  </si>
  <si>
    <t xml:space="preserve">agent_cohort_incorporation_burst_count</t>
  </si>
  <si>
    <t xml:space="preserve">agent_cohort_median_paid_up_capital</t>
  </si>
  <si>
    <t xml:space="preserve">agent_cohort_struck_off_rate</t>
  </si>
  <si>
    <t xml:space="preserve">agent_incorporations_in_window</t>
  </si>
  <si>
    <t xml:space="preserve">agent_membership_number_entity_count</t>
  </si>
  <si>
    <t xml:space="preserve">aggregate_chain_employee_count</t>
  </si>
  <si>
    <t xml:space="preserve">AOC-4 CFS Consolidated; MGT-7 / MGT-7A Annual Return; Derived — cross-entity graph</t>
  </si>
  <si>
    <t xml:space="preserve">aggregate_disallowance_amount_3cd</t>
  </si>
  <si>
    <t xml:space="preserve">aggregate_new_sanction_value</t>
  </si>
  <si>
    <t xml:space="preserve">Credit Bureau Report (CIBIL / CRIF); CHG-1 / CHG-4 / CHG-9 Index of Charges</t>
  </si>
  <si>
    <t xml:space="preserve">aggregate_turnover_fy</t>
  </si>
  <si>
    <t xml:space="preserve">GSTR-1; GSTR-9 / 9C Annual Return; GST Registration Certificate (REG-06)</t>
  </si>
  <si>
    <t xml:space="preserve">aggregate_turnover_highest_fy</t>
  </si>
  <si>
    <t xml:space="preserve">E-Invoice IRN Data; GSTR-1</t>
  </si>
  <si>
    <t xml:space="preserve">aggregate_turnover_max_any_fy</t>
  </si>
  <si>
    <t xml:space="preserve">agm_extension_order_flag</t>
  </si>
  <si>
    <t xml:space="preserve">MCA Company Master Data; AOC-4 / AOC-4 XBRL Financial Statements</t>
  </si>
  <si>
    <t xml:space="preserve">ais_coverage_confirmed_flag</t>
  </si>
  <si>
    <t xml:space="preserve">Vessel AIS Tracking; Bill of Lading / Airway Bill; Shipping Bill</t>
  </si>
  <si>
    <t xml:space="preserve">ais_position_distance_from_declared_port_nm</t>
  </si>
  <si>
    <t xml:space="preserve">ais_receipt_total_fy</t>
  </si>
  <si>
    <t xml:space="preserve">Form 26AS; Income Tax Return (ITR-5 / ITR-6); AIS / TIS</t>
  </si>
  <si>
    <t xml:space="preserve">ais_sft_receipts</t>
  </si>
  <si>
    <t xml:space="preserve">Form 26AS; GSTR-9 / 9C Annual Return</t>
  </si>
  <si>
    <t xml:space="preserve">allegation_category</t>
  </si>
  <si>
    <t xml:space="preserve">allotment_consideration_type</t>
  </si>
  <si>
    <t xml:space="preserve">PAS-3 Return of Allotment; Bank Statement; MGT-14 Resolutions</t>
  </si>
  <si>
    <t xml:space="preserve">allotment_date</t>
  </si>
  <si>
    <t xml:space="preserve">allotment_or_charge_event_within_tenure_flag</t>
  </si>
  <si>
    <t xml:space="preserve">DIR-12 Director Change; DIR-11 Director Resignation; PAS-3 Return of Allotment</t>
  </si>
  <si>
    <t xml:space="preserve">allottee_count</t>
  </si>
  <si>
    <t xml:space="preserve">allottee_is_unrelated_institution_flag</t>
  </si>
  <si>
    <t xml:space="preserve">PAS-3 Return of Allotment; AOC-4 / AOC-4 XBRL Financial Statements; MGT-14 Resolutions</t>
  </si>
  <si>
    <t xml:space="preserve">allottee_related_flag</t>
  </si>
  <si>
    <t xml:space="preserve">altman_z_double_prime</t>
  </si>
  <si>
    <t xml:space="preserve">amalgamating_transferee_cin</t>
  </si>
  <si>
    <t xml:space="preserve">MCA Company Master Data; NCLT / NCLAT Orders; GSTR-1</t>
  </si>
  <si>
    <t xml:space="preserve">amended_field_type</t>
  </si>
  <si>
    <t xml:space="preserve">GST Registration Certificate (REG-06); GSTR-1</t>
  </si>
  <si>
    <t xml:space="preserve">amendment_credit_note_value_period</t>
  </si>
  <si>
    <t xml:space="preserve">GSTR-1; GSTR-3B; GSTR-9 / 9C Annual Return</t>
  </si>
  <si>
    <t xml:space="preserve">amendment_value_gstr1</t>
  </si>
  <si>
    <t xml:space="preserve">amortisation_expense</t>
  </si>
  <si>
    <t xml:space="preserve">analyst_observation_confidence</t>
  </si>
  <si>
    <t xml:space="preserve">annual_electricity_units_kwh</t>
  </si>
  <si>
    <t xml:space="preserve">Electricity / Utility Bill; AOC-4 / AOC-4 XBRL Financial Statements; GSTR-1</t>
  </si>
  <si>
    <t xml:space="preserve">annual_export_value_inr</t>
  </si>
  <si>
    <t xml:space="preserve">Shipping Bill; Customs / ICEGATE Data; Bank Statement</t>
  </si>
  <si>
    <t xml:space="preserve">annual_output_tax_liability</t>
  </si>
  <si>
    <t xml:space="preserve">GSTR-3B; GSTR-9 / 9C Annual Return</t>
  </si>
  <si>
    <t xml:space="preserve">annual_throughput_value</t>
  </si>
  <si>
    <t xml:space="preserve">annual_trade_turnover_inr</t>
  </si>
  <si>
    <t xml:space="preserve">Customs / ICEGATE Data; AOC-4 / AOC-4 XBRL Financial Statements; EPFO ECR Filing</t>
  </si>
  <si>
    <t xml:space="preserve">annual_trade_value_with_counterparty_inr</t>
  </si>
  <si>
    <t xml:space="preserve">Packing List / Commercial Invoice; Bill of Entry; Shipping Bill</t>
  </si>
  <si>
    <t xml:space="preserve">aoa_affirmative_vote_or_veto_clause_flag</t>
  </si>
  <si>
    <t xml:space="preserve">MOA / AOA; MGT-14 Resolutions; BEN-1 / BEN-2 Significant Beneficial Owner</t>
  </si>
  <si>
    <t xml:space="preserve">aoa_amendment_date</t>
  </si>
  <si>
    <t xml:space="preserve">aoc2_attached_flag</t>
  </si>
  <si>
    <t xml:space="preserve">aoc2_contract_count</t>
  </si>
  <si>
    <t xml:space="preserve">aoc4_cfs_filed_flag</t>
  </si>
  <si>
    <t xml:space="preserve">AOC-4 CFS Consolidated; Board Report; Derived — cross-entity graph</t>
  </si>
  <si>
    <t xml:space="preserve">aoc4_filed_flag</t>
  </si>
  <si>
    <t xml:space="preserve">aoc4_missing_fy_count</t>
  </si>
  <si>
    <t xml:space="preserve">AOC-4 / AOC-4 XBRL Financial Statements; MGT-7 / MGT-7A Annual Return; MCA Company Master Data</t>
  </si>
  <si>
    <t xml:space="preserve">applicable_threshold_value</t>
  </si>
  <si>
    <t xml:space="preserve">GSTR-9 / 9C Annual Return; Income Tax Return (ITR-5 / ITR-6)</t>
  </si>
  <si>
    <t xml:space="preserve">applicant_declared_name</t>
  </si>
  <si>
    <t xml:space="preserve">Bank Account Opening / KYC File; DIR-3 KYC</t>
  </si>
  <si>
    <t xml:space="preserve">applicant_liveness_or_video_kyc_done</t>
  </si>
  <si>
    <t xml:space="preserve">applicant_pan_set</t>
  </si>
  <si>
    <t xml:space="preserve">AOC-4 / AOC-4 XBRL Financial Statements; DPT-3 Return of Deposits; PAS-3 Return of Allotment</t>
  </si>
  <si>
    <t xml:space="preserve">applicant_related_flag</t>
  </si>
  <si>
    <t xml:space="preserve">AOC-4 / AOC-4 XBRL Financial Statements; PAS-3 Return of Allotment</t>
  </si>
  <si>
    <t xml:space="preserve">arbitration_case_count</t>
  </si>
  <si>
    <t xml:space="preserve">Litigation Database; Derived — cross-entity graph</t>
  </si>
  <si>
    <t xml:space="preserve">arm_length_spread</t>
  </si>
  <si>
    <t xml:space="preserve">arms_length_certification_present</t>
  </si>
  <si>
    <t xml:space="preserve">AOC-2 Related Party Annexure; AOC-4 / AOC-4 XBRL Financial Statements</t>
  </si>
  <si>
    <t xml:space="preserve">article_contains_hard_identifier_flag</t>
  </si>
  <si>
    <t xml:space="preserve">as18_note_party_count</t>
  </si>
  <si>
    <t xml:space="preserve">assessment_year_reopened_count</t>
  </si>
  <si>
    <t xml:space="preserve">Litigation Database; Adverse Media / News Archive; Income Tax Return (ITR-5 / ITR-6)</t>
  </si>
  <si>
    <t xml:space="preserve">asset_disposals_during_fy</t>
  </si>
  <si>
    <t xml:space="preserve">asset_held_full_year_flag</t>
  </si>
  <si>
    <t xml:space="preserve">asset_turnover_ratio</t>
  </si>
  <si>
    <t xml:space="preserve">assumed_deposit_rate</t>
  </si>
  <si>
    <t xml:space="preserve">Form 26AS; AOC-4 / AOC-4 XBRL Financial Statements; Bank Statement</t>
  </si>
  <si>
    <t xml:space="preserve">audit_opinion_type</t>
  </si>
  <si>
    <t xml:space="preserve">Auditor Report; AOC-4 / AOC-4 XBRL Financial Statements</t>
  </si>
  <si>
    <t xml:space="preserve">audited_turnover</t>
  </si>
  <si>
    <t xml:space="preserve">GSTR-9 / 9C Annual Return; GSTR-3B</t>
  </si>
  <si>
    <t xml:space="preserve">auditor_clients_distinct_state_count</t>
  </si>
  <si>
    <t xml:space="preserve">Derived — cross-entity graph; ADT-1 Auditor Appointment; Auditor Report</t>
  </si>
  <si>
    <t xml:space="preserve">auditor_continuous_tenure_years</t>
  </si>
  <si>
    <t xml:space="preserve">ADT-1 Auditor Appointment; Auditor Report; MGT-7 / MGT-7A Annual Return</t>
  </si>
  <si>
    <t xml:space="preserve">auditor_firm_frn_shared_flag</t>
  </si>
  <si>
    <t xml:space="preserve">Derived — cross-entity graph; ADT-1 Auditor Appointment; MGT-7 / MGT-7A Annual Return</t>
  </si>
  <si>
    <t xml:space="preserve">auditor_flagged_client_share</t>
  </si>
  <si>
    <t xml:space="preserve">auditor_frn_client_count</t>
  </si>
  <si>
    <t xml:space="preserve">auditor_name_mca</t>
  </si>
  <si>
    <t xml:space="preserve">auditor_name_on_audit_report</t>
  </si>
  <si>
    <t xml:space="preserve">auditor_office_address_normalised</t>
  </si>
  <si>
    <t xml:space="preserve">INC-22 Registered Office; ADT-1 Auditor Appointment; SPICe+ / INC-32 Incorporation</t>
  </si>
  <si>
    <t xml:space="preserve">auditor_partner_count_declared</t>
  </si>
  <si>
    <t xml:space="preserve">auditor_signature_date_list</t>
  </si>
  <si>
    <t xml:space="preserve">AOC-4 / AOC-4 XBRL Financial Statements; MGT-7 / MGT-7A Annual Return; Auditor Report</t>
  </si>
  <si>
    <t xml:space="preserve">auditor_signing_date_concentration</t>
  </si>
  <si>
    <t xml:space="preserve">auditor_tenure_at_resignation_years</t>
  </si>
  <si>
    <t xml:space="preserve">authorised_capital</t>
  </si>
  <si>
    <t xml:space="preserve">SH-7 Capital Increase; MCA Company Master Data; AOC-4 / AOC-4 XBRL Financial Statements</t>
  </si>
  <si>
    <t xml:space="preserve">authorised_signatory_identity</t>
  </si>
  <si>
    <t xml:space="preserve">Signatory Details / DSC Register; Document Metadata (PDF / Office); DIR-3 KYC</t>
  </si>
  <si>
    <t xml:space="preserve">authorised_signatory_is_director_or_kmp_flag</t>
  </si>
  <si>
    <t xml:space="preserve">Bank Account Opening / KYC File; Signatory Details / DSC Register; GST Registration Certificate (REG-06)</t>
  </si>
  <si>
    <t xml:space="preserve">available_balance_at_first_tranche</t>
  </si>
  <si>
    <t xml:space="preserve">Bank Statement; Packing List / Commercial Invoice; GSTR-2A / 2B</t>
  </si>
  <si>
    <t xml:space="preserve">average_board_size</t>
  </si>
  <si>
    <t xml:space="preserve">DIR-12 Director Change; DIR-11 Director Resignation; MCA Company Master Data</t>
  </si>
  <si>
    <t xml:space="preserve">average_borrowings</t>
  </si>
  <si>
    <t xml:space="preserve">AOC-4 / AOC-4 XBRL Financial Statements; CHG-1 / CHG-4 / CHG-9 Index of Charges</t>
  </si>
  <si>
    <t xml:space="preserve">average_daily_balance</t>
  </si>
  <si>
    <t xml:space="preserve">average_fortnight_revenue_share</t>
  </si>
  <si>
    <t xml:space="preserve">average_loans_and_advances_given</t>
  </si>
  <si>
    <t xml:space="preserve">average_wage_assumption</t>
  </si>
  <si>
    <t xml:space="preserve">avg_end_of_day_balance</t>
  </si>
  <si>
    <t xml:space="preserve">avg_filing_delay_days</t>
  </si>
  <si>
    <t xml:space="preserve">avg_fund_holding_period_days</t>
  </si>
  <si>
    <t xml:space="preserve">Bank Statement; UPI / IMPS / NEFT Transaction Log</t>
  </si>
  <si>
    <t xml:space="preserve">avg_instant_rail_ticket_size</t>
  </si>
  <si>
    <t xml:space="preserve">UPI / IMPS / NEFT Transaction Log; Bank Statement; GSTR-1</t>
  </si>
  <si>
    <t xml:space="preserve">avg_off_hours_ticket_size</t>
  </si>
  <si>
    <t xml:space="preserve">Bank Statement; IP &amp; Device Fingerprint Log</t>
  </si>
  <si>
    <t xml:space="preserve">avg_tranches_per_invoice</t>
  </si>
  <si>
    <t xml:space="preserve">avg_utilisation_ratio</t>
  </si>
  <si>
    <t xml:space="preserve">Bank Statement; Loan Sanction / Facility Letter</t>
  </si>
  <si>
    <t xml:space="preserve">avoidance_application_filed_flag</t>
  </si>
  <si>
    <t xml:space="preserve">award_value</t>
  </si>
  <si>
    <t xml:space="preserve">Tender / Procurement Portal; AOC-4 / AOC-4 XBRL Financial Statements</t>
  </si>
  <si>
    <t xml:space="preserve">award_value_to_turnover_ratio</t>
  </si>
  <si>
    <t xml:space="preserve">b2b_invoice_value_gstr1</t>
  </si>
  <si>
    <t xml:space="preserve">b2c_outward_supply_value</t>
  </si>
  <si>
    <t xml:space="preserve">Bank Statement; GSTR-1; AIS / TIS</t>
  </si>
  <si>
    <t xml:space="preserve">background_noise_variance</t>
  </si>
  <si>
    <t xml:space="preserve">bank_account_change_count</t>
  </si>
  <si>
    <t xml:space="preserve">bank_account_count_disclosed</t>
  </si>
  <si>
    <t xml:space="preserve">Bank Statement; GSTR-9 / 9C Annual Return</t>
  </si>
  <si>
    <t xml:space="preserve">bank_account_number</t>
  </si>
  <si>
    <t xml:space="preserve">bank_account_number_hash</t>
  </si>
  <si>
    <t xml:space="preserve">bank_account_operated_by_non_officer_flag</t>
  </si>
  <si>
    <t xml:space="preserve">bank_balance</t>
  </si>
  <si>
    <t xml:space="preserve">AOC-4 / AOC-4 XBRL Financial Statements; Bank Statement</t>
  </si>
  <si>
    <t xml:space="preserve">bank_capital_inflow_since_incorporation</t>
  </si>
  <si>
    <t xml:space="preserve">AOC-4 / AOC-4 XBRL Financial Statements; PAS-3 Return of Allotment; Bank Statement</t>
  </si>
  <si>
    <t xml:space="preserve">bank_charge_expense</t>
  </si>
  <si>
    <t xml:space="preserve">bank_charges_expense</t>
  </si>
  <si>
    <t xml:space="preserve">bank_credit_count_post_status_date</t>
  </si>
  <si>
    <t xml:space="preserve">MCA Company Master Data; MCA Struck-Off Company List; STK-2 Strike Off Application</t>
  </si>
  <si>
    <t xml:space="preserve">bank_credit_total_since_incorporation</t>
  </si>
  <si>
    <t xml:space="preserve">INC-20A Commencement; MCA Company Master Data; SPICe+ / INC-32 Incorporation</t>
  </si>
  <si>
    <t xml:space="preserve">bank_credit_towards_subscription_amount</t>
  </si>
  <si>
    <t xml:space="preserve">INC-20A Commencement; Bank Statement; SPICe+ / INC-32 Incorporation</t>
  </si>
  <si>
    <t xml:space="preserve">bank_credits_matched_to_allotment_amount</t>
  </si>
  <si>
    <t xml:space="preserve">bank_guarantee_on_file_flag</t>
  </si>
  <si>
    <t xml:space="preserve">bank_salary_debit_amount_12m</t>
  </si>
  <si>
    <t xml:space="preserve">Bank Statement; Payroll Register; AOC-4 / AOC-4 XBRL Financial Statements</t>
  </si>
  <si>
    <t xml:space="preserve">bearer_self_cheque_value</t>
  </si>
  <si>
    <t xml:space="preserve">Bank Statement; Cheque Return / Bounce Data</t>
  </si>
  <si>
    <t xml:space="preserve">below_threshold_bunching_ratio</t>
  </si>
  <si>
    <t xml:space="preserve">GSTR-1; E-Way Bill Data</t>
  </si>
  <si>
    <t xml:space="preserve">ben1_declaration_received_flag</t>
  </si>
  <si>
    <t xml:space="preserve">BEN-1 / BEN-2 Significant Beneficial Owner; MGT-7 / MGT-7A Annual Return</t>
  </si>
  <si>
    <t xml:space="preserve">ben1_received_flag</t>
  </si>
  <si>
    <t xml:space="preserve">BEN-1 / BEN-2 Significant Beneficial Owner; MGT-7 / MGT-7A Annual Return; MCA Company Master Data</t>
  </si>
  <si>
    <t xml:space="preserve">benchmark_currency_rate</t>
  </si>
  <si>
    <t xml:space="preserve">beneficial_owner_met_flag</t>
  </si>
  <si>
    <t xml:space="preserve">Bank Account Opening / KYC File; Site Visit Report</t>
  </si>
  <si>
    <t xml:space="preserve">beneficial_owner_name_list</t>
  </si>
  <si>
    <t xml:space="preserve">Sanctions &amp; PEP List; BEN-1 / BEN-2 Significant Beneficial Owner; DIR-3 KYC</t>
  </si>
  <si>
    <t xml:space="preserve">beneficial_shareholding_change_pct</t>
  </si>
  <si>
    <t xml:space="preserve">MGT-7 / MGT-7A Annual Return; Income Tax Return (ITR-5 / ITR-6); Tax Audit Report (Form 3CD)</t>
  </si>
  <si>
    <t xml:space="preserve">beneficiary_added_count_post_change</t>
  </si>
  <si>
    <t xml:space="preserve">Bank Account Opening / KYC File; DIR-12 Director Change; Bank Statement</t>
  </si>
  <si>
    <t xml:space="preserve">beneficiary_first_seen_date</t>
  </si>
  <si>
    <t xml:space="preserve">beneficiary_related_flag</t>
  </si>
  <si>
    <t xml:space="preserve">AOC-4 / AOC-4 XBRL Financial Statements; MGT-14 Resolutions</t>
  </si>
  <si>
    <t xml:space="preserve">benefit_evidence_present</t>
  </si>
  <si>
    <t xml:space="preserve">beneish_m_score</t>
  </si>
  <si>
    <t xml:space="preserve">benford_chi_square_p_value</t>
  </si>
  <si>
    <t xml:space="preserve">Document Metadata (PDF / Office); Tax Audit Report (Form 3CD)</t>
  </si>
  <si>
    <t xml:space="preserve">benford_chi_square_stat</t>
  </si>
  <si>
    <t xml:space="preserve">benford_first_digit_mad</t>
  </si>
  <si>
    <t xml:space="preserve">benford_two_digit_mad</t>
  </si>
  <si>
    <t xml:space="preserve">betweenness_centrality_percentile</t>
  </si>
  <si>
    <t xml:space="preserve">bid_price_rank_rotation_flag</t>
  </si>
  <si>
    <t xml:space="preserve">Tender / Procurement Portal; Derived — cross-entity graph</t>
  </si>
  <si>
    <t xml:space="preserve">bid_price_spread_pct</t>
  </si>
  <si>
    <t xml:space="preserve">bill_of_entry_count_same_cth</t>
  </si>
  <si>
    <t xml:space="preserve">bill_of_entry_value_annual_inr</t>
  </si>
  <si>
    <t xml:space="preserve">Bill of Entry; GSTR-2A / 2B; AOC-4 / AOC-4 XBRL Financial Statements</t>
  </si>
  <si>
    <t xml:space="preserve">blocked_hsn_sac_itc_value</t>
  </si>
  <si>
    <t xml:space="preserve">GSTR-2A / 2B; GSTR-3B</t>
  </si>
  <si>
    <t xml:space="preserve">board_approval_resolution_flag</t>
  </si>
  <si>
    <t xml:space="preserve">board_meeting_dates</t>
  </si>
  <si>
    <t xml:space="preserve">MGT-14 Resolutions; Board Report; Document Metadata (PDF / Office)</t>
  </si>
  <si>
    <t xml:space="preserve">board_meetings_held_fy</t>
  </si>
  <si>
    <t xml:space="preserve">Board Report; MGT-7 / MGT-7A Annual Return</t>
  </si>
  <si>
    <t xml:space="preserve">board_nomination_right_without_equity_flag</t>
  </si>
  <si>
    <t xml:space="preserve">board_report_signatory_list</t>
  </si>
  <si>
    <t xml:space="preserve">DIR-12 Director Change; MCA Company Master Data; Board Report</t>
  </si>
  <si>
    <t xml:space="preserve">board_resolution_authorisation_flag</t>
  </si>
  <si>
    <t xml:space="preserve">Bank Account Opening / KYC File; IP &amp; Device Fingerprint Log; Signatory Details / DSC Register</t>
  </si>
  <si>
    <t xml:space="preserve">board_size_before</t>
  </si>
  <si>
    <t xml:space="preserve">DIR-11 Director Resignation; DIR-12 Director Change; MCA Company Master Data</t>
  </si>
  <si>
    <t xml:space="preserve">body_corporate_shareholding_pct</t>
  </si>
  <si>
    <t xml:space="preserve">body_kerning_variance</t>
  </si>
  <si>
    <t xml:space="preserve">Document Metadata (PDF / Office); Bank Statement; AOC-4 / AOC-4 XBRL Financial Statements</t>
  </si>
  <si>
    <t xml:space="preserve">boe_matched_value</t>
  </si>
  <si>
    <t xml:space="preserve">bol_carrier_scac</t>
  </si>
  <si>
    <t xml:space="preserve">Bill of Lading / Airway Bill; Customs / ICEGATE Data; Derived — cross-entity graph</t>
  </si>
  <si>
    <t xml:space="preserve">bol_carrier_verification_status</t>
  </si>
  <si>
    <t xml:space="preserve">bol_format_valid_flag</t>
  </si>
  <si>
    <t xml:space="preserve">bol_number_distinct_consignment_count</t>
  </si>
  <si>
    <t xml:space="preserve">book_profit_115jb</t>
  </si>
  <si>
    <t xml:space="preserve">Income Tax Return (ITR-5 / ITR-6); AOC-4 / AOC-4 XBRL Financial Statements</t>
  </si>
  <si>
    <t xml:space="preserve">book_value_of_equity</t>
  </si>
  <si>
    <t xml:space="preserve">booked_transaction_count</t>
  </si>
  <si>
    <t xml:space="preserve">borrower_iec</t>
  </si>
  <si>
    <t xml:space="preserve">Bill of Lading / Airway Bill; Loan Sanction / Facility Letter; Derived — cross-entity graph</t>
  </si>
  <si>
    <t xml:space="preserve">borrower_related_flag</t>
  </si>
  <si>
    <t xml:space="preserve">borrowings_growth</t>
  </si>
  <si>
    <t xml:space="preserve">borrowings_increase_fy</t>
  </si>
  <si>
    <t xml:space="preserve">MGT-14 Resolutions; AOC-4 / AOC-4 XBRL Financial Statements; Board Report</t>
  </si>
  <si>
    <t xml:space="preserve">borrowings_of_beneficiary</t>
  </si>
  <si>
    <t xml:space="preserve">borrowings_secured_on_revalued_asset</t>
  </si>
  <si>
    <t xml:space="preserve">borrowings_total</t>
  </si>
  <si>
    <t xml:space="preserve">branch_ifsc_entity_count</t>
  </si>
  <si>
    <t xml:space="preserve">branch_is_business_district_flag</t>
  </si>
  <si>
    <t xml:space="preserve">branch_transfer_ewb_value</t>
  </si>
  <si>
    <t xml:space="preserve">brand_or_ip_claimed</t>
  </si>
  <si>
    <t xml:space="preserve">brc_firc_count</t>
  </si>
  <si>
    <t xml:space="preserve">Shipping Bill; Bank Statement; GSTR-1</t>
  </si>
  <si>
    <t xml:space="preserve">bridge_flow_value_share</t>
  </si>
  <si>
    <t xml:space="preserve">bridged_component_min_size</t>
  </si>
  <si>
    <t xml:space="preserve">bridged_components_sector_distance</t>
  </si>
  <si>
    <t xml:space="preserve">brought_forward_loss_amount</t>
  </si>
  <si>
    <t xml:space="preserve">bulk_filing_date</t>
  </si>
  <si>
    <t xml:space="preserve">burst_identical_paid_up_capital_share</t>
  </si>
  <si>
    <t xml:space="preserve">burst_inc20a_filed_share</t>
  </si>
  <si>
    <t xml:space="preserve">burst_share_of_period_ewb</t>
  </si>
  <si>
    <t xml:space="preserve">E-Way Bill Data; E-Invoice IRN Data</t>
  </si>
  <si>
    <t xml:space="preserve">burst_shared_attribute_count</t>
  </si>
  <si>
    <t xml:space="preserve">business_loss_carried_forward</t>
  </si>
  <si>
    <t xml:space="preserve">buyer_country_code</t>
  </si>
  <si>
    <t xml:space="preserve">Shipping Bill; Bank Statement; SWIFT / Wire Messages</t>
  </si>
  <si>
    <t xml:space="preserve">buyer_seller_disclosed_relationship_flag</t>
  </si>
  <si>
    <t xml:space="preserve">MGT-7 / MGT-7A Annual Return; AOC-4 / AOC-4 XBRL Financial Statements; Bank Statement</t>
  </si>
  <si>
    <t xml:space="preserve">cancellation_initiated_by</t>
  </si>
  <si>
    <t xml:space="preserve">GST Registration Certificate (REG-06); GST Cancellation / Suspension Order; GSTR-1</t>
  </si>
  <si>
    <t xml:space="preserve">cancelled_gstin_share_at_address</t>
  </si>
  <si>
    <t xml:space="preserve">cancelled_or_nonfiler_consignor_share</t>
  </si>
  <si>
    <t xml:space="preserve">capital_advances</t>
  </si>
  <si>
    <t xml:space="preserve">capital_goods_itc_share</t>
  </si>
  <si>
    <t xml:space="preserve">capital_infusion_within_cycle_amount</t>
  </si>
  <si>
    <t xml:space="preserve">Derived — cross-entity graph; MGT-7 / MGT-7A Annual Return; AOC-4 CFS Consolidated</t>
  </si>
  <si>
    <t xml:space="preserve">capital_work_in_progress_prior_fy</t>
  </si>
  <si>
    <t xml:space="preserve">capitalised_to_ppe_during_fy</t>
  </si>
  <si>
    <t xml:space="preserve">cargo_type_odc_flag</t>
  </si>
  <si>
    <t xml:space="preserve">caro_3iii_c_repayment_irregular</t>
  </si>
  <si>
    <t xml:space="preserve">CARO Annexure; AOC-4 / AOC-4 XBRL Financial Statements</t>
  </si>
  <si>
    <t xml:space="preserve">caro_3iii_d_overdue_90_days_amount</t>
  </si>
  <si>
    <t xml:space="preserve">caro_3iii_e_renewed_to_settle_overdue</t>
  </si>
  <si>
    <t xml:space="preserve">caro_3iii_f_repayable_on_demand_amount</t>
  </si>
  <si>
    <t xml:space="preserve">caro_3ix_d_short_term_funds_used_long_term</t>
  </si>
  <si>
    <t xml:space="preserve">CARO Annexure; PAS-3 Return of Allotment</t>
  </si>
  <si>
    <t xml:space="preserve">caro_3ix_e_funds_used_for_subsidiary_obligations</t>
  </si>
  <si>
    <t xml:space="preserve">caro_3vii_a_undisputed_dues_outstanding_over_6_months</t>
  </si>
  <si>
    <t xml:space="preserve">caro_3vii_b_disputed_dues_amount</t>
  </si>
  <si>
    <t xml:space="preserve">caro_3x_a_ipo_funds_not_applied_flag</t>
  </si>
  <si>
    <t xml:space="preserve">caro_3x_b_preferential_allotment_noncompliance_flag</t>
  </si>
  <si>
    <t xml:space="preserve">caro_3xi_a_fraud_noticed_flag</t>
  </si>
  <si>
    <t xml:space="preserve">caro_3xi_c_whistleblower_complaint_considered</t>
  </si>
  <si>
    <t xml:space="preserve">caro_statutory_dues_default_flag</t>
  </si>
  <si>
    <t xml:space="preserve">EPFO ECR Filing; CARO Annexure; Payroll Register</t>
  </si>
  <si>
    <t xml:space="preserve">case_registration_date</t>
  </si>
  <si>
    <t xml:space="preserve">case_stage</t>
  </si>
  <si>
    <t xml:space="preserve">cash_conversion_cycle_days</t>
  </si>
  <si>
    <t xml:space="preserve">cash_credit_limit_utilisation</t>
  </si>
  <si>
    <t xml:space="preserve">cash_deposit_ratio</t>
  </si>
  <si>
    <t xml:space="preserve">cash_flow_from_financing</t>
  </si>
  <si>
    <t xml:space="preserve">cash_flow_from_investing</t>
  </si>
  <si>
    <t xml:space="preserve">cash_in_hand</t>
  </si>
  <si>
    <t xml:space="preserve">cash_or_journal_settled_share</t>
  </si>
  <si>
    <t xml:space="preserve">GSTR-2A / 2B; Tax Audit Report (Form 3CD); Bank Statement</t>
  </si>
  <si>
    <t xml:space="preserve">cash_payment_amount</t>
  </si>
  <si>
    <t xml:space="preserve">cash_payment_ratio</t>
  </si>
  <si>
    <t xml:space="preserve">Tax Audit Report (Form 3CD); Income Tax Return (ITR-5 / ITR-6); GSTR-9 / 9C Annual Return</t>
  </si>
  <si>
    <t xml:space="preserve">cash_payments_above_limit</t>
  </si>
  <si>
    <t xml:space="preserve">cash_receipt_of_loan_flag</t>
  </si>
  <si>
    <t xml:space="preserve">AOC-4 / AOC-4 XBRL Financial Statements; DPT-3 Return of Deposits</t>
  </si>
  <si>
    <t xml:space="preserve">cash_receipt_ratio</t>
  </si>
  <si>
    <t xml:space="preserve">cash_receipt_share</t>
  </si>
  <si>
    <t xml:space="preserve">cash_receipt_values</t>
  </si>
  <si>
    <t xml:space="preserve">cash_sales_ratio</t>
  </si>
  <si>
    <t xml:space="preserve">cash_withdrawal_amount_12m</t>
  </si>
  <si>
    <t xml:space="preserve">cash_withdrawal_mode</t>
  </si>
  <si>
    <t xml:space="preserve">Bank Statement; Form 26AS</t>
  </si>
  <si>
    <t xml:space="preserve">cash_withdrawals_total</t>
  </si>
  <si>
    <t xml:space="preserve">casual_vacancy_adt1_filed_flag</t>
  </si>
  <si>
    <t xml:space="preserve">cbi_fir_flag</t>
  </si>
  <si>
    <t xml:space="preserve">certificate_revoked_at_signing</t>
  </si>
  <si>
    <t xml:space="preserve">certificate_subject_identity</t>
  </si>
  <si>
    <t xml:space="preserve">certificate_valid_from</t>
  </si>
  <si>
    <t xml:space="preserve">certificate_valid_to</t>
  </si>
  <si>
    <t xml:space="preserve">certifying_professional_membership_no</t>
  </si>
  <si>
    <t xml:space="preserve">cfo_present_flag</t>
  </si>
  <si>
    <t xml:space="preserve">MGT-7 / MGT-7A Annual Return; MCA Company Master Data; DIR-12 Director Change</t>
  </si>
  <si>
    <t xml:space="preserve">chain_entity_ids</t>
  </si>
  <si>
    <t xml:space="preserve">chain_goods_movement_corroborated_flag</t>
  </si>
  <si>
    <t xml:space="preserve">Derived — cross-entity graph; GSTR-1; Bank Statement</t>
  </si>
  <si>
    <t xml:space="preserve">chain_path_length</t>
  </si>
  <si>
    <t xml:space="preserve">chain_value_transferred</t>
  </si>
  <si>
    <t xml:space="preserve">changed_object_on_financial_page</t>
  </si>
  <si>
    <t xml:space="preserve">charge_amount</t>
  </si>
  <si>
    <t xml:space="preserve">CHG-1 / CHG-4 / CHG-9 Index of Charges; CERSAI Charge Registry; AOC-4 / AOC-4 XBRL Financial Statements</t>
  </si>
  <si>
    <t xml:space="preserve">charge_count_registered</t>
  </si>
  <si>
    <t xml:space="preserve">Credit Bureau Report (CIBIL / CRIF); CHG-1 / CHG-4 / CHG-9 Index of Charges; AOC-4 / AOC-4 XBRL Financial Statements</t>
  </si>
  <si>
    <t xml:space="preserve">charge_count_total</t>
  </si>
  <si>
    <t xml:space="preserve">CHG-1 / CHG-4 / CHG-9 Index of Charges; AOC-4 / AOC-4 XBRL Financial Statements</t>
  </si>
  <si>
    <t xml:space="preserve">charge_creation_dates</t>
  </si>
  <si>
    <t xml:space="preserve">chargeholder_is_regulated_lender_flag</t>
  </si>
  <si>
    <t xml:space="preserve">chargeholder_is_related_party_flag</t>
  </si>
  <si>
    <t xml:space="preserve">chargeholder_name</t>
  </si>
  <si>
    <t xml:space="preserve">cheaper_alternative_declined_flag</t>
  </si>
  <si>
    <t xml:space="preserve">Bank Account Opening / KYC File; Loan Sanction / Facility Letter</t>
  </si>
  <si>
    <t xml:space="preserve">cheque_clearing_mode</t>
  </si>
  <si>
    <t xml:space="preserve">cheque_dishonour_value_total</t>
  </si>
  <si>
    <t xml:space="preserve">Litigation Database; Cheque Return / Bounce Data</t>
  </si>
  <si>
    <t xml:space="preserve">cheque_payee_count</t>
  </si>
  <si>
    <t xml:space="preserve">cheque_return_count_12m</t>
  </si>
  <si>
    <t xml:space="preserve">Cheque Return / Bounce Data; Bank Statement</t>
  </si>
  <si>
    <t xml:space="preserve">cheque_return_reason_code</t>
  </si>
  <si>
    <t xml:space="preserve">cheque_return_value</t>
  </si>
  <si>
    <t xml:space="preserve">cheque_serial_number</t>
  </si>
  <si>
    <t xml:space="preserve">cibil_active_facility_count</t>
  </si>
  <si>
    <t xml:space="preserve">cin</t>
  </si>
  <si>
    <t xml:space="preserve">MCA Struck-Off Company List; DIN Master Data; Adverse Media / News Archive</t>
  </si>
  <si>
    <t xml:space="preserve">cin_registered_activity</t>
  </si>
  <si>
    <t xml:space="preserve">AOC-4 / AOC-4 XBRL Financial Statements; AOC-2 Related Party Annexure</t>
  </si>
  <si>
    <t xml:space="preserve">circular_trade_loop_detected</t>
  </si>
  <si>
    <t xml:space="preserve">Shipping Bill; Bill of Entry; Derived — cross-entity graph</t>
  </si>
  <si>
    <t xml:space="preserve">cirp_admission_date</t>
  </si>
  <si>
    <t xml:space="preserve">NCLT / NCLAT Orders; Credit Bureau Report (CIBIL / CRIF); Litigation Database</t>
  </si>
  <si>
    <t xml:space="preserve">civil_recovery_suit_count</t>
  </si>
  <si>
    <t xml:space="preserve">Litigation Database; AOC-4 / AOC-4 XBRL Financial Statements</t>
  </si>
  <si>
    <t xml:space="preserve">claimed_headcount</t>
  </si>
  <si>
    <t xml:space="preserve">claimed_operations_start_date</t>
  </si>
  <si>
    <t xml:space="preserve">Company Website Content; Website WHOIS / Domain Record</t>
  </si>
  <si>
    <t xml:space="preserve">classification_status</t>
  </si>
  <si>
    <t xml:space="preserve">Credit Bureau Report (CIBIL / CRIF); Litigation Database</t>
  </si>
  <si>
    <t xml:space="preserve">classified_amount_outstanding</t>
  </si>
  <si>
    <t xml:space="preserve">classifying_bank_count</t>
  </si>
  <si>
    <t xml:space="preserve">clause_21a_amount</t>
  </si>
  <si>
    <t xml:space="preserve">clause_26_43b_unpaid</t>
  </si>
  <si>
    <t xml:space="preserve">clause_31a_cash_loan_accepted_amount</t>
  </si>
  <si>
    <t xml:space="preserve">Tax Audit Report (Form 3CD); AOC-4 / AOC-4 XBRL Financial Statements</t>
  </si>
  <si>
    <t xml:space="preserve">clause_31c_cash_loan_repaid_amount</t>
  </si>
  <si>
    <t xml:space="preserve">clause_32b_3cd_reported</t>
  </si>
  <si>
    <t xml:space="preserve">clause_34_tds_shortfall</t>
  </si>
  <si>
    <t xml:space="preserve">clock_skew_tolerance_minutes</t>
  </si>
  <si>
    <t xml:space="preserve">closely_held_flag</t>
  </si>
  <si>
    <t xml:space="preserve">closing_credit_ledger_balance</t>
  </si>
  <si>
    <t xml:space="preserve">closing_inventory_inr</t>
  </si>
  <si>
    <t xml:space="preserve">closing_trade_receivables</t>
  </si>
  <si>
    <t xml:space="preserve">Bank Statement; GSTR-1; AOC-4 / AOC-4 XBRL Financial Statements</t>
  </si>
  <si>
    <t xml:space="preserve">cloud_hosting_expense</t>
  </si>
  <si>
    <t xml:space="preserve">AOC-4 / AOC-4 XBRL Financial Statements; Tax Audit Report (Form 3CD); Company Website Content</t>
  </si>
  <si>
    <t xml:space="preserve">cluster_aggregate_borrowings</t>
  </si>
  <si>
    <t xml:space="preserve">Derived — cross-entity graph; AOC-4 / AOC-4 XBRL Financial Statements; GSTR-9 / 9C Annual Return</t>
  </si>
  <si>
    <t xml:space="preserve">cluster_aggregate_fixed_assets</t>
  </si>
  <si>
    <t xml:space="preserve">cluster_aggregate_net_worth</t>
  </si>
  <si>
    <t xml:space="preserve">cluster_aggregate_paid_up_capital</t>
  </si>
  <si>
    <t xml:space="preserve">cluster_common_address_or_auditor_flag</t>
  </si>
  <si>
    <t xml:space="preserve">Derived — cross-entity graph; DIN Master Data; DIR-12 Director Change</t>
  </si>
  <si>
    <t xml:space="preserve">cluster_common_object_clause_flag</t>
  </si>
  <si>
    <t xml:space="preserve">Derived — cross-entity graph; MCA Company Master Data; SPICe+ / INC-32 Incorporation</t>
  </si>
  <si>
    <t xml:space="preserve">cluster_common_ownership_disclosed_flag</t>
  </si>
  <si>
    <t xml:space="preserve">cluster_entity_ids</t>
  </si>
  <si>
    <t xml:space="preserve">cluster_external_counterparty_count</t>
  </si>
  <si>
    <t xml:space="preserve">cluster_internal_link_density</t>
  </si>
  <si>
    <t xml:space="preserve">cluster_internal_trade_value_share</t>
  </si>
  <si>
    <t xml:space="preserve">cluster_intra_flow_share</t>
  </si>
  <si>
    <t xml:space="preserve">cluster_median_turnover</t>
  </si>
  <si>
    <t xml:space="preserve">cluster_registration_span_days</t>
  </si>
  <si>
    <t xml:space="preserve">Derived — cross-entity graph; MCA Company Master Data; GST Registration Certificate (REG-06)</t>
  </si>
  <si>
    <t xml:space="preserve">cluster_sequential_registration_pairs</t>
  </si>
  <si>
    <t xml:space="preserve">cluster_shared_attribute_flag</t>
  </si>
  <si>
    <t xml:space="preserve">cluster_struck_off_or_defaulter_share</t>
  </si>
  <si>
    <t xml:space="preserve">cluster_struck_off_share</t>
  </si>
  <si>
    <t xml:space="preserve">cmp08_filed_count</t>
  </si>
  <si>
    <t xml:space="preserve">co_bidder_shared_attribute_count</t>
  </si>
  <si>
    <t xml:space="preserve">co_bidding_tender_count</t>
  </si>
  <si>
    <t xml:space="preserve">colour_channel_count</t>
  </si>
  <si>
    <t xml:space="preserve">commodity_value_density_p05_inr_per_kg</t>
  </si>
  <si>
    <t xml:space="preserve">Bill of Entry; Shipping Bill; Packing List / Commercial Invoice</t>
  </si>
  <si>
    <t xml:space="preserve">commodity_value_density_p95_inr_per_kg</t>
  </si>
  <si>
    <t xml:space="preserve">common_authorised_signatory_count</t>
  </si>
  <si>
    <t xml:space="preserve">common_dsc_or_ip_flag</t>
  </si>
  <si>
    <t xml:space="preserve">community_aggregate_turnover</t>
  </si>
  <si>
    <t xml:space="preserve">community_external_trade_value_share</t>
  </si>
  <si>
    <t xml:space="preserve">community_id</t>
  </si>
  <si>
    <t xml:space="preserve">community_internal_edge_density</t>
  </si>
  <si>
    <t xml:space="preserve">community_median_entity_age_years</t>
  </si>
  <si>
    <t xml:space="preserve">community_size</t>
  </si>
  <si>
    <t xml:space="preserve">companies_act_adjudication_order_count_36m</t>
  </si>
  <si>
    <t xml:space="preserve">company_page_present</t>
  </si>
  <si>
    <t xml:space="preserve">Social Media / Employee Listing (LinkedIn); EPFO ECR Filing; AOC-4 / AOC-4 XBRL Financial Statements</t>
  </si>
  <si>
    <t xml:space="preserve">company_secretary_present_flag</t>
  </si>
  <si>
    <t xml:space="preserve">comparative_figures_mismatch_count</t>
  </si>
  <si>
    <t xml:space="preserve">competing_bidder_count_mean</t>
  </si>
  <si>
    <t xml:space="preserve">compounding_application_count_36m</t>
  </si>
  <si>
    <t xml:space="preserve">computer_hardware_gross_block</t>
  </si>
  <si>
    <t xml:space="preserve">connected_load_kw</t>
  </si>
  <si>
    <t xml:space="preserve">consecutive_leg_distance_km</t>
  </si>
  <si>
    <t xml:space="preserve">consecutive_leg_gap_hours</t>
  </si>
  <si>
    <t xml:space="preserve">consecutive_years_below_threshold</t>
  </si>
  <si>
    <t xml:space="preserve">consecutive_years_fraud_reported</t>
  </si>
  <si>
    <t xml:space="preserve">consecutive_years_modified_opinion</t>
  </si>
  <si>
    <t xml:space="preserve">consecutive_years_negative_net_worth</t>
  </si>
  <si>
    <t xml:space="preserve">consecutive_years_profit_without_ocf</t>
  </si>
  <si>
    <t xml:space="preserve">consecutive_years_statutory_arrears</t>
  </si>
  <si>
    <t xml:space="preserve">consecutive_years_with_gap</t>
  </si>
  <si>
    <t xml:space="preserve">Form 26AS; AIS / TIS; Income Tax Return (ITR-5 / ITR-6)</t>
  </si>
  <si>
    <t xml:space="preserve">consecutive_years_zero_margin</t>
  </si>
  <si>
    <t xml:space="preserve">consent_award_share</t>
  </si>
  <si>
    <t xml:space="preserve">consignment_value</t>
  </si>
  <si>
    <t xml:space="preserve">consignment_value_total</t>
  </si>
  <si>
    <t xml:space="preserve">consignor_shared_address_count</t>
  </si>
  <si>
    <t xml:space="preserve">consolidated_total_assets</t>
  </si>
  <si>
    <t xml:space="preserve">consolidation_exemption_flag</t>
  </si>
  <si>
    <t xml:space="preserve">consortium_or_multiple_banking_disclosed_flag</t>
  </si>
  <si>
    <t xml:space="preserve">contact_email_normalised</t>
  </si>
  <si>
    <t xml:space="preserve">contact_number_change_count_24m</t>
  </si>
  <si>
    <t xml:space="preserve">Telephone Directory / Telecom Record; GST Registration Certificate (REG-06); Company Website Content</t>
  </si>
  <si>
    <t xml:space="preserve">contact_owner_is_registered_professional</t>
  </si>
  <si>
    <t xml:space="preserve">Derived — cross-entity graph; GST Registration Certificate (REG-06); MCA Company Master Data</t>
  </si>
  <si>
    <t xml:space="preserve">contact_page_address_mismatch</t>
  </si>
  <si>
    <t xml:space="preserve">contact_phone_number_normalised</t>
  </si>
  <si>
    <t xml:space="preserve">contact_used_as_otp_channel</t>
  </si>
  <si>
    <t xml:space="preserve">container_count</t>
  </si>
  <si>
    <t xml:space="preserve">Bill of Lading / Airway Bill; Shipping Bill; Packing List / Commercial Invoice</t>
  </si>
  <si>
    <t xml:space="preserve">container_type_capacity_cbm</t>
  </si>
  <si>
    <t xml:space="preserve">container_type_code</t>
  </si>
  <si>
    <t xml:space="preserve">container_type_payload_kg</t>
  </si>
  <si>
    <t xml:space="preserve">contamination_score</t>
  </si>
  <si>
    <t xml:space="preserve">Derived — cross-entity graph; MCA Struck-Off Company List; ROC Disqualified Director List</t>
  </si>
  <si>
    <t xml:space="preserve">content_similarity_to_other_site</t>
  </si>
  <si>
    <t xml:space="preserve">contingent_liability_disclosed</t>
  </si>
  <si>
    <t xml:space="preserve">contract_dispute_case_count</t>
  </si>
  <si>
    <t xml:space="preserve">control_position_flag</t>
  </si>
  <si>
    <t xml:space="preserve">control_step_waiver_requested_flag</t>
  </si>
  <si>
    <t xml:space="preserve">cooling_off_observed_flag</t>
  </si>
  <si>
    <t xml:space="preserve">copyright_year_lag_years</t>
  </si>
  <si>
    <t xml:space="preserve">Company Website Content; Adverse Media / News Archive</t>
  </si>
  <si>
    <t xml:space="preserve">copyright_year_on_site</t>
  </si>
  <si>
    <t xml:space="preserve">core_amendment_count_reg14_3fy</t>
  </si>
  <si>
    <t xml:space="preserve">corporate_domain_exists</t>
  </si>
  <si>
    <t xml:space="preserve">MCA Company Master Data; GST Registration Certificate (REG-06); AOC-4 / AOC-4 XBRL Financial Statements</t>
  </si>
  <si>
    <t xml:space="preserve">corporate_guarantees_given</t>
  </si>
  <si>
    <t xml:space="preserve">corporate_identity_number</t>
  </si>
  <si>
    <t xml:space="preserve">cost_audit_applicable_flag</t>
  </si>
  <si>
    <t xml:space="preserve">AOC-4 / AOC-4 XBRL Financial Statements; MGT-7 / MGT-7A Annual Return; Board Report</t>
  </si>
  <si>
    <t xml:space="preserve">count_distinct_applicants_on_matched_image</t>
  </si>
  <si>
    <t xml:space="preserve">Bank Account Opening / KYC File; Document Metadata (PDF / Office); Derived — cross-entity graph</t>
  </si>
  <si>
    <t xml:space="preserve">count_distinct_counterparties_sharing_metadata_author</t>
  </si>
  <si>
    <t xml:space="preserve">Document Metadata (PDF / Office); Packing List / Commercial Invoice; Derived — cross-entity graph</t>
  </si>
  <si>
    <t xml:space="preserve">count_distinct_entities_on_matched_stamp</t>
  </si>
  <si>
    <t xml:space="preserve">count_distinct_signatory_names_on_matched_image</t>
  </si>
  <si>
    <t xml:space="preserve">Document Metadata (PDF / Office); Bank Account Opening / KYC File; Derived — cross-entity graph</t>
  </si>
  <si>
    <t xml:space="preserve">count_such_suppliers</t>
  </si>
  <si>
    <t xml:space="preserve">GSTR-2A / 2B; GST Cancellation / Suspension Order</t>
  </si>
  <si>
    <t xml:space="preserve">count_unrelated_vendors_sharing_template</t>
  </si>
  <si>
    <t xml:space="preserve">Packing List / Commercial Invoice; Document Metadata (PDF / Office); Derived — cross-entity graph</t>
  </si>
  <si>
    <t xml:space="preserve">counterparty_churn_years_consecutive</t>
  </si>
  <si>
    <t xml:space="preserve">counterparty_cin</t>
  </si>
  <si>
    <t xml:space="preserve">MGT-7 / MGT-7A Annual Return; Derived — cross-entity graph</t>
  </si>
  <si>
    <t xml:space="preserve">counterparty_concentration_persisted_years</t>
  </si>
  <si>
    <t xml:space="preserve">Customs / ICEGATE Data; Shipping Bill; Bill of Entry</t>
  </si>
  <si>
    <t xml:space="preserve">counterparty_count_scored</t>
  </si>
  <si>
    <t xml:space="preserve">Derived — cross-entity graph; GSTR-2A / 2B; GSTR-1</t>
  </si>
  <si>
    <t xml:space="preserve">counterparty_degree_total</t>
  </si>
  <si>
    <t xml:space="preserve">counterparty_degree_zscore_vs_peers</t>
  </si>
  <si>
    <t xml:space="preserve">counterparty_disclosed_as_related_party_flag</t>
  </si>
  <si>
    <t xml:space="preserve">AOC-4 / AOC-4 XBRL Financial Statements; AOC-2 Related Party Annexure; Trademark / IP Registry</t>
  </si>
  <si>
    <t xml:space="preserve">counterparty_entropy</t>
  </si>
  <si>
    <t xml:space="preserve">counterparty_gstin</t>
  </si>
  <si>
    <t xml:space="preserve">GSTR-1; GSTR-2A / 2B</t>
  </si>
  <si>
    <t xml:space="preserve">counterparty_gstin_concentration</t>
  </si>
  <si>
    <t xml:space="preserve">GSTR-1; E-Invoice IRN Data</t>
  </si>
  <si>
    <t xml:space="preserve">counterparty_incorporation_age_years</t>
  </si>
  <si>
    <t xml:space="preserve">counterparty_returned_income</t>
  </si>
  <si>
    <t xml:space="preserve">counterparty_set_jaccard_across_entities</t>
  </si>
  <si>
    <t xml:space="preserve">counterparty_set_year_over_year_jaccard</t>
  </si>
  <si>
    <t xml:space="preserve">counterparty_shared_director_flag</t>
  </si>
  <si>
    <t xml:space="preserve">counterparty_shares_director_or_address_flag</t>
  </si>
  <si>
    <t xml:space="preserve">counterparty_two_way_flow_flag</t>
  </si>
  <si>
    <t xml:space="preserve">cra4_filed_flag</t>
  </si>
  <si>
    <t xml:space="preserve">creation_burst_window_hours</t>
  </si>
  <si>
    <t xml:space="preserve">Document Metadata (PDF / Office); Packing List / Commercial Invoice; Bank Statement</t>
  </si>
  <si>
    <t xml:space="preserve">creation_lead_tolerance_days</t>
  </si>
  <si>
    <t xml:space="preserve">Document Metadata (PDF / Office); Packing List / Commercial Invoice; E-Way Bill Data</t>
  </si>
  <si>
    <t xml:space="preserve">credit_balance_growth_3fy</t>
  </si>
  <si>
    <t xml:space="preserve">credit_enquiry_count_90d</t>
  </si>
  <si>
    <t xml:space="preserve">credit_facility_count</t>
  </si>
  <si>
    <t xml:space="preserve">credit_ledger_utilisation</t>
  </si>
  <si>
    <t xml:space="preserve">credit_note_count</t>
  </si>
  <si>
    <t xml:space="preserve">credit_note_date</t>
  </si>
  <si>
    <t xml:space="preserve">credit_note_value</t>
  </si>
  <si>
    <t xml:space="preserve">credit_note_value_within_30_days</t>
  </si>
  <si>
    <t xml:space="preserve">credit_period_policy_days</t>
  </si>
  <si>
    <t xml:space="preserve">credit_summation_to_limit_ratio</t>
  </si>
  <si>
    <t xml:space="preserve">cross_entity_settlement_value_share</t>
  </si>
  <si>
    <t xml:space="preserve">Derived — cross-entity graph; Bank Statement; Bank Account Opening / KYC File</t>
  </si>
  <si>
    <t xml:space="preserve">ctr_filed_count</t>
  </si>
  <si>
    <t xml:space="preserve">cumulative_outward_supply_value</t>
  </si>
  <si>
    <t xml:space="preserve">cumulative_trade_value_first_90_days_inr</t>
  </si>
  <si>
    <t xml:space="preserve">DGFT IEC Data; Customs / ICEGATE Data; MCA Company Master Data</t>
  </si>
  <si>
    <t xml:space="preserve">current_period_outward_supply</t>
  </si>
  <si>
    <t xml:space="preserve">current_tax_expense</t>
  </si>
  <si>
    <t xml:space="preserve">customer_count</t>
  </si>
  <si>
    <t xml:space="preserve">Tender / Procurement Portal; AOC-4 / AOC-4 XBRL Financial Statements; Company Website Content</t>
  </si>
  <si>
    <t xml:space="preserve">customer_has_compliance_function_flag</t>
  </si>
  <si>
    <t xml:space="preserve">cwip_ageing_over_3_years_amount</t>
  </si>
  <si>
    <t xml:space="preserve">cycle_aggregate_holding_pct</t>
  </si>
  <si>
    <t xml:space="preserve">cycle_completion_days</t>
  </si>
  <si>
    <t xml:space="preserve">cycle_entity_ids</t>
  </si>
  <si>
    <t xml:space="preserve">cycle_exemption_flag</t>
  </si>
  <si>
    <t xml:space="preserve">cycle_min_node_margin_ratio</t>
  </si>
  <si>
    <t xml:space="preserve">cycle_nodes_shared_control_flag</t>
  </si>
  <si>
    <t xml:space="preserve">cycle_value_closure_ratio</t>
  </si>
  <si>
    <t xml:space="preserve">date_of_birth_match_flag</t>
  </si>
  <si>
    <t xml:space="preserve">days_between_ais_reading_and_declared_date</t>
  </si>
  <si>
    <t xml:space="preserve">days_between_consecutive_invoices_median</t>
  </si>
  <si>
    <t xml:space="preserve">Packing List / Commercial Invoice; GSTR-2A / 2B</t>
  </si>
  <si>
    <t xml:space="preserve">days_between_disbursement_and_onward_transfer</t>
  </si>
  <si>
    <t xml:space="preserve">Bank Statement; Loan Sanction / Facility Letter; AOC-2 Related Party Annexure</t>
  </si>
  <si>
    <t xml:space="preserve">days_between_edd_request_and_withdrawal</t>
  </si>
  <si>
    <t xml:space="preserve">Bank Account Opening / KYC File; Derived — cross-entity graph</t>
  </si>
  <si>
    <t xml:space="preserve">days_between_export_and_reimport</t>
  </si>
  <si>
    <t xml:space="preserve">days_between_iec_issue_and_first_shipment</t>
  </si>
  <si>
    <t xml:space="preserve">days_between_incorporation_and_first_award</t>
  </si>
  <si>
    <t xml:space="preserve">Tender / Procurement Portal; MCA Company Master Data; SPICe+ / INC-32 Incorporation</t>
  </si>
  <si>
    <t xml:space="preserve">days_between_incorporation_and_scheme_qualification</t>
  </si>
  <si>
    <t xml:space="preserve">MCA Company Master Data; SPICe+ / INC-32 Incorporation</t>
  </si>
  <si>
    <t xml:space="preserve">days_between_last_two_address_changes</t>
  </si>
  <si>
    <t xml:space="preserve">days_between_mandate_change_and_surge</t>
  </si>
  <si>
    <t xml:space="preserve">days_between_number_activation_and_registration</t>
  </si>
  <si>
    <t xml:space="preserve">Telephone Directory / Telecom Record; GST Registration Certificate (REG-06)</t>
  </si>
  <si>
    <t xml:space="preserve">days_between_ownership_transfer_and_largest_transaction</t>
  </si>
  <si>
    <t xml:space="preserve">days_from_incorporation_to_first_transfer</t>
  </si>
  <si>
    <t xml:space="preserve">SPICe+ / INC-32 Incorporation; MGT-7 / MGT-7A Annual Return; DIR-12 Director Change</t>
  </si>
  <si>
    <t xml:space="preserve">days_from_incorporation_to_inc20a</t>
  </si>
  <si>
    <t xml:space="preserve">days_past_due</t>
  </si>
  <si>
    <t xml:space="preserve">days_pending_since_receipt</t>
  </si>
  <si>
    <t xml:space="preserve">days_since_export_date</t>
  </si>
  <si>
    <t xml:space="preserve">days_since_last_transaction</t>
  </si>
  <si>
    <t xml:space="preserve">days_to_replacement_dir12</t>
  </si>
  <si>
    <t xml:space="preserve">dcf_valuation_report_present</t>
  </si>
  <si>
    <t xml:space="preserve">deactivated_din_count</t>
  </si>
  <si>
    <t xml:space="preserve">DIR-3 KYC; DIN Master Data; MCA Company Master Data</t>
  </si>
  <si>
    <t xml:space="preserve">deadline_documentary_support_flag</t>
  </si>
  <si>
    <t xml:space="preserve">debt_to_equity_ratio</t>
  </si>
  <si>
    <t xml:space="preserve">declared_cargo_value_inr</t>
  </si>
  <si>
    <t xml:space="preserve">Bill of Entry; Packing List / Commercial Invoice; Bill of Lading / Airway Bill</t>
  </si>
  <si>
    <t xml:space="preserve">declared_cargo_volume_cbm</t>
  </si>
  <si>
    <t xml:space="preserve">declared_consortium_flag</t>
  </si>
  <si>
    <t xml:space="preserve">declared_distance_km</t>
  </si>
  <si>
    <t xml:space="preserve">declared_gross_weight_kg</t>
  </si>
  <si>
    <t xml:space="preserve">declared_group_relationship_flag</t>
  </si>
  <si>
    <t xml:space="preserve">Derived — cross-entity graph; MGT-7 / MGT-7A Annual Return; BEN-1 / BEN-2 Significant Beneficial Owner</t>
  </si>
  <si>
    <t xml:space="preserve">declared_identity_number</t>
  </si>
  <si>
    <t xml:space="preserve">declared_identity_number_differs</t>
  </si>
  <si>
    <t xml:space="preserve">declared_invoice_value_inr</t>
  </si>
  <si>
    <t xml:space="preserve">declared_location_set</t>
  </si>
  <si>
    <t xml:space="preserve">IP &amp; Device Fingerprint Log; GST Registration Certificate (REG-06)</t>
  </si>
  <si>
    <t xml:space="preserve">declared_operations_are_single_state</t>
  </si>
  <si>
    <t xml:space="preserve">declared_place_of_business_state</t>
  </si>
  <si>
    <t xml:space="preserve">declared_port_code</t>
  </si>
  <si>
    <t xml:space="preserve">declared_purchase_value_inr</t>
  </si>
  <si>
    <t xml:space="preserve">declared_quantity_kg</t>
  </si>
  <si>
    <t xml:space="preserve">declared_sale_value_inr</t>
  </si>
  <si>
    <t xml:space="preserve">declared_shipment_value_inr</t>
  </si>
  <si>
    <t xml:space="preserve">declared_shipped_on_board_date</t>
  </si>
  <si>
    <t xml:space="preserve">declared_signatory_name</t>
  </si>
  <si>
    <t xml:space="preserve">deduction_10aa_80iac_claimed</t>
  </si>
  <si>
    <t xml:space="preserve">default_ageing_days</t>
  </si>
  <si>
    <t xml:space="preserve">TDS Returns (24Q / 26Q); Form 26AS; Income Tax Return (ITR-5 / ITR-6)</t>
  </si>
  <si>
    <t xml:space="preserve">deferred_revenue_expenditure</t>
  </si>
  <si>
    <t xml:space="preserve">degrees_of_separation</t>
  </si>
  <si>
    <t xml:space="preserve">Derived — cross-entity graph; Litigation Database; MCA Company Master Data</t>
  </si>
  <si>
    <t xml:space="preserve">denied_entity_list_flag</t>
  </si>
  <si>
    <t xml:space="preserve">DGFT IEC Data; Customs / ICEGATE Data; DIN Master Data</t>
  </si>
  <si>
    <t xml:space="preserve">deposit_branch_code</t>
  </si>
  <si>
    <t xml:space="preserve">deposit_branch_ifsc</t>
  </si>
  <si>
    <t xml:space="preserve">Bank Statement; GST Registration Certificate (REG-06); MCA Company Master Data</t>
  </si>
  <si>
    <t xml:space="preserve">depreciation_claimed_in_itr</t>
  </si>
  <si>
    <t xml:space="preserve">description_similarity_shipping_bill_vs_bol</t>
  </si>
  <si>
    <t xml:space="preserve">Shipping Bill; Bill of Lading / Airway Bill; Packing List / Commercial Invoice</t>
  </si>
  <si>
    <t xml:space="preserve">description_similarity_shipping_bill_vs_invoice</t>
  </si>
  <si>
    <t xml:space="preserve">destination_country_annual_imports_of_hs_code_inr</t>
  </si>
  <si>
    <t xml:space="preserve">Shipping Bill; Customs / ICEGATE Data; Derived — cross-entity graph</t>
  </si>
  <si>
    <t xml:space="preserve">destination_country_code</t>
  </si>
  <si>
    <t xml:space="preserve">destination_country_population</t>
  </si>
  <si>
    <t xml:space="preserve">device_fingerprint_entropy_bits</t>
  </si>
  <si>
    <t xml:space="preserve">IP &amp; Device Fingerprint Log; Derived — cross-entity graph</t>
  </si>
  <si>
    <t xml:space="preserve">device_is_shared_professional_workstation</t>
  </si>
  <si>
    <t xml:space="preserve">din_active_directorship_count</t>
  </si>
  <si>
    <t xml:space="preserve">Derived — cross-entity graph; DIN Master Data; DIR-3 KYC</t>
  </si>
  <si>
    <t xml:space="preserve">din_deactivated_flag</t>
  </si>
  <si>
    <t xml:space="preserve">din_deactivation_duration_days</t>
  </si>
  <si>
    <t xml:space="preserve">din_distinct_nic_2digit_count</t>
  </si>
  <si>
    <t xml:space="preserve">din_distinct_state_count</t>
  </si>
  <si>
    <t xml:space="preserve">din_is_independent_director_registered</t>
  </si>
  <si>
    <t xml:space="preserve">din_remuneration_disclosed_share</t>
  </si>
  <si>
    <t xml:space="preserve">din_status_list</t>
  </si>
  <si>
    <t xml:space="preserve">dir11_resignation_count_3fy</t>
  </si>
  <si>
    <t xml:space="preserve">dir11_resignation_date</t>
  </si>
  <si>
    <t xml:space="preserve">dir11_self_filed_count</t>
  </si>
  <si>
    <t xml:space="preserve">dir12_appointment_count_3fy</t>
  </si>
  <si>
    <t xml:space="preserve">dir12_appointment_date</t>
  </si>
  <si>
    <t xml:space="preserve">dir12_event_count_since_incorporation</t>
  </si>
  <si>
    <t xml:space="preserve">MCA Company Master Data; DIR-12 Director Change; AOC-4 / AOC-4 XBRL Financial Statements</t>
  </si>
  <si>
    <t xml:space="preserve">dir12_filed_count_12m</t>
  </si>
  <si>
    <t xml:space="preserve">dir12_filing_date</t>
  </si>
  <si>
    <t xml:space="preserve">dir3_kyc_status</t>
  </si>
  <si>
    <t xml:space="preserve">DIN Master Data; DIR-3 KYC; Income Tax Return (ITR-5 / ITR-6)</t>
  </si>
  <si>
    <t xml:space="preserve">direct_route_distance_nm</t>
  </si>
  <si>
    <t xml:space="preserve">directed_cycle_detected</t>
  </si>
  <si>
    <t xml:space="preserve">director_age_years</t>
  </si>
  <si>
    <t xml:space="preserve">DIN Master Data; DIR-3 KYC; AOC-4 / AOC-4 XBRL Financial Statements</t>
  </si>
  <si>
    <t xml:space="preserve">director_change_count_36m</t>
  </si>
  <si>
    <t xml:space="preserve">director_common_with_defaulting_entity_flag</t>
  </si>
  <si>
    <t xml:space="preserve">director_declaration_not_borrowed_flag</t>
  </si>
  <si>
    <t xml:space="preserve">director_din_linked_enforcement_count</t>
  </si>
  <si>
    <t xml:space="preserve">director_din_on_vanishing_company_board_count</t>
  </si>
  <si>
    <t xml:space="preserve">director_in_roc_disqualified_list_flag</t>
  </si>
  <si>
    <t xml:space="preserve">MCA Struck-Off Company List; ROC Disqualified Director List; Derived — cross-entity graph</t>
  </si>
  <si>
    <t xml:space="preserve">director_median_tenure_days</t>
  </si>
  <si>
    <t xml:space="preserve">director_name_list</t>
  </si>
  <si>
    <t xml:space="preserve">director_overlap_flag</t>
  </si>
  <si>
    <t xml:space="preserve">director_overlap_with_struck_off_entity</t>
  </si>
  <si>
    <t xml:space="preserve">MCA Struck-Off Company List; INC-22 Registered Office; Derived — cross-entity graph</t>
  </si>
  <si>
    <t xml:space="preserve">director_pair_shared_board_count</t>
  </si>
  <si>
    <t xml:space="preserve">Derived — cross-entity graph; DIN Master Data; MGT-7 / MGT-7A Annual Return</t>
  </si>
  <si>
    <t xml:space="preserve">director_personal_email_match</t>
  </si>
  <si>
    <t xml:space="preserve">MCA Company Master Data; Email Header / MX Record; GST Registration Certificate (REG-06)</t>
  </si>
  <si>
    <t xml:space="preserve">director_remuneration_fy</t>
  </si>
  <si>
    <t xml:space="preserve">director_residential_address_normalised</t>
  </si>
  <si>
    <t xml:space="preserve">director_resignation_count_12m</t>
  </si>
  <si>
    <t xml:space="preserve">STK-2 Strike Off Application; MCA Struck-Off Company List; AOC-4 / AOC-4 XBRL Financial Statements</t>
  </si>
  <si>
    <t xml:space="preserve">director_resignation_count_90d</t>
  </si>
  <si>
    <t xml:space="preserve">director_set_mca</t>
  </si>
  <si>
    <t xml:space="preserve">director_set_other_source</t>
  </si>
  <si>
    <t xml:space="preserve">director_shareholding_pct_of_young_or_old</t>
  </si>
  <si>
    <t xml:space="preserve">director_wilful_defaulter_overlap_count</t>
  </si>
  <si>
    <t xml:space="preserve">directors_remuneration</t>
  </si>
  <si>
    <t xml:space="preserve">directors_sharing_residential_address</t>
  </si>
  <si>
    <t xml:space="preserve">DIR-3 KYC; DIR-12 Director Change; MGT-7 / MGT-7A Annual Return; AOC-2 Related Party Annexure</t>
  </si>
  <si>
    <t xml:space="preserve">directors_with_10plus_directorships</t>
  </si>
  <si>
    <t xml:space="preserve">DIN Master Data; MCA Company Master Data; DIR-12 Director Change</t>
  </si>
  <si>
    <t xml:space="preserve">disclosed_account_ifsc_set</t>
  </si>
  <si>
    <t xml:space="preserve">disclosed_bank_and_deposit_balance</t>
  </si>
  <si>
    <t xml:space="preserve">disclosed_group_relationship_share</t>
  </si>
  <si>
    <t xml:space="preserve">dispersal_beneficiary_count</t>
  </si>
  <si>
    <t xml:space="preserve">dispersal_value</t>
  </si>
  <si>
    <t xml:space="preserve">dispersal_window_hours</t>
  </si>
  <si>
    <t xml:space="preserve">disposal_counterparty_related_flag</t>
  </si>
  <si>
    <t xml:space="preserve">dispute_count_per_inr_crore_revenue</t>
  </si>
  <si>
    <t xml:space="preserve">dispute_subject_category</t>
  </si>
  <si>
    <t xml:space="preserve">disqualification_end_date</t>
  </si>
  <si>
    <t xml:space="preserve">disqualification_ground</t>
  </si>
  <si>
    <t xml:space="preserve">disqualification_period_end_date</t>
  </si>
  <si>
    <t xml:space="preserve">disqualification_source_cin</t>
  </si>
  <si>
    <t xml:space="preserve">disqualification_start_date</t>
  </si>
  <si>
    <t xml:space="preserve">disqualification_status</t>
  </si>
  <si>
    <t xml:space="preserve">disqualified_director_is_serving_flag</t>
  </si>
  <si>
    <t xml:space="preserve">disqualifying_company_struck_off_flag</t>
  </si>
  <si>
    <t xml:space="preserve">distance_to_threshold_pct</t>
  </si>
  <si>
    <t xml:space="preserve">distinct_beneficiary_count</t>
  </si>
  <si>
    <t xml:space="preserve">distinct_complainant_count</t>
  </si>
  <si>
    <t xml:space="preserve">distinct_counterparty_pairs</t>
  </si>
  <si>
    <t xml:space="preserve">Bank Statement; GSTR-1; Form 26AS</t>
  </si>
  <si>
    <t xml:space="preserve">distinct_deposit_city_count_same_day</t>
  </si>
  <si>
    <t xml:space="preserve">distinct_entities_filing_from_ip</t>
  </si>
  <si>
    <t xml:space="preserve">distinct_entities_on_device_fingerprint</t>
  </si>
  <si>
    <t xml:space="preserve">distinct_entities_sharing_contact</t>
  </si>
  <si>
    <t xml:space="preserve">distinct_entities_signed_by_dsc_serial</t>
  </si>
  <si>
    <t xml:space="preserve">Signatory Details / DSC Register; MCA Company Master Data; Derived — cross-entity graph</t>
  </si>
  <si>
    <t xml:space="preserve">distinct_financing_bank_count_for_document</t>
  </si>
  <si>
    <t xml:space="preserve">distinct_fy_covered_on_that_date</t>
  </si>
  <si>
    <t xml:space="preserve">distinct_hsn4_count</t>
  </si>
  <si>
    <t xml:space="preserve">GSTR-1; MCA Company Master Data</t>
  </si>
  <si>
    <t xml:space="preserve">distinct_invoice_date_count_in_burst</t>
  </si>
  <si>
    <t xml:space="preserve">distinct_lender_count_90d</t>
  </si>
  <si>
    <t xml:space="preserve">distinct_monthly_values</t>
  </si>
  <si>
    <t xml:space="preserve">GSTR-3B; GSTR-1</t>
  </si>
  <si>
    <t xml:space="preserve">distinct_overseas_counterparty_count</t>
  </si>
  <si>
    <t xml:space="preserve">distinct_pan_count_at_address</t>
  </si>
  <si>
    <t xml:space="preserve">distinct_payee_count</t>
  </si>
  <si>
    <t xml:space="preserve">distinct_payer_payee_flag</t>
  </si>
  <si>
    <t xml:space="preserve">distinct_plaintiff_count</t>
  </si>
  <si>
    <t xml:space="preserve">distinct_representative_count</t>
  </si>
  <si>
    <t xml:space="preserve">distinct_resolution_dates</t>
  </si>
  <si>
    <t xml:space="preserve">distinct_session_geo_count</t>
  </si>
  <si>
    <t xml:space="preserve">distinct_state_gstin_count</t>
  </si>
  <si>
    <t xml:space="preserve">distinct_trade_party_count</t>
  </si>
  <si>
    <t xml:space="preserve">distinct_upi_payer_count</t>
  </si>
  <si>
    <t xml:space="preserve">distinct_vehicle_count</t>
  </si>
  <si>
    <t xml:space="preserve">doc_metadata_author</t>
  </si>
  <si>
    <t xml:space="preserve">doc_metadata_company</t>
  </si>
  <si>
    <t xml:space="preserve">doc_metadata_modification_datetime</t>
  </si>
  <si>
    <t xml:space="preserve">doc_metadata_producer</t>
  </si>
  <si>
    <t xml:space="preserve">doc_metadata_producer_licence_id</t>
  </si>
  <si>
    <t xml:space="preserve">document_author_metadata</t>
  </si>
  <si>
    <t xml:space="preserve">document_claimed_as_scan</t>
  </si>
  <si>
    <t xml:space="preserve">document_class</t>
  </si>
  <si>
    <t xml:space="preserve">document_class_mix</t>
  </si>
  <si>
    <t xml:space="preserve">Document Metadata (PDF / Office); Bank Account Opening / KYC File</t>
  </si>
  <si>
    <t xml:space="preserve">document_created_after_request_flag</t>
  </si>
  <si>
    <t xml:space="preserve">Bank Account Opening / KYC File; Document Metadata (PDF / Office)</t>
  </si>
  <si>
    <t xml:space="preserve">document_is_single_pass_render</t>
  </si>
  <si>
    <t xml:space="preserve">document_metadata_author</t>
  </si>
  <si>
    <t xml:space="preserve">document_request_round_count</t>
  </si>
  <si>
    <t xml:space="preserve">document_type</t>
  </si>
  <si>
    <t xml:space="preserve">document_upload_timestamp</t>
  </si>
  <si>
    <t xml:space="preserve">documentary_support_lag_days</t>
  </si>
  <si>
    <t xml:space="preserve">documents_are_system_generated_batch</t>
  </si>
  <si>
    <t xml:space="preserve">documents_in_creation_burst</t>
  </si>
  <si>
    <t xml:space="preserve">documents_in_submission_batch</t>
  </si>
  <si>
    <t xml:space="preserve">documents_sourced_from_single_archive</t>
  </si>
  <si>
    <t xml:space="preserve">domain_age_days</t>
  </si>
  <si>
    <t xml:space="preserve">domain_mx_provider</t>
  </si>
  <si>
    <t xml:space="preserve">Email Header / MX Record; Packing List / Commercial Invoice</t>
  </si>
  <si>
    <t xml:space="preserve">domain_mx_record_count</t>
  </si>
  <si>
    <t xml:space="preserve">domain_privacy_protected_flag</t>
  </si>
  <si>
    <t xml:space="preserve">Website WHOIS / Domain Record; GSTR-1; MCA Company Master Data</t>
  </si>
  <si>
    <t xml:space="preserve">domain_registrar</t>
  </si>
  <si>
    <t xml:space="preserve">domain_resolves</t>
  </si>
  <si>
    <t xml:space="preserve">domain_used_as_contact_on_invoices</t>
  </si>
  <si>
    <t xml:space="preserve">dominant_session_geo</t>
  </si>
  <si>
    <t xml:space="preserve">dormancy_days_before_reactivation</t>
  </si>
  <si>
    <t xml:space="preserve">Bank Statement; MCA Company Master Data</t>
  </si>
  <si>
    <t xml:space="preserve">dormant_years_before_restoration</t>
  </si>
  <si>
    <t xml:space="preserve">NCLT / NCLAT Orders; MCA Company Master Data; DIR-12 Director Change</t>
  </si>
  <si>
    <t xml:space="preserve">dormant_years_count</t>
  </si>
  <si>
    <t xml:space="preserve">AOC-4 / AOC-4 XBRL Financial Statements; GSTR-3B; MGT-7 / MGT-7A Annual Return</t>
  </si>
  <si>
    <t xml:space="preserve">dpt3_filed_date</t>
  </si>
  <si>
    <t xml:space="preserve">drawback_scheme_code</t>
  </si>
  <si>
    <t xml:space="preserve">Shipping Bill; Customs / ICEGATE Data; GSTR-1</t>
  </si>
  <si>
    <t xml:space="preserve">drawing_power_value</t>
  </si>
  <si>
    <t xml:space="preserve">drc01_issue_date</t>
  </si>
  <si>
    <t xml:space="preserve">GST Cancellation / Suspension Order; GSTR-2A / 2B; DGFT IEC Data</t>
  </si>
  <si>
    <t xml:space="preserve">dri_customs_case_flag</t>
  </si>
  <si>
    <t xml:space="preserve">dsc_certificate_serial</t>
  </si>
  <si>
    <t xml:space="preserve">dsc_holder_entity_reuse_count</t>
  </si>
  <si>
    <t xml:space="preserve">SPICe+ / INC-32 Incorporation; Signatory Details / DSC Register; DIR-12 Director Change</t>
  </si>
  <si>
    <t xml:space="preserve">dsc_holder_is_director_of_all</t>
  </si>
  <si>
    <t xml:space="preserve">Derived — cross-entity graph; Signatory Details / DSC Register; IP &amp; Device Fingerprint Log</t>
  </si>
  <si>
    <t xml:space="preserve">dsc_serial_entity_count</t>
  </si>
  <si>
    <t xml:space="preserve">dsc_serial_number</t>
  </si>
  <si>
    <t xml:space="preserve">dsri_prior_fy</t>
  </si>
  <si>
    <t xml:space="preserve">duplicate_amounts_across_counterparties</t>
  </si>
  <si>
    <t xml:space="preserve">duplicate_bank_account_across_employees</t>
  </si>
  <si>
    <t xml:space="preserve">Payroll Register; EPFO ECR Filing; Bank Statement</t>
  </si>
  <si>
    <t xml:space="preserve">duplicate_source_domain</t>
  </si>
  <si>
    <t xml:space="preserve">duplicate_source_is_unrelated_entity</t>
  </si>
  <si>
    <t xml:space="preserve">duplicate_utr_count</t>
  </si>
  <si>
    <t xml:space="preserve">duty_rate_declared_percent</t>
  </si>
  <si>
    <t xml:space="preserve">duty_rate_description_implied_percent</t>
  </si>
  <si>
    <t xml:space="preserve">duty_rate_percent</t>
  </si>
  <si>
    <t xml:space="preserve">e_invoice_applicability_flag</t>
  </si>
  <si>
    <t xml:space="preserve">earliest_ct_log_entry_date</t>
  </si>
  <si>
    <t xml:space="preserve">earliest_invoice_date_bearing_domain</t>
  </si>
  <si>
    <t xml:space="preserve">ebit</t>
  </si>
  <si>
    <t xml:space="preserve">ebitda</t>
  </si>
  <si>
    <t xml:space="preserve">ecommerce_supply_flag</t>
  </si>
  <si>
    <t xml:space="preserve">ecr_member_count_avg_12m</t>
  </si>
  <si>
    <t xml:space="preserve">EPFO ECR Filing; AOC-4 / AOC-4 XBRL Financial Statements; ESIC Contribution Record</t>
  </si>
  <si>
    <t xml:space="preserve">ecr_wage_total_12m</t>
  </si>
  <si>
    <t xml:space="preserve">ecr_zero_member_months</t>
  </si>
  <si>
    <t xml:space="preserve">ed_pmla_action_flag</t>
  </si>
  <si>
    <t xml:space="preserve">edd_item_requested</t>
  </si>
  <si>
    <t xml:space="preserve">edd_request_flag</t>
  </si>
  <si>
    <t xml:space="preserve">edpms_outstanding_shipping_bill_count</t>
  </si>
  <si>
    <t xml:space="preserve">edpms_outstanding_value_inr</t>
  </si>
  <si>
    <t xml:space="preserve">egm_filed_flag</t>
  </si>
  <si>
    <t xml:space="preserve">einvoice_applicable</t>
  </si>
  <si>
    <t xml:space="preserve">GSTR-9 / 9C Annual Return; GSTR-1; E-Invoice IRN Data</t>
  </si>
  <si>
    <t xml:space="preserve">einvoice_irn_timestamp</t>
  </si>
  <si>
    <t xml:space="preserve">Derived — cross-entity graph; GSTR-1</t>
  </si>
  <si>
    <t xml:space="preserve">einvoice_irn_timestamp_distribution</t>
  </si>
  <si>
    <t xml:space="preserve">einvoice_irn_value</t>
  </si>
  <si>
    <t xml:space="preserve">electricity_connection_present</t>
  </si>
  <si>
    <t xml:space="preserve">electricity_tariff_category</t>
  </si>
  <si>
    <t xml:space="preserve">email_bounce_history_count</t>
  </si>
  <si>
    <t xml:space="preserve">email_domain_creation_date</t>
  </si>
  <si>
    <t xml:space="preserve">email_domain_is_free_provider</t>
  </si>
  <si>
    <t xml:space="preserve">email_domain_match_flag</t>
  </si>
  <si>
    <t xml:space="preserve">email_is_professional_firm_flag</t>
  </si>
  <si>
    <t xml:space="preserve">email_local_part_family_degree</t>
  </si>
  <si>
    <t xml:space="preserve">email_node_degree_entities</t>
  </si>
  <si>
    <t xml:space="preserve">email_shared_with_other_entities</t>
  </si>
  <si>
    <t xml:space="preserve">email_shared_with_other_entities_count</t>
  </si>
  <si>
    <t xml:space="preserve">embedded_font_set_hash</t>
  </si>
  <si>
    <t xml:space="preserve">embedded_font_subset_count</t>
  </si>
  <si>
    <t xml:space="preserve">emphasis_of_matter_present</t>
  </si>
  <si>
    <t xml:space="preserve">employee_benefit_expense_fy</t>
  </si>
  <si>
    <t xml:space="preserve">employee_benefit_expense_growth</t>
  </si>
  <si>
    <t xml:space="preserve">employee_count_epfo_growth</t>
  </si>
  <si>
    <t xml:space="preserve">employee_pan_valid_count</t>
  </si>
  <si>
    <t xml:space="preserve">employee_profile_creation_date_clustering</t>
  </si>
  <si>
    <t xml:space="preserve">employees_shared_with_other_entities_count</t>
  </si>
  <si>
    <t xml:space="preserve">employees_with_no_external_trace</t>
  </si>
  <si>
    <t xml:space="preserve">end_use_stated_in_offer_document</t>
  </si>
  <si>
    <t xml:space="preserve">enforcement_action_date</t>
  </si>
  <si>
    <t xml:space="preserve">enforcement_agency</t>
  </si>
  <si>
    <t xml:space="preserve">enforcement_case_count_open</t>
  </si>
  <si>
    <t xml:space="preserve">entities_at_address_incorporated_same_year</t>
  </si>
  <si>
    <t xml:space="preserve">entities_at_address_struck_off_count</t>
  </si>
  <si>
    <t xml:space="preserve">entities_at_registered_office_active</t>
  </si>
  <si>
    <t xml:space="preserve">entities_certified_by_same_professional</t>
  </si>
  <si>
    <t xml:space="preserve">entities_declared_group_flag</t>
  </si>
  <si>
    <t xml:space="preserve">entities_in_overlap_cluster</t>
  </si>
  <si>
    <t xml:space="preserve">entities_registration_date_spread_days</t>
  </si>
  <si>
    <t xml:space="preserve">entities_sharing_professional_address</t>
  </si>
  <si>
    <t xml:space="preserve">entities_struck_off_share</t>
  </si>
  <si>
    <t xml:space="preserve">entities_with_same_bank_signatory_count</t>
  </si>
  <si>
    <t xml:space="preserve">Bank Account Opening / KYC File; IP &amp; Device Fingerprint Log; Derived — cross-entity graph</t>
  </si>
  <si>
    <t xml:space="preserve">entities_with_same_signatory_count</t>
  </si>
  <si>
    <t xml:space="preserve">entity_claims_active_operations</t>
  </si>
  <si>
    <t xml:space="preserve">entity_continued_activity_after_bar_flag</t>
  </si>
  <si>
    <t xml:space="preserve">entity_government_revenue_share</t>
  </si>
  <si>
    <t xml:space="preserve">Sanctions &amp; PEP List; BEN-1 / BEN-2 Significant Beneficial Owner; MGT-7 / MGT-7A Annual Return</t>
  </si>
  <si>
    <t xml:space="preserve">entity_gross_margin_ratio</t>
  </si>
  <si>
    <t xml:space="preserve">entity_incorporation_age_days</t>
  </si>
  <si>
    <t xml:space="preserve">entity_legal_name</t>
  </si>
  <si>
    <t xml:space="preserve">entity_level_flag</t>
  </si>
  <si>
    <t xml:space="preserve">entity_party_direction</t>
  </si>
  <si>
    <t xml:space="preserve">entity_registered_state</t>
  </si>
  <si>
    <t xml:space="preserve">entity_resolution_confidence</t>
  </si>
  <si>
    <t xml:space="preserve">entity_retained_margin_ratio</t>
  </si>
  <si>
    <t xml:space="preserve">Derived — cross-entity graph; Bank Statement; GSTR-1</t>
  </si>
  <si>
    <t xml:space="preserve">entity_size_category</t>
  </si>
  <si>
    <t xml:space="preserve">entity_turnover_band</t>
  </si>
  <si>
    <t xml:space="preserve">entity_was_searched_person_flag</t>
  </si>
  <si>
    <t xml:space="preserve">entry_source_manual_flag</t>
  </si>
  <si>
    <t xml:space="preserve">epfo_contributing_employee_count</t>
  </si>
  <si>
    <t xml:space="preserve">epfo_contributing_employees</t>
  </si>
  <si>
    <t xml:space="preserve">epfo_employee_count</t>
  </si>
  <si>
    <t xml:space="preserve">epfo_employment_record_flag</t>
  </si>
  <si>
    <t xml:space="preserve">epfo_member_count_in_state</t>
  </si>
  <si>
    <t xml:space="preserve">epfo_member_count_max_12m</t>
  </si>
  <si>
    <t xml:space="preserve">EPFO ECR Filing; AOC-4 / AOC-4 XBRL Financial Statements</t>
  </si>
  <si>
    <t xml:space="preserve">epfo_remitted_amount_12m</t>
  </si>
  <si>
    <t xml:space="preserve">epfo_total_wages_12m</t>
  </si>
  <si>
    <t xml:space="preserve">epfo_wage_per_member</t>
  </si>
  <si>
    <t xml:space="preserve">Payroll Register; EPFO ECR Filing; TDS Returns (24Q / 26Q)</t>
  </si>
  <si>
    <t xml:space="preserve">escalation_bypasses_process_flag</t>
  </si>
  <si>
    <t xml:space="preserve">escalation_channel</t>
  </si>
  <si>
    <t xml:space="preserve">escalation_event_count</t>
  </si>
  <si>
    <t xml:space="preserve">esic_arrear_amount</t>
  </si>
  <si>
    <t xml:space="preserve">esic_contribution_amount_12m</t>
  </si>
  <si>
    <t xml:space="preserve">ESIC Contribution Record; EPFO ECR Filing; AOC-4 / AOC-4 XBRL Financial Statements</t>
  </si>
  <si>
    <t xml:space="preserve">esic_registered</t>
  </si>
  <si>
    <t xml:space="preserve">esic_registration_flag</t>
  </si>
  <si>
    <t xml:space="preserve">establishment_in_implemented_area</t>
  </si>
  <si>
    <t xml:space="preserve">establishment_status_epfo</t>
  </si>
  <si>
    <t xml:space="preserve">event_date</t>
  </si>
  <si>
    <t xml:space="preserve">event_type</t>
  </si>
  <si>
    <t xml:space="preserve">evidence_source_date</t>
  </si>
  <si>
    <t xml:space="preserve">eway_bill_count_for_counterparty</t>
  </si>
  <si>
    <t xml:space="preserve">eway_bill_count_post_status</t>
  </si>
  <si>
    <t xml:space="preserve">eway_bill_dispatch_address_count</t>
  </si>
  <si>
    <t xml:space="preserve">eway_bill_transporter_records</t>
  </si>
  <si>
    <t xml:space="preserve">ewb_cancelled_value</t>
  </si>
  <si>
    <t xml:space="preserve">ewb_count_per_window</t>
  </si>
  <si>
    <t xml:space="preserve">ewb_covered_supply_value</t>
  </si>
  <si>
    <t xml:space="preserve">ewb_generated_flag</t>
  </si>
  <si>
    <t xml:space="preserve">ewb_generation_timestamp</t>
  </si>
  <si>
    <t xml:space="preserve">ewb_origin_state_distribution</t>
  </si>
  <si>
    <t xml:space="preserve">ewb_without_partb_count</t>
  </si>
  <si>
    <t xml:space="preserve">exact_duplicate_amount_share</t>
  </si>
  <si>
    <t xml:space="preserve">excess_digit_share_high_digits</t>
  </si>
  <si>
    <t xml:space="preserve">exempt_and_export_supply</t>
  </si>
  <si>
    <t xml:space="preserve">exempt_supply_receipts</t>
  </si>
  <si>
    <t xml:space="preserve">exempt_supply_value</t>
  </si>
  <si>
    <t xml:space="preserve">exempt_supply_value_fy</t>
  </si>
  <si>
    <t xml:space="preserve">exempt_turnover</t>
  </si>
  <si>
    <t xml:space="preserve">exif_scanner_make</t>
  </si>
  <si>
    <t xml:space="preserve">expected_credit_loss_model_flag</t>
  </si>
  <si>
    <t xml:space="preserve">explanation_change_after_rejection_flag</t>
  </si>
  <si>
    <t xml:space="preserve">explanation_mutually_inconsistent_flag</t>
  </si>
  <si>
    <t xml:space="preserve">export_destination_country_code</t>
  </si>
  <si>
    <t xml:space="preserve">export_gross_margin_percent</t>
  </si>
  <si>
    <t xml:space="preserve">Shipping Bill; Transfer Pricing Report (Form 3CEB); AOC-2 Related Party Annexure</t>
  </si>
  <si>
    <t xml:space="preserve">export_revenue_share</t>
  </si>
  <si>
    <t xml:space="preserve">export_turnover</t>
  </si>
  <si>
    <t xml:space="preserve">export_turnover_fy</t>
  </si>
  <si>
    <t xml:space="preserve">export_turnover_gstr1_table6a</t>
  </si>
  <si>
    <t xml:space="preserve">export_value_to_country_inr</t>
  </si>
  <si>
    <t xml:space="preserve">export_value_under_lut</t>
  </si>
  <si>
    <t xml:space="preserve">exporter_status</t>
  </si>
  <si>
    <t xml:space="preserve">extension_count</t>
  </si>
  <si>
    <t xml:space="preserve">extension_or_writeoff_approval_flag</t>
  </si>
  <si>
    <t xml:space="preserve">face_embedding_match_different_name</t>
  </si>
  <si>
    <t xml:space="preserve">face_embedding_vector</t>
  </si>
  <si>
    <t xml:space="preserve">face_match_confidence</t>
  </si>
  <si>
    <t xml:space="preserve">face_value_per_share</t>
  </si>
  <si>
    <t xml:space="preserve">MGT-7 / MGT-7A Annual Return; AOC-4 / AOC-4 XBRL Financial Statements</t>
  </si>
  <si>
    <t xml:space="preserve">facility_purpose_code</t>
  </si>
  <si>
    <t xml:space="preserve">fanout_event_count</t>
  </si>
  <si>
    <t xml:space="preserve">fastag_toll_match_flag</t>
  </si>
  <si>
    <t xml:space="preserve">fdi_route</t>
  </si>
  <si>
    <t xml:space="preserve">MGT-7 / MGT-7A Annual Return; BEN-1 / BEN-2 Significant Beneficial Owner; SWIFT / Wire Messages</t>
  </si>
  <si>
    <t xml:space="preserve">field_baseline_offset_pt</t>
  </si>
  <si>
    <t xml:space="preserve">field_class</t>
  </si>
  <si>
    <t xml:space="preserve">field_font_name</t>
  </si>
  <si>
    <t xml:space="preserve">field_kerning_variance</t>
  </si>
  <si>
    <t xml:space="preserve">field_value_text_layer</t>
  </si>
  <si>
    <t xml:space="preserve">Document Metadata (PDF / Office); Bank Statement; Packing List / Commercial Invoice</t>
  </si>
  <si>
    <t xml:space="preserve">field_value_visual_ocr</t>
  </si>
  <si>
    <t xml:space="preserve">file_received_datetime</t>
  </si>
  <si>
    <t xml:space="preserve">filer_is_registered_professional_or_gsp</t>
  </si>
  <si>
    <t xml:space="preserve">filing_ip_address_hash</t>
  </si>
  <si>
    <t xml:space="preserve">filing_ip_entity_count</t>
  </si>
  <si>
    <t xml:space="preserve">filing_ip_is_professional_office_flag</t>
  </si>
  <si>
    <t xml:space="preserve">filing_source_asn</t>
  </si>
  <si>
    <t xml:space="preserve">filing_source_ip</t>
  </si>
  <si>
    <t xml:space="preserve">filing_source_ip_geolocation</t>
  </si>
  <si>
    <t xml:space="preserve">filing_timestamp</t>
  </si>
  <si>
    <t xml:space="preserve">filing_year_gap_days</t>
  </si>
  <si>
    <t xml:space="preserve">Udyam / MSME Registration; AOC-4 / AOC-4 XBRL Financial Statements; GSTR-9 / 9C Annual Return</t>
  </si>
  <si>
    <t xml:space="preserve">filings_same_ip_same_day_count</t>
  </si>
  <si>
    <t xml:space="preserve">filings_within_60d_after_roc_notice_count</t>
  </si>
  <si>
    <t xml:space="preserve">finance_cost</t>
  </si>
  <si>
    <t xml:space="preserve">financed_amount_total_inr</t>
  </si>
  <si>
    <t xml:space="preserve">financial_year_end_date</t>
  </si>
  <si>
    <t xml:space="preserve">first_award_date</t>
  </si>
  <si>
    <t xml:space="preserve">first_award_value</t>
  </si>
  <si>
    <t xml:space="preserve">first_bank_account_opening_date</t>
  </si>
  <si>
    <t xml:space="preserve">first_large_invoice_date</t>
  </si>
  <si>
    <t xml:space="preserve">fixed_asset_additions_during_fy</t>
  </si>
  <si>
    <t xml:space="preserve">fixed_asset_disposals_during_fy</t>
  </si>
  <si>
    <t xml:space="preserve">fixed_asset_gross_block</t>
  </si>
  <si>
    <t xml:space="preserve">fixed_asset_growth</t>
  </si>
  <si>
    <t xml:space="preserve">fixed_assets_gross_inr</t>
  </si>
  <si>
    <t xml:space="preserve">fixed_assets_growth</t>
  </si>
  <si>
    <t xml:space="preserve">fixed_assets_value</t>
  </si>
  <si>
    <t xml:space="preserve">fla_return_filed_flag</t>
  </si>
  <si>
    <t xml:space="preserve">PAS-3 Return of Allotment; MGT-7 / MGT-7A Annual Return; SWIFT / Wire Messages</t>
  </si>
  <si>
    <t xml:space="preserve">flagged_entity_severity_weight</t>
  </si>
  <si>
    <t xml:space="preserve">flagged_ewb_count</t>
  </si>
  <si>
    <t xml:space="preserve">flagged_link_active_at_event</t>
  </si>
  <si>
    <t xml:space="preserve">flagged_link_type</t>
  </si>
  <si>
    <t xml:space="preserve">flagged_neighbour_count</t>
  </si>
  <si>
    <t xml:space="preserve">flagged_supplier_gstin_status_share</t>
  </si>
  <si>
    <t xml:space="preserve">fob_export_value_inr</t>
  </si>
  <si>
    <t xml:space="preserve">foreign_inflow_amount</t>
  </si>
  <si>
    <t xml:space="preserve">foreign_ip_session_count</t>
  </si>
  <si>
    <t xml:space="preserve">foreign_shareholder_country</t>
  </si>
  <si>
    <t xml:space="preserve">form15ca_15cb_missing_flag</t>
  </si>
  <si>
    <t xml:space="preserve">SWIFT / Wire Messages; Bank Statement; AOC-4 / AOC-4 XBRL Financial Statements</t>
  </si>
  <si>
    <t xml:space="preserve">form26as_total_credit_fy</t>
  </si>
  <si>
    <t xml:space="preserve">Income Tax Return (ITR-5 / ITR-6); Form 26AS; PAN Master Data</t>
  </si>
  <si>
    <t xml:space="preserve">form3cd_filed_flag</t>
  </si>
  <si>
    <t xml:space="preserve">form_15ca_15cb_reference</t>
  </si>
  <si>
    <t xml:space="preserve">form_26as_gross_receipts</t>
  </si>
  <si>
    <t xml:space="preserve">form_3cd_clause23_value</t>
  </si>
  <si>
    <t xml:space="preserve">form_3ceb_method_used</t>
  </si>
  <si>
    <t xml:space="preserve">former_name_list</t>
  </si>
  <si>
    <t xml:space="preserve">fraud_account_classification_flag</t>
  </si>
  <si>
    <t xml:space="preserve">fraud_amount_reported</t>
  </si>
  <si>
    <t xml:space="preserve">fraud_nature_description</t>
  </si>
  <si>
    <t xml:space="preserve">free_webmail_used_on_filing_count</t>
  </si>
  <si>
    <t xml:space="preserve">freight_and_vehicle_hire_expense</t>
  </si>
  <si>
    <t xml:space="preserve">funds_raised_during_fy</t>
  </si>
  <si>
    <t xml:space="preserve">funds_routed_out_within_days</t>
  </si>
  <si>
    <t xml:space="preserve">Income Tax Return (ITR-5 / ITR-6); Bank Statement; PAS-3 Return of Allotment</t>
  </si>
  <si>
    <t xml:space="preserve">funnel_cycle_days</t>
  </si>
  <si>
    <t xml:space="preserve">generation_ip_address</t>
  </si>
  <si>
    <t xml:space="preserve">generator_gstin</t>
  </si>
  <si>
    <t xml:space="preserve">generic_narration_value</t>
  </si>
  <si>
    <t xml:space="preserve">geo_distance_km_median</t>
  </si>
  <si>
    <t xml:space="preserve">geotag_distance_from_registered_office_km</t>
  </si>
  <si>
    <t xml:space="preserve">geotag_latitude</t>
  </si>
  <si>
    <t xml:space="preserve">geotag_longitude</t>
  </si>
  <si>
    <t xml:space="preserve">going_concern_material_uncertainty_flag</t>
  </si>
  <si>
    <t xml:space="preserve">going_concern_note_present</t>
  </si>
  <si>
    <t xml:space="preserve">goods_description_bol</t>
  </si>
  <si>
    <t xml:space="preserve">goods_description_invoice</t>
  </si>
  <si>
    <t xml:space="preserve">goods_description_shipping_bill</t>
  </si>
  <si>
    <t xml:space="preserve">goods_description_text</t>
  </si>
  <si>
    <t xml:space="preserve">goods_destination_country_code</t>
  </si>
  <si>
    <t xml:space="preserve">goods_exported_value_inr</t>
  </si>
  <si>
    <t xml:space="preserve">goods_origin_country_code</t>
  </si>
  <si>
    <t xml:space="preserve">goods_outward_supply_value</t>
  </si>
  <si>
    <t xml:space="preserve">goods_returned_value_inr</t>
  </si>
  <si>
    <t xml:space="preserve">goods_seized_value</t>
  </si>
  <si>
    <t xml:space="preserve">goods_supply_value_above_ewb_threshold</t>
  </si>
  <si>
    <t xml:space="preserve">goods_turnover_volume_units</t>
  </si>
  <si>
    <t xml:space="preserve">goodwill</t>
  </si>
  <si>
    <t xml:space="preserve">government_contract_revenue_share</t>
  </si>
  <si>
    <t xml:space="preserve">gross_block_plant_machinery</t>
  </si>
  <si>
    <t xml:space="preserve">Shops &amp; Establishment Licence; Udyam / MSME Registration; AOC-4 / AOC-4 XBRL Financial Statements</t>
  </si>
  <si>
    <t xml:space="preserve">gross_margin_coefficient_of_variation</t>
  </si>
  <si>
    <t xml:space="preserve">AOC-4 / AOC-4 XBRL Financial Statements; Derived — cross-entity graph</t>
  </si>
  <si>
    <t xml:space="preserve">gross_margin_deviation_vs_peer</t>
  </si>
  <si>
    <t xml:space="preserve">gross_margin_peer_z_score</t>
  </si>
  <si>
    <t xml:space="preserve">gross_outward_supply_value</t>
  </si>
  <si>
    <t xml:space="preserve">gross_receipts_gstr9</t>
  </si>
  <si>
    <t xml:space="preserve">gross_receipts_itr</t>
  </si>
  <si>
    <t xml:space="preserve">gross_vehicle_weight_kg</t>
  </si>
  <si>
    <t xml:space="preserve">gross_weight_kg</t>
  </si>
  <si>
    <t xml:space="preserve">group_insurance_recovery</t>
  </si>
  <si>
    <t xml:space="preserve">AOC-4 / AOC-4 XBRL Financial Statements; Insurance Policy Record</t>
  </si>
  <si>
    <t xml:space="preserve">group_master_policy_flag</t>
  </si>
  <si>
    <t xml:space="preserve">Insurance Policy Record; AOC-4 / AOC-4 XBRL Financial Statements; CHG-1 / CHG-4 / CHG-9 Index of Charges</t>
  </si>
  <si>
    <t xml:space="preserve">gst_additional_place_of_business</t>
  </si>
  <si>
    <t xml:space="preserve">gst_authorised_signatory_is_non_officer_flag</t>
  </si>
  <si>
    <t xml:space="preserve">gst_cancellation_flag</t>
  </si>
  <si>
    <t xml:space="preserve">GST Cancellation / Suspension Order; GST Registration Certificate (REG-06); PAN Master Data</t>
  </si>
  <si>
    <t xml:space="preserve">gst_cancellation_order_number</t>
  </si>
  <si>
    <t xml:space="preserve">gst_cancellation_reason</t>
  </si>
  <si>
    <t xml:space="preserve">gst_cancelled_entities_at_address_count</t>
  </si>
  <si>
    <t xml:space="preserve">gst_demand_amount_total</t>
  </si>
  <si>
    <t xml:space="preserve">gst_inclusive_flag</t>
  </si>
  <si>
    <t xml:space="preserve">gst_liability_unpaid</t>
  </si>
  <si>
    <t xml:space="preserve">gst_outward_supply_value_fy</t>
  </si>
  <si>
    <t xml:space="preserve">MSC-1 / MSC-3 Dormant Status; MCA Company Master Data; GSTR-1</t>
  </si>
  <si>
    <t xml:space="preserve">gst_outward_supply_value_post_status</t>
  </si>
  <si>
    <t xml:space="preserve">gst_outward_supply_value_total</t>
  </si>
  <si>
    <t xml:space="preserve">gst_primary_hsn_division</t>
  </si>
  <si>
    <t xml:space="preserve">MOA / AOA; MCA Company Master Data; GSTR-1</t>
  </si>
  <si>
    <t xml:space="preserve">gst_principal_place_change_count_36m</t>
  </si>
  <si>
    <t xml:space="preserve">gst_provisional_attachment_flag</t>
  </si>
  <si>
    <t xml:space="preserve">gst_registered_flag</t>
  </si>
  <si>
    <t xml:space="preserve">gst_return_nil_months_count</t>
  </si>
  <si>
    <t xml:space="preserve">GSTR-3B; GSTR-1; AOC-4 / AOC-4 XBRL Financial Statements</t>
  </si>
  <si>
    <t xml:space="preserve">gst_scn_section_74_count</t>
  </si>
  <si>
    <t xml:space="preserve">gst_suspension_date</t>
  </si>
  <si>
    <t xml:space="preserve">GST Cancellation / Suspension Order; GSTR-3B; GSTR-1</t>
  </si>
  <si>
    <t xml:space="preserve">gst_tds_gstr7_credit</t>
  </si>
  <si>
    <t xml:space="preserve">gstin_count_at_address_hash</t>
  </si>
  <si>
    <t xml:space="preserve">gstin_list</t>
  </si>
  <si>
    <t xml:space="preserve">gstin_registration_date</t>
  </si>
  <si>
    <t xml:space="preserve">gstin_status</t>
  </si>
  <si>
    <t xml:space="preserve">GST Cancellation / Suspension Order; Litigation Database; Adverse Media / News Archive</t>
  </si>
  <si>
    <t xml:space="preserve">gstr1_b2b_invoice_count_period</t>
  </si>
  <si>
    <t xml:space="preserve">gstr1_b2g_invoice_concentration</t>
  </si>
  <si>
    <t xml:space="preserve">Tender / Procurement Portal; GSTR-1</t>
  </si>
  <si>
    <t xml:space="preserve">gstr1_consecutive_missing_periods</t>
  </si>
  <si>
    <t xml:space="preserve">gstr1_outward_taxable_value_period</t>
  </si>
  <si>
    <t xml:space="preserve">gstr1_taxable_outward_supply</t>
  </si>
  <si>
    <t xml:space="preserve">gstr3b_consecutive_missing_periods</t>
  </si>
  <si>
    <t xml:space="preserve">gstr3b_itc_utilised_period</t>
  </si>
  <si>
    <t xml:space="preserve">gstr3b_outward_supply_value</t>
  </si>
  <si>
    <t xml:space="preserve">Bank Statement; GSTR-3B; Income Tax Return (ITR-5 / ITR-6)</t>
  </si>
  <si>
    <t xml:space="preserve">gstr3b_outward_taxable_value_period</t>
  </si>
  <si>
    <t xml:space="preserve">gstr3b_tax_paid_cash_period</t>
  </si>
  <si>
    <t xml:space="preserve">gstr4_filed_flag</t>
  </si>
  <si>
    <t xml:space="preserve">gstr9_table7_reversal</t>
  </si>
  <si>
    <t xml:space="preserve">gstr9_table7e_blocked_credit</t>
  </si>
  <si>
    <t xml:space="preserve">gstr9_table9_tax_paid</t>
  </si>
  <si>
    <t xml:space="preserve">gstr9c_auditor_recommendation_table11</t>
  </si>
  <si>
    <t xml:space="preserve">gstr9c_reason_text_length</t>
  </si>
  <si>
    <t xml:space="preserve">gstr9c_reconciliation_difference</t>
  </si>
  <si>
    <t xml:space="preserve">gstr9c_reconciliation_filed_flag</t>
  </si>
  <si>
    <t xml:space="preserve">gstr9c_turnover_reconciliation</t>
  </si>
  <si>
    <t xml:space="preserve">gstr9c_unreconciled_itc_table13</t>
  </si>
  <si>
    <t xml:space="preserve">gstr9c_unreconciled_turnover_table8</t>
  </si>
  <si>
    <t xml:space="preserve">gstr_counterparty_gstin_set</t>
  </si>
  <si>
    <t xml:space="preserve">Bank Statement; GSTR-1; GSTR-2A / 2B</t>
  </si>
  <si>
    <t xml:space="preserve">guarantee_commission_income</t>
  </si>
  <si>
    <t xml:space="preserve">high_risk_counterparty_value_share</t>
  </si>
  <si>
    <t xml:space="preserve">high_risk_jurisdiction_inflow_value</t>
  </si>
  <si>
    <t xml:space="preserve">SWIFT / Wire Messages; Bank Statement; Shipping Bill</t>
  </si>
  <si>
    <t xml:space="preserve">high_value_generic_txn_count</t>
  </si>
  <si>
    <t xml:space="preserve">holders_share_address_or_family_flag</t>
  </si>
  <si>
    <t xml:space="preserve">MGT-7 / MGT-7A Annual Return; BEN-1 / BEN-2 Significant Beneficial Owner</t>
  </si>
  <si>
    <t xml:space="preserve">holding_pattern_correlation</t>
  </si>
  <si>
    <t xml:space="preserve">holding_period_days_median</t>
  </si>
  <si>
    <t xml:space="preserve">holding_period_months_at_writeoff</t>
  </si>
  <si>
    <t xml:space="preserve">holiday_weekend_value_share</t>
  </si>
  <si>
    <t xml:space="preserve">hs_code_description_match_score</t>
  </si>
  <si>
    <t xml:space="preserve">hs_code_invoice</t>
  </si>
  <si>
    <t xml:space="preserve">hs_code_match_flag</t>
  </si>
  <si>
    <t xml:space="preserve">hs_code_shipping_bill</t>
  </si>
  <si>
    <t xml:space="preserve">hsn_code</t>
  </si>
  <si>
    <t xml:space="preserve">hsn_code_4digit</t>
  </si>
  <si>
    <t xml:space="preserve">hsn_code_list</t>
  </si>
  <si>
    <t xml:space="preserve">hsn_nic_consistency_score</t>
  </si>
  <si>
    <t xml:space="preserve">hsn_overlap_between_years</t>
  </si>
  <si>
    <t xml:space="preserve">hsn_switch_count_3fy</t>
  </si>
  <si>
    <t xml:space="preserve">ibc_cirp_admission_flag</t>
  </si>
  <si>
    <t xml:space="preserve">ibc_petition_admitted_flag</t>
  </si>
  <si>
    <t xml:space="preserve">identical_narration_across_payer_count</t>
  </si>
  <si>
    <t xml:space="preserve">identified_non_sales_credits</t>
  </si>
  <si>
    <t xml:space="preserve">identifier_match_type</t>
  </si>
  <si>
    <t xml:space="preserve">identity_document_image_hash</t>
  </si>
  <si>
    <t xml:space="preserve">identity_field_mismatch_count</t>
  </si>
  <si>
    <t xml:space="preserve">Bank Account Opening / KYC File; DIR-3 KYC; PAN Master Data</t>
  </si>
  <si>
    <t xml:space="preserve">identity_image_perceptual_hash</t>
  </si>
  <si>
    <t xml:space="preserve">idpms_matched_bill_of_entry_count</t>
  </si>
  <si>
    <t xml:space="preserve">idpms_outstanding_flag</t>
  </si>
  <si>
    <t xml:space="preserve">ids_refund_claimed</t>
  </si>
  <si>
    <t xml:space="preserve">iec_annual_updation_status</t>
  </si>
  <si>
    <t xml:space="preserve">iec_issue_date</t>
  </si>
  <si>
    <t xml:space="preserve">iec_status_change_date</t>
  </si>
  <si>
    <t xml:space="preserve">igst_credit_availed_on_imports_inr</t>
  </si>
  <si>
    <t xml:space="preserve">igst_paid_on_imports_inr</t>
  </si>
  <si>
    <t xml:space="preserve">igst_refund_sanctioned</t>
  </si>
  <si>
    <t xml:space="preserve">image_dpi_reported</t>
  </si>
  <si>
    <t xml:space="preserve">imagery_available</t>
  </si>
  <si>
    <t xml:space="preserve">Google Maps / Street Imagery; INC-22 Registered Office; MCA Company Master Data</t>
  </si>
  <si>
    <t xml:space="preserve">imagery_capture_dates</t>
  </si>
  <si>
    <t xml:space="preserve">imagery_observation_count</t>
  </si>
  <si>
    <t xml:space="preserve">imagery_occupant_name_mismatch</t>
  </si>
  <si>
    <t xml:space="preserve">imagery_structure_type</t>
  </si>
  <si>
    <t xml:space="preserve">impairment_charge_current_fy</t>
  </si>
  <si>
    <t xml:space="preserve">implied_interest_rate</t>
  </si>
  <si>
    <t xml:space="preserve">implied_transaction_count_from_charges</t>
  </si>
  <si>
    <t xml:space="preserve">import_igst_credit</t>
  </si>
  <si>
    <t xml:space="preserve">GSTR-3B; GSTR-2A / 2B</t>
  </si>
  <si>
    <t xml:space="preserve">import_value_by_hsn4</t>
  </si>
  <si>
    <t xml:space="preserve">impossible_pair_count</t>
  </si>
  <si>
    <t xml:space="preserve">in_degree_counterparties</t>
  </si>
  <si>
    <t xml:space="preserve">inbound_avg_ticket_size</t>
  </si>
  <si>
    <t xml:space="preserve">inbound_counterparty_count</t>
  </si>
  <si>
    <t xml:space="preserve">inbound_eway_bill_count_per_state</t>
  </si>
  <si>
    <t xml:space="preserve">inc22_first_filing_delay_days</t>
  </si>
  <si>
    <t xml:space="preserve">INC-22 Registered Office; MCA Company Master Data; Electricity / Utility Bill</t>
  </si>
  <si>
    <t xml:space="preserve">inc22a_compliance_flag</t>
  </si>
  <si>
    <t xml:space="preserve">INC-22A ACTIVE; MCA Company Master Data</t>
  </si>
  <si>
    <t xml:space="preserve">incentive_claimed_total_inr</t>
  </si>
  <si>
    <t xml:space="preserve">incentive_rate_declared_percent</t>
  </si>
  <si>
    <t xml:space="preserve">income_tax_paid_last_two_fy</t>
  </si>
  <si>
    <t xml:space="preserve">incorporation_date_spread_days</t>
  </si>
  <si>
    <t xml:space="preserve">incorporation_date_vs_linked_enforcement_date</t>
  </si>
  <si>
    <t xml:space="preserve">incorporation_professional_address_normalised</t>
  </si>
  <si>
    <t xml:space="preserve">incorporation_professional_filing_count_12m</t>
  </si>
  <si>
    <t xml:space="preserve">incorporation_window_days</t>
  </si>
  <si>
    <t xml:space="preserve">incoterm</t>
  </si>
  <si>
    <t xml:space="preserve">incremental_update_modified_content_stream</t>
  </si>
  <si>
    <t xml:space="preserve">ind_as_applicable_flag</t>
  </si>
  <si>
    <t xml:space="preserve">industry_association_membership</t>
  </si>
  <si>
    <t xml:space="preserve">inflow_to_outflow_value_ratio</t>
  </si>
  <si>
    <t xml:space="preserve">input_service_itc_share</t>
  </si>
  <si>
    <t xml:space="preserve">input_tax_credit_availed_inr</t>
  </si>
  <si>
    <t xml:space="preserve">instant_rail_credit_value</t>
  </si>
  <si>
    <t xml:space="preserve">instrument_type_count</t>
  </si>
  <si>
    <t xml:space="preserve">insufficient_funds_return_share</t>
  </si>
  <si>
    <t xml:space="preserve">insurance_amount_inr</t>
  </si>
  <si>
    <t xml:space="preserve">insurance_expense</t>
  </si>
  <si>
    <t xml:space="preserve">insurance_policy_count</t>
  </si>
  <si>
    <t xml:space="preserve">insurance_premium_expense</t>
  </si>
  <si>
    <t xml:space="preserve">intangible_addition_counterparty_related</t>
  </si>
  <si>
    <t xml:space="preserve">intangible_assets_gross_block</t>
  </si>
  <si>
    <t xml:space="preserve">intangible_purpose_code_flag</t>
  </si>
  <si>
    <t xml:space="preserve">inter_entity_transaction_value</t>
  </si>
  <si>
    <t xml:space="preserve">interest_expense_on_related_loans</t>
  </si>
  <si>
    <t xml:space="preserve">AOC-4 / AOC-4 XBRL Financial Statements; AOC-2 Related Party Annexure; DPT-3 Return of Deposits</t>
  </si>
  <si>
    <t xml:space="preserve">interest_income_194a</t>
  </si>
  <si>
    <t xml:space="preserve">interest_paid_on_director_loans</t>
  </si>
  <si>
    <t xml:space="preserve">intermediaries_with_no_assets_count</t>
  </si>
  <si>
    <t xml:space="preserve">intermediate_entity_revenue_sum</t>
  </si>
  <si>
    <t xml:space="preserve">intermediate_entity_substance_score</t>
  </si>
  <si>
    <t xml:space="preserve">BEN-1 / BEN-2 Significant Beneficial Owner; Transfer Pricing Report (Form 3CEB); Derived — cross-entity graph</t>
  </si>
  <si>
    <t xml:space="preserve">international_related_party_transaction_value</t>
  </si>
  <si>
    <t xml:space="preserve">interstate_outward_supply_value_fy</t>
  </si>
  <si>
    <t xml:space="preserve">intra_entity_transfer_credits</t>
  </si>
  <si>
    <t xml:space="preserve">intra_group_investments</t>
  </si>
  <si>
    <t xml:space="preserve">AOC-4 / AOC-4 XBRL Financial Statements; EPFO ECR Filing; MCA Company Master Data</t>
  </si>
  <si>
    <t xml:space="preserve">inventory_turnover_days</t>
  </si>
  <si>
    <t xml:space="preserve">inventory_turnover_ratio</t>
  </si>
  <si>
    <t xml:space="preserve">inventory_write_down</t>
  </si>
  <si>
    <t xml:space="preserve">investee_filing_status</t>
  </si>
  <si>
    <t xml:space="preserve">investee_net_worth_at_purchase</t>
  </si>
  <si>
    <t xml:space="preserve">investee_related_flag</t>
  </si>
  <si>
    <t xml:space="preserve">investment_amount</t>
  </si>
  <si>
    <t xml:space="preserve">investment_writeoff_amount</t>
  </si>
  <si>
    <t xml:space="preserve">investments_in_group_entities</t>
  </si>
  <si>
    <t xml:space="preserve">investments_made_fy</t>
  </si>
  <si>
    <t xml:space="preserve">investor_capacity_covered_share</t>
  </si>
  <si>
    <t xml:space="preserve">investor_returned_income</t>
  </si>
  <si>
    <t xml:space="preserve">invoice_count</t>
  </si>
  <si>
    <t xml:space="preserve">invoice_count_from_vendor</t>
  </si>
  <si>
    <t xml:space="preserve">invoice_count_in_band</t>
  </si>
  <si>
    <t xml:space="preserve">invoice_count_post_status_date</t>
  </si>
  <si>
    <t xml:space="preserve">invoice_counterparty_name_normalised</t>
  </si>
  <si>
    <t xml:space="preserve">SWIFT / Wire Messages; Bank Statement; Packing List / Commercial Invoice</t>
  </si>
  <si>
    <t xml:space="preserve">invoice_issuing_software_producer</t>
  </si>
  <si>
    <t xml:space="preserve">invoice_number_hash</t>
  </si>
  <si>
    <t xml:space="preserve">invoice_number_series</t>
  </si>
  <si>
    <t xml:space="preserve">GSTR-2A / 2B; Tax Audit Report (Form 3CD)</t>
  </si>
  <si>
    <t xml:space="preserve">invoice_reference_narration_share</t>
  </si>
  <si>
    <t xml:space="preserve">involved_entity_count</t>
  </si>
  <si>
    <t xml:space="preserve">inward_remittance_value</t>
  </si>
  <si>
    <t xml:space="preserve">inward_value_by_hsn4</t>
  </si>
  <si>
    <t xml:space="preserve">ip_is_shared_carrier_grade_nat</t>
  </si>
  <si>
    <t xml:space="preserve">ip_is_vpn_or_hosting</t>
  </si>
  <si>
    <t xml:space="preserve">irn_cancellation_count</t>
  </si>
  <si>
    <t xml:space="preserve">irn_cancelled_count_period</t>
  </si>
  <si>
    <t xml:space="preserve">irn_generated_count_period</t>
  </si>
  <si>
    <t xml:space="preserve">irn_generation_timestamp</t>
  </si>
  <si>
    <t xml:space="preserve">irn_matched_invoice_value</t>
  </si>
  <si>
    <t xml:space="preserve">irp_appointment_flag</t>
  </si>
  <si>
    <t xml:space="preserve">is_articulation_point</t>
  </si>
  <si>
    <t xml:space="preserve">isd_credit_received</t>
  </si>
  <si>
    <t xml:space="preserve">it_and_software_expense</t>
  </si>
  <si>
    <t xml:space="preserve">itc_accumulated_balance</t>
  </si>
  <si>
    <t xml:space="preserve">itc_availed_3b</t>
  </si>
  <si>
    <t xml:space="preserve">itc_availed_3b_table4a</t>
  </si>
  <si>
    <t xml:space="preserve">itc_claimed_flag</t>
  </si>
  <si>
    <t xml:space="preserve">itc_eligible_2b</t>
  </si>
  <si>
    <t xml:space="preserve">itc_from_retro_cancelled_suppliers</t>
  </si>
  <si>
    <t xml:space="preserve">itc_from_suppliers_with_gstr1_3b_gap</t>
  </si>
  <si>
    <t xml:space="preserve">itc_ineligible_reported_table4d</t>
  </si>
  <si>
    <t xml:space="preserve">itc_reclaimed_table4d</t>
  </si>
  <si>
    <t xml:space="preserve">itc_reversal_table4b</t>
  </si>
  <si>
    <t xml:space="preserve">itc_to_output_ratio</t>
  </si>
  <si>
    <t xml:space="preserve">itr_filed_with_audit_flag</t>
  </si>
  <si>
    <t xml:space="preserve">itr_gross_receipts</t>
  </si>
  <si>
    <t xml:space="preserve">itr_gross_receipts_fy</t>
  </si>
  <si>
    <t xml:space="preserve">itr_missing_ay_count</t>
  </si>
  <si>
    <t xml:space="preserve">itr_total_income_fy</t>
  </si>
  <si>
    <t xml:space="preserve">itr_turnover_fy</t>
  </si>
  <si>
    <t xml:space="preserve">itr_turnover_value</t>
  </si>
  <si>
    <t xml:space="preserve">job_work_charges</t>
  </si>
  <si>
    <t xml:space="preserve">job_work_dispatch_value</t>
  </si>
  <si>
    <t xml:space="preserve">job_work_ewb_value</t>
  </si>
  <si>
    <t xml:space="preserve">job_work_expense</t>
  </si>
  <si>
    <t xml:space="preserve">joiner_leaver_count_12m</t>
  </si>
  <si>
    <t xml:space="preserve">journal_entry_loan_settlement_amount</t>
  </si>
  <si>
    <t xml:space="preserve">jpeg_quantisation_matches_known_scanner</t>
  </si>
  <si>
    <t xml:space="preserve">jurisdiction_count_in_ownership_chain</t>
  </si>
  <si>
    <t xml:space="preserve">kmp_appointment_mr1_filed_flag</t>
  </si>
  <si>
    <t xml:space="preserve">kmp_designation_flag</t>
  </si>
  <si>
    <t xml:space="preserve">MGT-7 / MGT-7A Annual Return; DIR-12 Director Change; AOC-4 / AOC-4 XBRL Financial Statements</t>
  </si>
  <si>
    <t xml:space="preserve">kyc_photograph_image_hash</t>
  </si>
  <si>
    <t xml:space="preserve">land_gross_block</t>
  </si>
  <si>
    <t xml:space="preserve">landline_present</t>
  </si>
  <si>
    <t xml:space="preserve">largest_counterparty_country_code</t>
  </si>
  <si>
    <t xml:space="preserve">largest_counterparty_name</t>
  </si>
  <si>
    <t xml:space="preserve">largest_counterparty_trade_value_inr</t>
  </si>
  <si>
    <t xml:space="preserve">largest_transaction_date</t>
  </si>
  <si>
    <t xml:space="preserve">largest_transaction_value</t>
  </si>
  <si>
    <t xml:space="preserve">last_15_days_march_revenue</t>
  </si>
  <si>
    <t xml:space="preserve">last_agm_date</t>
  </si>
  <si>
    <t xml:space="preserve">last_aoc4_filed_fy</t>
  </si>
  <si>
    <t xml:space="preserve">last_balance_sheet_date</t>
  </si>
  <si>
    <t xml:space="preserve">last_content_change_date</t>
  </si>
  <si>
    <t xml:space="preserve">last_dir12_filed_date</t>
  </si>
  <si>
    <t xml:space="preserve">last_itr_filed_ay</t>
  </si>
  <si>
    <t xml:space="preserve">last_return_filed_period</t>
  </si>
  <si>
    <t xml:space="preserve">late_filing_fy_count</t>
  </si>
  <si>
    <t xml:space="preserve">layer_restriction_exemption_flag</t>
  </si>
  <si>
    <t xml:space="preserve">lc_amendment_count</t>
  </si>
  <si>
    <t xml:space="preserve">Letter of Credit; SWIFT / Wire Messages; Bank Statement</t>
  </si>
  <si>
    <t xml:space="preserve">lc_amount_final_inr</t>
  </si>
  <si>
    <t xml:space="preserve">lc_amount_original_inr</t>
  </si>
  <si>
    <t xml:space="preserve">lc_applicant_iec</t>
  </si>
  <si>
    <t xml:space="preserve">lc_beneficiary_changed_flag</t>
  </si>
  <si>
    <t xml:space="preserve">lc_beneficiary_country_changed_flag</t>
  </si>
  <si>
    <t xml:space="preserve">lc_expiry_extension_count</t>
  </si>
  <si>
    <t xml:space="preserve">leased_machinery_expense</t>
  </si>
  <si>
    <t xml:space="preserve">ledger_amount_population</t>
  </si>
  <si>
    <t xml:space="preserve">ledger_counterparty_set</t>
  </si>
  <si>
    <t xml:space="preserve">ledger_line_count</t>
  </si>
  <si>
    <t xml:space="preserve">legal_recovery_action_flag</t>
  </si>
  <si>
    <t xml:space="preserve">licence_number</t>
  </si>
  <si>
    <t xml:space="preserve">GSTR-1; GST Registration Certificate (REG-06); MCA Company Master Data</t>
  </si>
  <si>
    <t xml:space="preserve">licensed_brand_agreement_flag</t>
  </si>
  <si>
    <t xml:space="preserve">lifetime_revenue</t>
  </si>
  <si>
    <t xml:space="preserve">lifetime_revenue_concentration_max_window</t>
  </si>
  <si>
    <t xml:space="preserve">lifetime_throughput_value</t>
  </si>
  <si>
    <t xml:space="preserve">line_body_font_name</t>
  </si>
  <si>
    <t xml:space="preserve">link_overlap_with_offence_period_flag</t>
  </si>
  <si>
    <t xml:space="preserve">link_strength_score</t>
  </si>
  <si>
    <t xml:space="preserve">link_type</t>
  </si>
  <si>
    <t xml:space="preserve">linked_counterparty_count</t>
  </si>
  <si>
    <t xml:space="preserve">Derived — cross-entity graph; Bank Statement; MCA Company Master Data</t>
  </si>
  <si>
    <t xml:space="preserve">linked_counterparty_share_of_value</t>
  </si>
  <si>
    <t xml:space="preserve">linked_credit_value</t>
  </si>
  <si>
    <t xml:space="preserve">linked_entity_enforcement_agency</t>
  </si>
  <si>
    <t xml:space="preserve">linked_entity_failure_share</t>
  </si>
  <si>
    <t xml:space="preserve">linked_entity_ids</t>
  </si>
  <si>
    <t xml:space="preserve">linked_entity_under_enforcement_count</t>
  </si>
  <si>
    <t xml:space="preserve">linked_struck_off_entity_count</t>
  </si>
  <si>
    <t xml:space="preserve">linked_wilful_defaulter_or_fraud_flag</t>
  </si>
  <si>
    <t xml:space="preserve">linkedin_employee_profile_count</t>
  </si>
  <si>
    <t xml:space="preserve">list_publication_date</t>
  </si>
  <si>
    <t xml:space="preserve">list_publisher</t>
  </si>
  <si>
    <t xml:space="preserve">listed_client_verification_rate</t>
  </si>
  <si>
    <t xml:space="preserve">listed_offence_type</t>
  </si>
  <si>
    <t xml:space="preserve">listed_party_role</t>
  </si>
  <si>
    <t xml:space="preserve">llp_form11_missing_fy_count</t>
  </si>
  <si>
    <t xml:space="preserve">LLP Form 8 / Form 11; MCA Company Master Data</t>
  </si>
  <si>
    <t xml:space="preserve">llp_form8_missing_fy_count</t>
  </si>
  <si>
    <t xml:space="preserve">llp_incorporation_date</t>
  </si>
  <si>
    <t xml:space="preserve">llp_status</t>
  </si>
  <si>
    <t xml:space="preserve">loan_account_classification</t>
  </si>
  <si>
    <t xml:space="preserve">loan_credit_value</t>
  </si>
  <si>
    <t xml:space="preserve">loan_disbursement_credits</t>
  </si>
  <si>
    <t xml:space="preserve">loan_disbursement_value</t>
  </si>
  <si>
    <t xml:space="preserve">loans_and_advances_given</t>
  </si>
  <si>
    <t xml:space="preserve">loans_and_advances_to_related_parties</t>
  </si>
  <si>
    <t xml:space="preserve">loans_to_related_parties</t>
  </si>
  <si>
    <t xml:space="preserve">local_utility_record_flag</t>
  </si>
  <si>
    <t xml:space="preserve">login_event_count</t>
  </si>
  <si>
    <t xml:space="preserve">login_timestamp</t>
  </si>
  <si>
    <t xml:space="preserve">logo_bounding_box_coordinates</t>
  </si>
  <si>
    <t xml:space="preserve">loop_entity_common_control_flag</t>
  </si>
  <si>
    <t xml:space="preserve">lut_rfd11_reference</t>
  </si>
  <si>
    <t xml:space="preserve">management_and_royalty_fee_paid_to_ae</t>
  </si>
  <si>
    <t xml:space="preserve">management_fee_expense</t>
  </si>
  <si>
    <t xml:space="preserve">mandate_change_date</t>
  </si>
  <si>
    <t xml:space="preserve">mandate_signatory_list</t>
  </si>
  <si>
    <t xml:space="preserve">mandatory_schedule3_disclosures_missing_count</t>
  </si>
  <si>
    <t xml:space="preserve">manufacturing_flag</t>
  </si>
  <si>
    <t xml:space="preserve">march_credit_note_value_next_quarter</t>
  </si>
  <si>
    <t xml:space="preserve">march_last_week_value_share</t>
  </si>
  <si>
    <t xml:space="preserve">market_rent_per_sqft_pincode</t>
  </si>
  <si>
    <t xml:space="preserve">AOC-2 Related Party Annexure; Rent Agreement / Lease Deed; AOC-4 / AOC-4 XBRL Financial Statements</t>
  </si>
  <si>
    <t xml:space="preserve">master_file_3ceaa_filed_flag</t>
  </si>
  <si>
    <t xml:space="preserve">mat_115jb_liability_paid</t>
  </si>
  <si>
    <t xml:space="preserve">match_confidence_score</t>
  </si>
  <si>
    <t xml:space="preserve">matched_cycle_count</t>
  </si>
  <si>
    <t xml:space="preserve">matched_list_type</t>
  </si>
  <si>
    <t xml:space="preserve">matched_shipping_bill_fob_value</t>
  </si>
  <si>
    <t xml:space="preserve">matches_known_software_default_template</t>
  </si>
  <si>
    <t xml:space="preserve">matching_expense_in_books_flag</t>
  </si>
  <si>
    <t xml:space="preserve">max_active_directorship_count</t>
  </si>
  <si>
    <t xml:space="preserve">max_body_corporate_shareholding_pct</t>
  </si>
  <si>
    <t xml:space="preserve">max_consecutive_cheque_run_to_single_payee</t>
  </si>
  <si>
    <t xml:space="preserve">max_deposit_distance_km</t>
  </si>
  <si>
    <t xml:space="preserve">max_director_age</t>
  </si>
  <si>
    <t xml:space="preserve">max_filings_same_upload_date_count</t>
  </si>
  <si>
    <t xml:space="preserve">max_gap_between_board_meetings_days</t>
  </si>
  <si>
    <t xml:space="preserve">max_intermediary_holding_days</t>
  </si>
  <si>
    <t xml:space="preserve">max_intermediary_margin_ratio</t>
  </si>
  <si>
    <t xml:space="preserve">max_registration_number_gap</t>
  </si>
  <si>
    <t xml:space="preserve">max_shareholder_jaccard_overlap</t>
  </si>
  <si>
    <t xml:space="preserve">max_shipping_bill_age_days</t>
  </si>
  <si>
    <t xml:space="preserve">max_surname_share_of_board</t>
  </si>
  <si>
    <t xml:space="preserve">max_two_digit_excess_zscore</t>
  </si>
  <si>
    <t xml:space="preserve">max_unmatched_share_per_supplier</t>
  </si>
  <si>
    <t xml:space="preserve">mean_document_turnaround_days</t>
  </si>
  <si>
    <t xml:space="preserve">mean_serial_gap_between_our_invoices</t>
  </si>
  <si>
    <t xml:space="preserve">mean_winning_margin_pct</t>
  </si>
  <si>
    <t xml:space="preserve">median_days_invoice_to_credit_note</t>
  </si>
  <si>
    <t xml:space="preserve">median_holding_period_days</t>
  </si>
  <si>
    <t xml:space="preserve">median_hop_latency_minutes</t>
  </si>
  <si>
    <t xml:space="preserve">median_invoice_to_ewb_lag_days</t>
  </si>
  <si>
    <t xml:space="preserve">metadata_author_is_generic_value</t>
  </si>
  <si>
    <t xml:space="preserve">mgt14_filings_on_single_date</t>
  </si>
  <si>
    <t xml:space="preserve">mgt7_kmp_section_populated</t>
  </si>
  <si>
    <t xml:space="preserve">mgt7_missing_fy_count</t>
  </si>
  <si>
    <t xml:space="preserve">mgt8_applicable_flag</t>
  </si>
  <si>
    <t xml:space="preserve">mgt8_certified_flag</t>
  </si>
  <si>
    <t xml:space="preserve">min_director_age</t>
  </si>
  <si>
    <t xml:space="preserve">min_director_tenure_days</t>
  </si>
  <si>
    <t xml:space="preserve">minutes_document_creation_date_spread_days</t>
  </si>
  <si>
    <t xml:space="preserve">mirror_pair_count</t>
  </si>
  <si>
    <t xml:space="preserve">mirror_pair_value</t>
  </si>
  <si>
    <t xml:space="preserve">mismatch_is_beyond_transliteration_variance</t>
  </si>
  <si>
    <t xml:space="preserve">mismatched_field_is_material</t>
  </si>
  <si>
    <t xml:space="preserve">moa_main_object_text</t>
  </si>
  <si>
    <t xml:space="preserve">moa_main_objects_text</t>
  </si>
  <si>
    <t xml:space="preserve">monthly_aggregate_cash_deposit</t>
  </si>
  <si>
    <t xml:space="preserve">monthly_credit_value</t>
  </si>
  <si>
    <t xml:space="preserve">monthly_itc_availed</t>
  </si>
  <si>
    <t xml:space="preserve">monthly_rent_amount</t>
  </si>
  <si>
    <t xml:space="preserve">monthly_tax_paid_cash</t>
  </si>
  <si>
    <t xml:space="preserve">monthly_taxable_turnover_series</t>
  </si>
  <si>
    <t xml:space="preserve">months_at_full_utilisation</t>
  </si>
  <si>
    <t xml:space="preserve">months_meeting_condition</t>
  </si>
  <si>
    <t xml:space="preserve">months_since_first_supply_to_buyer</t>
  </si>
  <si>
    <t xml:space="preserve">months_since_last_taxable_supply</t>
  </si>
  <si>
    <t xml:space="preserve">months_since_shipping_bill_date</t>
  </si>
  <si>
    <t xml:space="preserve">mr3_attached_flag</t>
  </si>
  <si>
    <t xml:space="preserve">msc1_filed_date</t>
  </si>
  <si>
    <t xml:space="preserve">msc3_filed_flag</t>
  </si>
  <si>
    <t xml:space="preserve">msme1_filed_count_fy</t>
  </si>
  <si>
    <t xml:space="preserve">MSME-1 Return; AOC-4 / AOC-4 XBRL Financial Statements; CARO Annexure</t>
  </si>
  <si>
    <t xml:space="preserve">msme_disclosure_in_notes_flag</t>
  </si>
  <si>
    <t xml:space="preserve">msme_payables_overdue</t>
  </si>
  <si>
    <t xml:space="preserve">msme_tender_benefit_claimed</t>
  </si>
  <si>
    <t xml:space="preserve">municipal_ward_code</t>
  </si>
  <si>
    <t xml:space="preserve">mx_record_present</t>
  </si>
  <si>
    <t xml:space="preserve">name_change_count_36m</t>
  </si>
  <si>
    <t xml:space="preserve">name_change_date_list</t>
  </si>
  <si>
    <t xml:space="preserve">nameboard_present</t>
  </si>
  <si>
    <t xml:space="preserve">Site Visit Report; Photograph with Geotag; INC-22 Registered Office</t>
  </si>
  <si>
    <t xml:space="preserve">named_party_role</t>
  </si>
  <si>
    <t xml:space="preserve">narration_similarity_score</t>
  </si>
  <si>
    <t xml:space="preserve">narration_text</t>
  </si>
  <si>
    <t xml:space="preserve">narration_token_entropy</t>
  </si>
  <si>
    <t xml:space="preserve">nav_per_share</t>
  </si>
  <si>
    <t xml:space="preserve">nclt_order_type</t>
  </si>
  <si>
    <t xml:space="preserve">nclt_restoration_order_date</t>
  </si>
  <si>
    <t xml:space="preserve">nclt_restoration_order_flag</t>
  </si>
  <si>
    <t xml:space="preserve">near_zero_eod_days_pct</t>
  </si>
  <si>
    <t xml:space="preserve">negotiation_round_count</t>
  </si>
  <si>
    <t xml:space="preserve">neighbour_risk_iterations</t>
  </si>
  <si>
    <t xml:space="preserve">neighbour_risk_score_confidence</t>
  </si>
  <si>
    <t xml:space="preserve">neighbour_risk_weighted_mean</t>
  </si>
  <si>
    <t xml:space="preserve">net_fixed_assets</t>
  </si>
  <si>
    <t xml:space="preserve">net_itc_availed</t>
  </si>
  <si>
    <t xml:space="preserve">net_margin_on_counterparty</t>
  </si>
  <si>
    <t xml:space="preserve">net_profit_itr</t>
  </si>
  <si>
    <t xml:space="preserve">net_profit_margin</t>
  </si>
  <si>
    <t xml:space="preserve">net_weight_kg</t>
  </si>
  <si>
    <t xml:space="preserve">net_worth_pre_issue</t>
  </si>
  <si>
    <t xml:space="preserve">new_counterparty_share_12m</t>
  </si>
  <si>
    <t xml:space="preserve">new_facility_count_90d</t>
  </si>
  <si>
    <t xml:space="preserve">nil_ecr_months_12m</t>
  </si>
  <si>
    <t xml:space="preserve">non_owning_unpaid_director_count</t>
  </si>
  <si>
    <t xml:space="preserve">non_revenue_credit_value</t>
  </si>
  <si>
    <t xml:space="preserve">notes_text_similarity_to_other_entity</t>
  </si>
  <si>
    <t xml:space="preserve">number_of_bank_accounts</t>
  </si>
  <si>
    <t xml:space="preserve">number_reachability_verified</t>
  </si>
  <si>
    <t xml:space="preserve">number_registration_holder_name</t>
  </si>
  <si>
    <t xml:space="preserve">object_clause_amendment_count</t>
  </si>
  <si>
    <t xml:space="preserve">object_clause_changed_flag</t>
  </si>
  <si>
    <t xml:space="preserve">object_generation_number_max</t>
  </si>
  <si>
    <t xml:space="preserve">observed_account_ifsc_set</t>
  </si>
  <si>
    <t xml:space="preserve">occupant_name_at_premises</t>
  </si>
  <si>
    <t xml:space="preserve">ocr_address_field</t>
  </si>
  <si>
    <t xml:space="preserve">ocr_confidence_min</t>
  </si>
  <si>
    <t xml:space="preserve">ocr_confidence_visual</t>
  </si>
  <si>
    <t xml:space="preserve">ocr_dob_field</t>
  </si>
  <si>
    <t xml:space="preserve">ocr_father_name_field</t>
  </si>
  <si>
    <t xml:space="preserve">ocr_name_field</t>
  </si>
  <si>
    <t xml:space="preserve">off_hours_debit_value</t>
  </si>
  <si>
    <t xml:space="preserve">off_hours_txn_count</t>
  </si>
  <si>
    <t xml:space="preserve">office_photograph_present</t>
  </si>
  <si>
    <t xml:space="preserve">official_email_is_free_webmail</t>
  </si>
  <si>
    <t xml:space="preserve">offsite_session_value_share</t>
  </si>
  <si>
    <t xml:space="preserve">omitted_subsidiary_total_assets</t>
  </si>
  <si>
    <t xml:space="preserve">onboarding_query_code_count</t>
  </si>
  <si>
    <t xml:space="preserve">open_charge_count</t>
  </si>
  <si>
    <t xml:space="preserve">opening_gross_block</t>
  </si>
  <si>
    <t xml:space="preserve">opening_inventory</t>
  </si>
  <si>
    <t xml:space="preserve">opening_stock_by_hsn4</t>
  </si>
  <si>
    <t xml:space="preserve">opening_trade_receivables</t>
  </si>
  <si>
    <t xml:space="preserve">operating_country</t>
  </si>
  <si>
    <t xml:space="preserve">operating_entity_count_in_chain</t>
  </si>
  <si>
    <t xml:space="preserve">operator_identity_not_in_authorised_set</t>
  </si>
  <si>
    <t xml:space="preserve">operator_initiated_value</t>
  </si>
  <si>
    <t xml:space="preserve">other_active_directorship_count</t>
  </si>
  <si>
    <t xml:space="preserve">other_non_current_assets</t>
  </si>
  <si>
    <t xml:space="preserve">out_degree_counterparties</t>
  </si>
  <si>
    <t xml:space="preserve">outbound_counterparty_count</t>
  </si>
  <si>
    <t xml:space="preserve">outbound_value_to_pair</t>
  </si>
  <si>
    <t xml:space="preserve">output_tax_liability_3b</t>
  </si>
  <si>
    <t xml:space="preserve">outsourced_services_expense</t>
  </si>
  <si>
    <t xml:space="preserve">EPFO ECR Filing; AOC-4 / AOC-4 XBRL Financial Statements; Derived — cross-entity graph</t>
  </si>
  <si>
    <t xml:space="preserve">outstanding_tax_demand_amount</t>
  </si>
  <si>
    <t xml:space="preserve">outward_ewb_consignment_value</t>
  </si>
  <si>
    <t xml:space="preserve">outward_supply_from_footprintless_states</t>
  </si>
  <si>
    <t xml:space="preserve">outward_value_by_hsn4</t>
  </si>
  <si>
    <t xml:space="preserve">overdraft_facility_flag</t>
  </si>
  <si>
    <t xml:space="preserve">overseas_buyer_name</t>
  </si>
  <si>
    <t xml:space="preserve">own_standalone_risk_score</t>
  </si>
  <si>
    <t xml:space="preserve">owned_property_in_fixed_assets</t>
  </si>
  <si>
    <t xml:space="preserve">ownership_change_within_12m_of_surge</t>
  </si>
  <si>
    <t xml:space="preserve">ownership_cycle_detected_flag</t>
  </si>
  <si>
    <t xml:space="preserve">ownership_transfer_date</t>
  </si>
  <si>
    <t xml:space="preserve">p2p_vda_narration_count</t>
  </si>
  <si>
    <t xml:space="preserve">Bank Statement; UPI / IMPS / NEFT Transaction Log; Form 26AS</t>
  </si>
  <si>
    <t xml:space="preserve">page_skew_angle_abs</t>
  </si>
  <si>
    <t xml:space="preserve">paid_up_capital_aoc4</t>
  </si>
  <si>
    <t xml:space="preserve">paid_up_capital_inr</t>
  </si>
  <si>
    <t xml:space="preserve">paid_up_capital_reported</t>
  </si>
  <si>
    <t xml:space="preserve">pair_cooccurrence_lift</t>
  </si>
  <si>
    <t xml:space="preserve">pair_entities_common_parent_flag</t>
  </si>
  <si>
    <t xml:space="preserve">pair_entities_distinct_group_count</t>
  </si>
  <si>
    <t xml:space="preserve">pair_entities_distinct_nic_2digit</t>
  </si>
  <si>
    <t xml:space="preserve">pan</t>
  </si>
  <si>
    <t xml:space="preserve">pan_status</t>
  </si>
  <si>
    <t xml:space="preserve">part_b_update_timestamp</t>
  </si>
  <si>
    <t xml:space="preserve">parties_declared_independent</t>
  </si>
  <si>
    <t xml:space="preserve">past_similar_contract_count</t>
  </si>
  <si>
    <t xml:space="preserve">patent_or_design_count</t>
  </si>
  <si>
    <t xml:space="preserve">payee_id</t>
  </si>
  <si>
    <t xml:space="preserve">payer_country_code</t>
  </si>
  <si>
    <t xml:space="preserve">payer_name_normalised</t>
  </si>
  <si>
    <t xml:space="preserve">payment_date</t>
  </si>
  <si>
    <t xml:space="preserve">payment_rail_code</t>
  </si>
  <si>
    <t xml:space="preserve">payments_in_band_below_limit_count</t>
  </si>
  <si>
    <t xml:space="preserve">payroll_distinct_salary_values</t>
  </si>
  <si>
    <t xml:space="preserve">payroll_employee_count</t>
  </si>
  <si>
    <t xml:space="preserve">pdf_image_overlay_object_count</t>
  </si>
  <si>
    <t xml:space="preserve">pdf_xref_section_count</t>
  </si>
  <si>
    <t xml:space="preserve">peak_annual_turnover</t>
  </si>
  <si>
    <t xml:space="preserve">peak_window_days</t>
  </si>
  <si>
    <t xml:space="preserve">peak_window_throughput_value</t>
  </si>
  <si>
    <t xml:space="preserve">peer_band_share</t>
  </si>
  <si>
    <t xml:space="preserve">peer_group_size</t>
  </si>
  <si>
    <t xml:space="preserve">peer_incentive_rate_percent</t>
  </si>
  <si>
    <t xml:space="preserve">penalty_paid_flag</t>
  </si>
  <si>
    <t xml:space="preserve">pep_control_role_flag</t>
  </si>
  <si>
    <t xml:space="preserve">pep_list_match_flag</t>
  </si>
  <si>
    <t xml:space="preserve">pep_match_confidence</t>
  </si>
  <si>
    <t xml:space="preserve">pep_position_category</t>
  </si>
  <si>
    <t xml:space="preserve">pep_position_end_date</t>
  </si>
  <si>
    <t xml:space="preserve">pep_relationship_type</t>
  </si>
  <si>
    <t xml:space="preserve">pep_relative_or_close_associate_flag</t>
  </si>
  <si>
    <t xml:space="preserve">pep_shareholding_pct</t>
  </si>
  <si>
    <t xml:space="preserve">period_credit_value</t>
  </si>
  <si>
    <t xml:space="preserve">period_end_window_txn_share</t>
  </si>
  <si>
    <t xml:space="preserve">period_end_window_value</t>
  </si>
  <si>
    <t xml:space="preserve">period_end_window_value_share</t>
  </si>
  <si>
    <t xml:space="preserve">periods_with_excess</t>
  </si>
  <si>
    <t xml:space="preserve">periods_with_gap</t>
  </si>
  <si>
    <t xml:space="preserve">periods_with_near_zero_closing_balance</t>
  </si>
  <si>
    <t xml:space="preserve">petition_filing_creditor_related_flag</t>
  </si>
  <si>
    <t xml:space="preserve">petition_filing_creditor_type</t>
  </si>
  <si>
    <t xml:space="preserve">pf_deducted_amount_12m</t>
  </si>
  <si>
    <t xml:space="preserve">phone_carrier</t>
  </si>
  <si>
    <t xml:space="preserve">phone_first_seen_date</t>
  </si>
  <si>
    <t xml:space="preserve">phone_is_professional_firm_flag</t>
  </si>
  <si>
    <t xml:space="preserve">phone_node_degree_entities</t>
  </si>
  <si>
    <t xml:space="preserve">phone_number_reachable</t>
  </si>
  <si>
    <t xml:space="preserve">phone_number_shared_with_other_entities</t>
  </si>
  <si>
    <t xml:space="preserve">phone_number_type</t>
  </si>
  <si>
    <t xml:space="preserve">phone_registered_address_match</t>
  </si>
  <si>
    <t xml:space="preserve">phone_series_allocated</t>
  </si>
  <si>
    <t xml:space="preserve">phone_used_as_official_contact</t>
  </si>
  <si>
    <t xml:space="preserve">photo_reverse_image_source</t>
  </si>
  <si>
    <t xml:space="preserve">photograph_capture_date_gap_days</t>
  </si>
  <si>
    <t xml:space="preserve">photograph_exterior_visible</t>
  </si>
  <si>
    <t xml:space="preserve">pin_code_state_match</t>
  </si>
  <si>
    <t xml:space="preserve">plaintiff_related_party_share</t>
  </si>
  <si>
    <t xml:space="preserve">port_code</t>
  </si>
  <si>
    <t xml:space="preserve">port_of_discharge_code</t>
  </si>
  <si>
    <t xml:space="preserve">port_of_loading_code</t>
  </si>
  <si>
    <t xml:space="preserve">post_change_90d_throughput</t>
  </si>
  <si>
    <t xml:space="preserve">post_credit_cash_withdrawal_value</t>
  </si>
  <si>
    <t xml:space="preserve">post_credit_withdrawal_event_count</t>
  </si>
  <si>
    <t xml:space="preserve">post_resignation_board_size</t>
  </si>
  <si>
    <t xml:space="preserve">post_restoration_shareholding_change_flag</t>
  </si>
  <si>
    <t xml:space="preserve">postal_delivery_status</t>
  </si>
  <si>
    <t xml:space="preserve">power_and_fuel_expense_growth</t>
  </si>
  <si>
    <t xml:space="preserve">power_and_fuel_growth</t>
  </si>
  <si>
    <t xml:space="preserve">power_of_attorney_holder_relationship</t>
  </si>
  <si>
    <t xml:space="preserve">ppi_wallet_flow_value</t>
  </si>
  <si>
    <t xml:space="preserve">ppob_change_count</t>
  </si>
  <si>
    <t xml:space="preserve">pre_change_90d_throughput</t>
  </si>
  <si>
    <t xml:space="preserve">predecessor_counterparty_jaccard</t>
  </si>
  <si>
    <t xml:space="preserve">Derived — cross-entity graph; MCA Struck-Off Company List; GSTR-1</t>
  </si>
  <si>
    <t xml:space="preserve">predecessor_exit_reason</t>
  </si>
  <si>
    <t xml:space="preserve">predecessor_outstanding_liability_amount</t>
  </si>
  <si>
    <t xml:space="preserve">preferential_allotment_flag</t>
  </si>
  <si>
    <t xml:space="preserve">premises_area_sqft</t>
  </si>
  <si>
    <t xml:space="preserve">premises_occupied_by_entity</t>
  </si>
  <si>
    <t xml:space="preserve">premises_ownership_type</t>
  </si>
  <si>
    <t xml:space="preserve">premium_per_share</t>
  </si>
  <si>
    <t xml:space="preserve">premium_to_face_value_multiple</t>
  </si>
  <si>
    <t xml:space="preserve">presumptive_scheme_flag</t>
  </si>
  <si>
    <t xml:space="preserve">presumptive_taxation_flag</t>
  </si>
  <si>
    <t xml:space="preserve">pricing_deviation_from_book_rate_pct</t>
  </si>
  <si>
    <t xml:space="preserve">primary_email_domain_type</t>
  </si>
  <si>
    <t xml:space="preserve">prior_3fy_mean_revenue</t>
  </si>
  <si>
    <t xml:space="preserve">prior_6m_avg_outward_supply</t>
  </si>
  <si>
    <t xml:space="preserve">prior_document_submission_completeness</t>
  </si>
  <si>
    <t xml:space="preserve">prior_fy_financials_available</t>
  </si>
  <si>
    <t xml:space="preserve">prior_period_restatement_amount</t>
  </si>
  <si>
    <t xml:space="preserve">prior_revision_extractable</t>
  </si>
  <si>
    <t xml:space="preserve">prior_sector_experience_years</t>
  </si>
  <si>
    <t xml:space="preserve">prior_similar_contract_count</t>
  </si>
  <si>
    <t xml:space="preserve">prior_year_employee_benefit_expense</t>
  </si>
  <si>
    <t xml:space="preserve">prior_year_gross_fixed_assets</t>
  </si>
  <si>
    <t xml:space="preserve">prior_year_revenue</t>
  </si>
  <si>
    <t xml:space="preserve">prior_year_throughput_value</t>
  </si>
  <si>
    <t xml:space="preserve">product_opacity_score</t>
  </si>
  <si>
    <t xml:space="preserve">professional_disciplinary_flag</t>
  </si>
  <si>
    <t xml:space="preserve">professional_tax_paid_amount_12m</t>
  </si>
  <si>
    <t xml:space="preserve">Professional Tax Record; AOC-4 / AOC-4 XBRL Financial Statements</t>
  </si>
  <si>
    <t xml:space="preserve">professional_tax_registered</t>
  </si>
  <si>
    <t xml:space="preserve">profit_after_tax</t>
  </si>
  <si>
    <t xml:space="preserve">profit_before_such_fee</t>
  </si>
  <si>
    <t xml:space="preserve">profit_or_loss_on_asset_sale_abs</t>
  </si>
  <si>
    <t xml:space="preserve">project_suspended_flag</t>
  </si>
  <si>
    <t xml:space="preserve">projected_revenue_dcf</t>
  </si>
  <si>
    <t xml:space="preserve">promoter_change_count</t>
  </si>
  <si>
    <t xml:space="preserve">promoter_funding_value</t>
  </si>
  <si>
    <t xml:space="preserve">promoter_owned_premises_flag</t>
  </si>
  <si>
    <t xml:space="preserve">promoter_related_bidder_count</t>
  </si>
  <si>
    <t xml:space="preserve">promoter_wilful_defaulter_link_count</t>
  </si>
  <si>
    <t xml:space="preserve">property_plant_and_equipment</t>
  </si>
  <si>
    <t xml:space="preserve">property_tax_assessment_id</t>
  </si>
  <si>
    <t xml:space="preserve">provision_against_advances</t>
  </si>
  <si>
    <t xml:space="preserve">provision_for_doubtful_debts</t>
  </si>
  <si>
    <t xml:space="preserve">psu_buyer_revenue_share</t>
  </si>
  <si>
    <t xml:space="preserve">public_profile_found_flag</t>
  </si>
  <si>
    <t xml:space="preserve">publication_date</t>
  </si>
  <si>
    <t xml:space="preserve">published_evasion_list_hit_flag</t>
  </si>
  <si>
    <t xml:space="preserve">purchase_hsn_sac_codes</t>
  </si>
  <si>
    <t xml:space="preserve">purchases_from_advance_counterparties</t>
  </si>
  <si>
    <t xml:space="preserve">purchases_from_counterparty</t>
  </si>
  <si>
    <t xml:space="preserve">purchases_from_flagged_suppliers</t>
  </si>
  <si>
    <t xml:space="preserve">purchases_growth</t>
  </si>
  <si>
    <t xml:space="preserve">purchases_imported_in_books_inr</t>
  </si>
  <si>
    <t xml:space="preserve">purpose_code_mismatch_value</t>
  </si>
  <si>
    <t xml:space="preserve">q4_turnover_share</t>
  </si>
  <si>
    <t xml:space="preserve">qualification_quantified_amount</t>
  </si>
  <si>
    <t xml:space="preserve">qualification_subject_matter</t>
  </si>
  <si>
    <t xml:space="preserve">queries_before_funding_flag</t>
  </si>
  <si>
    <t xml:space="preserve">query_topic_category</t>
  </si>
  <si>
    <t xml:space="preserve">query_verbatim_text</t>
  </si>
  <si>
    <t xml:space="preserve">ratios_disclosure_present</t>
  </si>
  <si>
    <t xml:space="preserve">rbi_extension_or_writeoff_approval_flag</t>
  </si>
  <si>
    <t xml:space="preserve">rbi_fraud_reporting_flag</t>
  </si>
  <si>
    <t xml:space="preserve">rcm_itc_claimed</t>
  </si>
  <si>
    <t xml:space="preserve">rcm_supply_value</t>
  </si>
  <si>
    <t xml:space="preserve">reactivation_kyc_update_flag</t>
  </si>
  <si>
    <t xml:space="preserve">receipts_26as_ais_deduped</t>
  </si>
  <si>
    <t xml:space="preserve">receivable_growth_consecutive_years</t>
  </si>
  <si>
    <t xml:space="preserve">receivables_ageing_over_3_years_amount</t>
  </si>
  <si>
    <t xml:space="preserve">recipient_itc_shortfall</t>
  </si>
  <si>
    <t xml:space="preserve">refund_applications_filed</t>
  </si>
  <si>
    <t xml:space="preserve">refund_category</t>
  </si>
  <si>
    <t xml:space="preserve">refund_claimed_total_fy</t>
  </si>
  <si>
    <t xml:space="preserve">refund_made_flag</t>
  </si>
  <si>
    <t xml:space="preserve">refund_of_unutilised_itc_claimed</t>
  </si>
  <si>
    <t xml:space="preserve">refund_received_zero_rated</t>
  </si>
  <si>
    <t xml:space="preserve">refund_sanction_status</t>
  </si>
  <si>
    <t xml:space="preserve">reg16_surrender_flag</t>
  </si>
  <si>
    <t xml:space="preserve">register_covers_years</t>
  </si>
  <si>
    <t xml:space="preserve">MGT-7 / MGT-7A Annual Return; Site Visit Report; Document Metadata (PDF / Office)</t>
  </si>
  <si>
    <t xml:space="preserve">register_maintenance_form</t>
  </si>
  <si>
    <t xml:space="preserve">register_matches_mgt7_flag</t>
  </si>
  <si>
    <t xml:space="preserve">register_of_sbo_maintained_flag</t>
  </si>
  <si>
    <t xml:space="preserve">register_uniform_ink_or_font_flag</t>
  </si>
  <si>
    <t xml:space="preserve">registered_charges_count</t>
  </si>
  <si>
    <t xml:space="preserve">registered_email</t>
  </si>
  <si>
    <t xml:space="preserve">registered_mobile</t>
  </si>
  <si>
    <t xml:space="preserve">registered_office_address_raw</t>
  </si>
  <si>
    <t xml:space="preserve">registered_office_geotag_present</t>
  </si>
  <si>
    <t xml:space="preserve">registered_office_shared_entity_count</t>
  </si>
  <si>
    <t xml:space="preserve">registered_office_state_change_flag</t>
  </si>
  <si>
    <t xml:space="preserve">registered_office_type</t>
  </si>
  <si>
    <t xml:space="preserve">registered_office_utility_bill_present</t>
  </si>
  <si>
    <t xml:space="preserve">registered_owner_vs_beneficial_owner_mismatch_flag</t>
  </si>
  <si>
    <t xml:space="preserve">BEN-1 / BEN-2 Significant Beneficial Owner; MGT-7 / MGT-7A Annual Return; MOA / AOA</t>
  </si>
  <si>
    <t xml:space="preserve">registered_valuer_report_present</t>
  </si>
  <si>
    <t xml:space="preserve">registrant_country_matches_declared_country</t>
  </si>
  <si>
    <t xml:space="preserve">registration_count_on_pan</t>
  </si>
  <si>
    <t xml:space="preserve">regulated_activity_flag</t>
  </si>
  <si>
    <t xml:space="preserve">regulated_goods_hsn_codes</t>
  </si>
  <si>
    <t xml:space="preserve">regulated_goods_invoice_value_12m</t>
  </si>
  <si>
    <t xml:space="preserve">regulator_action_flag</t>
  </si>
  <si>
    <t xml:space="preserve">regulator_name</t>
  </si>
  <si>
    <t xml:space="preserve">related_entity_same_activity_flag</t>
  </si>
  <si>
    <t xml:space="preserve">related_gstin_same_promoter_count</t>
  </si>
  <si>
    <t xml:space="preserve">related_party_claim_share</t>
  </si>
  <si>
    <t xml:space="preserve">related_party_export_unit_price_inr</t>
  </si>
  <si>
    <t xml:space="preserve">related_party_export_value_inr</t>
  </si>
  <si>
    <t xml:space="preserve">related_party_import_unit_price_inr</t>
  </si>
  <si>
    <t xml:space="preserve">Bill of Entry; Transfer Pricing Report (Form 3CEB); AOC-2 Related Party Annexure</t>
  </si>
  <si>
    <t xml:space="preserve">related_party_import_value_inr</t>
  </si>
  <si>
    <t xml:space="preserve">related_party_loan_counterparty_count</t>
  </si>
  <si>
    <t xml:space="preserve">related_party_manpower_charges</t>
  </si>
  <si>
    <t xml:space="preserve">related_party_name</t>
  </si>
  <si>
    <t xml:space="preserve">related_party_note_blank_flag</t>
  </si>
  <si>
    <t xml:space="preserve">related_party_outflow_post_raise</t>
  </si>
  <si>
    <t xml:space="preserve">related_party_outflow_value</t>
  </si>
  <si>
    <t xml:space="preserve">related_party_pan_set</t>
  </si>
  <si>
    <t xml:space="preserve">related_party_purchase_share_percent</t>
  </si>
  <si>
    <t xml:space="preserve">related_party_purchases</t>
  </si>
  <si>
    <t xml:space="preserve">related_party_purchases_fy</t>
  </si>
  <si>
    <t xml:space="preserve">related_party_rent_recovery</t>
  </si>
  <si>
    <t xml:space="preserve">related_party_revenue_fy</t>
  </si>
  <si>
    <t xml:space="preserve">related_party_royalty_expense</t>
  </si>
  <si>
    <t xml:space="preserve">related_party_sales</t>
  </si>
  <si>
    <t xml:space="preserve">related_party_sales_share</t>
  </si>
  <si>
    <t xml:space="preserve">related_party_transaction_value</t>
  </si>
  <si>
    <t xml:space="preserve">related_party_transaction_value_in_notes</t>
  </si>
  <si>
    <t xml:space="preserve">relationship_tenure_days</t>
  </si>
  <si>
    <t xml:space="preserve">remaining_director_count</t>
  </si>
  <si>
    <t xml:space="preserve">remittance_amount_inr</t>
  </si>
  <si>
    <t xml:space="preserve">remittance_purpose_code</t>
  </si>
  <si>
    <t xml:space="preserve">remittance_refund_received_flag</t>
  </si>
  <si>
    <t xml:space="preserve">remitter_count</t>
  </si>
  <si>
    <t xml:space="preserve">remitter_country</t>
  </si>
  <si>
    <t xml:space="preserve">remitter_country_code</t>
  </si>
  <si>
    <t xml:space="preserve">remitter_country_matches_shipping_bill_country_flag</t>
  </si>
  <si>
    <t xml:space="preserve">remote_branch_cash_value</t>
  </si>
  <si>
    <t xml:space="preserve">rent_agreement_present_flag</t>
  </si>
  <si>
    <t xml:space="preserve">rent_agreement_type</t>
  </si>
  <si>
    <t xml:space="preserve">rent_expense</t>
  </si>
  <si>
    <t xml:space="preserve">rent_per_sqft_monthly</t>
  </si>
  <si>
    <t xml:space="preserve">repayment_schedule_stipulated</t>
  </si>
  <si>
    <t xml:space="preserve">repeat_counterparty_value_share</t>
  </si>
  <si>
    <t xml:space="preserve">replacement_dir12_filed_flag</t>
  </si>
  <si>
    <t xml:space="preserve">representative_authority_document_count</t>
  </si>
  <si>
    <t xml:space="preserve">representative_shared_contact_flag</t>
  </si>
  <si>
    <t xml:space="preserve">requested_turnaround_days</t>
  </si>
  <si>
    <t xml:space="preserve">required_area_sqft_estimate</t>
  </si>
  <si>
    <t xml:space="preserve">required_sector_licence_present</t>
  </si>
  <si>
    <t xml:space="preserve">reserves_and_surplus</t>
  </si>
  <si>
    <t xml:space="preserve">resignation_date_list</t>
  </si>
  <si>
    <t xml:space="preserve">resignations_in_30_day_window</t>
  </si>
  <si>
    <t xml:space="preserve">resolution_count</t>
  </si>
  <si>
    <t xml:space="preserve">restatement_explained_flag</t>
  </si>
  <si>
    <t xml:space="preserve">restatement_years_count</t>
  </si>
  <si>
    <t xml:space="preserve">retained_earnings</t>
  </si>
  <si>
    <t xml:space="preserve">retention_pct_median</t>
  </si>
  <si>
    <t xml:space="preserve">retention_pct_stdev</t>
  </si>
  <si>
    <t xml:space="preserve">retraction_flag</t>
  </si>
  <si>
    <t xml:space="preserve">return_reason_code</t>
  </si>
  <si>
    <t xml:space="preserve">returned_value</t>
  </si>
  <si>
    <t xml:space="preserve">revaluation_increase_percent</t>
  </si>
  <si>
    <t xml:space="preserve">revaluation_reserve</t>
  </si>
  <si>
    <t xml:space="preserve">revenue_before_award</t>
  </si>
  <si>
    <t xml:space="preserve">revenue_from_operations_first_fy</t>
  </si>
  <si>
    <t xml:space="preserve">revenue_growth_multiple_yoy</t>
  </si>
  <si>
    <t xml:space="preserve">revenue_in_peak_window</t>
  </si>
  <si>
    <t xml:space="preserve">revenue_linked_bank_credit_value</t>
  </si>
  <si>
    <t xml:space="preserve">revenue_per_employee</t>
  </si>
  <si>
    <t xml:space="preserve">reverse_image_match_count</t>
  </si>
  <si>
    <t xml:space="preserve">revocation_application_flag</t>
  </si>
  <si>
    <t xml:space="preserve">rfa_red_flagged_account_flag</t>
  </si>
  <si>
    <t xml:space="preserve">roc_jurisdiction_change_count_36m</t>
  </si>
  <si>
    <t xml:space="preserve">roc_notice_date_list</t>
  </si>
  <si>
    <t xml:space="preserve">roc_prosecution_case_count_open</t>
  </si>
  <si>
    <t xml:space="preserve">rodtep_rate_percent</t>
  </si>
  <si>
    <t xml:space="preserve">rotation_applicable_flag</t>
  </si>
  <si>
    <t xml:space="preserve">rotation_limit_years</t>
  </si>
  <si>
    <t xml:space="preserve">round_amount_share</t>
  </si>
  <si>
    <t xml:space="preserve">round_amount_value_share</t>
  </si>
  <si>
    <t xml:space="preserve">round_lakh_debit_count</t>
  </si>
  <si>
    <t xml:space="preserve">round_number_salary_share</t>
  </si>
  <si>
    <t xml:space="preserve">round_number_share_of_periods</t>
  </si>
  <si>
    <t xml:space="preserve">roundtrip_lag_days</t>
  </si>
  <si>
    <t xml:space="preserve">roundtrip_pair_count</t>
  </si>
  <si>
    <t xml:space="preserve">roundtrip_total_value</t>
  </si>
  <si>
    <t xml:space="preserve">route_freight_ratio_p90</t>
  </si>
  <si>
    <t xml:space="preserve">royalty_expense</t>
  </si>
  <si>
    <t xml:space="preserve">rule_86a_blocked_amount</t>
  </si>
  <si>
    <t xml:space="preserve">rule_86a_itc_blocked_flag</t>
  </si>
  <si>
    <t xml:space="preserve">rule_86b_exemption_flag</t>
  </si>
  <si>
    <t xml:space="preserve">rule_89_5_formula_ceiling</t>
  </si>
  <si>
    <t xml:space="preserve">s138_case_count_filed_against</t>
  </si>
  <si>
    <t xml:space="preserve">s89_declaration_filed_flag</t>
  </si>
  <si>
    <t xml:space="preserve">salary_credit_beneficiary_accounts</t>
  </si>
  <si>
    <t xml:space="preserve">salary_increment_events_count</t>
  </si>
  <si>
    <t xml:space="preserve">salary_payment_mode</t>
  </si>
  <si>
    <t xml:space="preserve">salary_variance_across_months</t>
  </si>
  <si>
    <t xml:space="preserve">sales_return_inward_ewb_value</t>
  </si>
  <si>
    <t xml:space="preserve">sales_to_counterparty</t>
  </si>
  <si>
    <t xml:space="preserve">same_counterparty_same_day_split_count</t>
  </si>
  <si>
    <t xml:space="preserve">same_day_out_beneficiary_count</t>
  </si>
  <si>
    <t xml:space="preserve">same_day_out_event_count</t>
  </si>
  <si>
    <t xml:space="preserve">same_day_out_value</t>
  </si>
  <si>
    <t xml:space="preserve">same_day_same_recipient_split_count</t>
  </si>
  <si>
    <t xml:space="preserve">same_person_multiple_entities_allowed</t>
  </si>
  <si>
    <t xml:space="preserve">same_person_signing_own_documents</t>
  </si>
  <si>
    <t xml:space="preserve">same_ubo_abandonment_count</t>
  </si>
  <si>
    <t xml:space="preserve">sampled_employee_count</t>
  </si>
  <si>
    <t xml:space="preserve">sanctioned_end_use_match_flag</t>
  </si>
  <si>
    <t xml:space="preserve">sanctioned_limit_value</t>
  </si>
  <si>
    <t xml:space="preserve">sanctions_list_match_flag</t>
  </si>
  <si>
    <t xml:space="preserve">sanctions_name_match_score</t>
  </si>
  <si>
    <t xml:space="preserve">satisfied_charge_count</t>
  </si>
  <si>
    <t xml:space="preserve">sbo_exemption_applicable_flag</t>
  </si>
  <si>
    <t xml:space="preserve">schedule_iii_gross_vs_net_flag</t>
  </si>
  <si>
    <t xml:space="preserve">scheduled_offence_flag</t>
  </si>
  <si>
    <t xml:space="preserve">scheme_benefit_claimed_value</t>
  </si>
  <si>
    <t xml:space="preserve">search_seizure_event_count</t>
  </si>
  <si>
    <t xml:space="preserve">sebi_order_flag</t>
  </si>
  <si>
    <t xml:space="preserve">secondary_identifier_match_count</t>
  </si>
  <si>
    <t xml:space="preserve">secrecy_jurisdiction_flag</t>
  </si>
  <si>
    <t xml:space="preserve">secretarial_audit_applicable_flag</t>
  </si>
  <si>
    <t xml:space="preserve">section_131_approval_flag</t>
  </si>
  <si>
    <t xml:space="preserve">sector_asset_turnover_p99</t>
  </si>
  <si>
    <t xml:space="preserve">sector_capability_licence_flag</t>
  </si>
  <si>
    <t xml:space="preserve">sector_cash_ratio_p90</t>
  </si>
  <si>
    <t xml:space="preserve">sector_creditor_days_p95</t>
  </si>
  <si>
    <t xml:space="preserve">sector_debtor_days_p95</t>
  </si>
  <si>
    <t xml:space="preserve">sector_entropy_p05</t>
  </si>
  <si>
    <t xml:space="preserve">sector_entropy_p95</t>
  </si>
  <si>
    <t xml:space="preserve">sector_inventory_turnover_p99</t>
  </si>
  <si>
    <t xml:space="preserve">sector_median_kwh_per_inr</t>
  </si>
  <si>
    <t xml:space="preserve">sector_revenue_per_employee_p90</t>
  </si>
  <si>
    <t xml:space="preserve">sector_revenue_per_employee_p99</t>
  </si>
  <si>
    <t xml:space="preserve">sector_revenue_per_employee_zscore</t>
  </si>
  <si>
    <t xml:space="preserve">sector_round_amount_share</t>
  </si>
  <si>
    <t xml:space="preserve">sector_tata_p90</t>
  </si>
  <si>
    <t xml:space="preserve">sector_velocity_p95</t>
  </si>
  <si>
    <t xml:space="preserve">sectoral_approval_required_flag</t>
  </si>
  <si>
    <t xml:space="preserve">secured_borrowings_amount</t>
  </si>
  <si>
    <t xml:space="preserve">securities_premium_received</t>
  </si>
  <si>
    <t xml:space="preserve">securities_premium_received_during_fy</t>
  </si>
  <si>
    <t xml:space="preserve">selling_and_distribution_expense</t>
  </si>
  <si>
    <t xml:space="preserve">AOC-4 / AOC-4 XBRL Financial Statements; E-Way Bill Data</t>
  </si>
  <si>
    <t xml:space="preserve">separate_bank_account_flag</t>
  </si>
  <si>
    <t xml:space="preserve">service_turnover_share</t>
  </si>
  <si>
    <t xml:space="preserve">session_id_overlap_count</t>
  </si>
  <si>
    <t xml:space="preserve">session_ip_asn</t>
  </si>
  <si>
    <t xml:space="preserve">settlement_account_entity_count</t>
  </si>
  <si>
    <t xml:space="preserve">settlement_account_owner_id</t>
  </si>
  <si>
    <t xml:space="preserve">settlement_accounts_distinct_count</t>
  </si>
  <si>
    <t xml:space="preserve">settlement_by_net_off_flag</t>
  </si>
  <si>
    <t xml:space="preserve">sfio_investigation_flag</t>
  </si>
  <si>
    <t xml:space="preserve">sft_high_value_transaction_value</t>
  </si>
  <si>
    <t xml:space="preserve">sh7_filing_count</t>
  </si>
  <si>
    <t xml:space="preserve">share_application_money_pending_days</t>
  </si>
  <si>
    <t xml:space="preserve">share_application_money_pending_prior_fy</t>
  </si>
  <si>
    <t xml:space="preserve">share_capital_and_premium_received</t>
  </si>
  <si>
    <t xml:space="preserve">share_capital_flag</t>
  </si>
  <si>
    <t xml:space="preserve">share_of_invoices_in_threshold_band</t>
  </si>
  <si>
    <t xml:space="preserve">share_of_logins_outside_declared_state</t>
  </si>
  <si>
    <t xml:space="preserve">share_premium_per_share</t>
  </si>
  <si>
    <t xml:space="preserve">share_premium_received</t>
  </si>
  <si>
    <t xml:space="preserve">share_transfer_consideration</t>
  </si>
  <si>
    <t xml:space="preserve">shared_attribute_count_between_trade_parties</t>
  </si>
  <si>
    <t xml:space="preserve">shared_attribute_type</t>
  </si>
  <si>
    <t xml:space="preserve">shared_bank_account_entity_count</t>
  </si>
  <si>
    <t xml:space="preserve">shared_control_entity_count</t>
  </si>
  <si>
    <t xml:space="preserve">shared_din_count_with_cluster</t>
  </si>
  <si>
    <t xml:space="preserve">shared_director_or_address_or_auditor_flag</t>
  </si>
  <si>
    <t xml:space="preserve">shared_email_entities_common_group_flag</t>
  </si>
  <si>
    <t xml:space="preserve">shared_identifier_class</t>
  </si>
  <si>
    <t xml:space="preserve">shared_identifier_count</t>
  </si>
  <si>
    <t xml:space="preserve">shared_identifier_type_count</t>
  </si>
  <si>
    <t xml:space="preserve">shared_ip_device_entity_count</t>
  </si>
  <si>
    <t xml:space="preserve">shared_marker_type_count</t>
  </si>
  <si>
    <t xml:space="preserve">shared_mobile_or_email_entity_count</t>
  </si>
  <si>
    <t xml:space="preserve">shared_narration_value</t>
  </si>
  <si>
    <t xml:space="preserve">shared_person_count</t>
  </si>
  <si>
    <t xml:space="preserve">shared_phone_distinct_address_count</t>
  </si>
  <si>
    <t xml:space="preserve">shared_phone_entities_common_group_flag</t>
  </si>
  <si>
    <t xml:space="preserve">shared_preparer_is_disclosed_common_professional</t>
  </si>
  <si>
    <t xml:space="preserve">shared_shareholder_count</t>
  </si>
  <si>
    <t xml:space="preserve">shared_signatory_pan</t>
  </si>
  <si>
    <t xml:space="preserve">shared_ubo_identifier_count</t>
  </si>
  <si>
    <t xml:space="preserve">Derived — cross-entity graph; BEN-1 / BEN-2 Significant Beneficial Owner; MGT-7 / MGT-7A Annual Return</t>
  </si>
  <si>
    <t xml:space="preserve">shareholder_count</t>
  </si>
  <si>
    <t xml:space="preserve">shareholder_declared_annual_income</t>
  </si>
  <si>
    <t xml:space="preserve">shareholder_entity_type</t>
  </si>
  <si>
    <t xml:space="preserve">shareholder_epfo_wage_annual</t>
  </si>
  <si>
    <t xml:space="preserve">shareholder_investment_amount</t>
  </si>
  <si>
    <t xml:space="preserve">shareholder_relation_to_promoter_flag</t>
  </si>
  <si>
    <t xml:space="preserve">shareholder_set_jaccard</t>
  </si>
  <si>
    <t xml:space="preserve">shareholder_type_list</t>
  </si>
  <si>
    <t xml:space="preserve">shareholders_in_20_to_2499_pct_band</t>
  </si>
  <si>
    <t xml:space="preserve">shareholding_change_events_count</t>
  </si>
  <si>
    <t xml:space="preserve">shareholding_change_pct_12m</t>
  </si>
  <si>
    <t xml:space="preserve">shipment_declared_value_inr</t>
  </si>
  <si>
    <t xml:space="preserve">shipment_value_inr</t>
  </si>
  <si>
    <t xml:space="preserve">shipping_bill_value_fy</t>
  </si>
  <si>
    <t xml:space="preserve">shops_establishment_licence_present</t>
  </si>
  <si>
    <t xml:space="preserve">Shops &amp; Establishment Licence; Property Tax Record; MCA Company Master Data</t>
  </si>
  <si>
    <t xml:space="preserve">shops_establishment_licence_status</t>
  </si>
  <si>
    <t xml:space="preserve">short_deduction_amount</t>
  </si>
  <si>
    <t xml:space="preserve">short_tenure_director_count</t>
  </si>
  <si>
    <t xml:space="preserve">shortest_path_to_flagged_entity</t>
  </si>
  <si>
    <t xml:space="preserve">sibling_incorporation_cluster_count</t>
  </si>
  <si>
    <t xml:space="preserve">signatory_change_date</t>
  </si>
  <si>
    <t xml:space="preserve">signatory_entities_distinct_group_count</t>
  </si>
  <si>
    <t xml:space="preserve">Derived — cross-entity graph; Bank Account Opening / KYC File; MGT-14 Resolutions</t>
  </si>
  <si>
    <t xml:space="preserve">signatory_entities_distinct_nic_2digit</t>
  </si>
  <si>
    <t xml:space="preserve">signatory_entities_struck_off_count</t>
  </si>
  <si>
    <t xml:space="preserve">signatory_is_director_or_kmp_of_entity_flag</t>
  </si>
  <si>
    <t xml:space="preserve">signatory_is_director_share</t>
  </si>
  <si>
    <t xml:space="preserve">signatory_pan_entity_count</t>
  </si>
  <si>
    <t xml:space="preserve">signature_cryptographic_validation_failed</t>
  </si>
  <si>
    <t xml:space="preserve">signature_image_dimensions</t>
  </si>
  <si>
    <t xml:space="preserve">signature_image_perceptual_hash</t>
  </si>
  <si>
    <t xml:space="preserve">signature_pixel_correlation</t>
  </si>
  <si>
    <t xml:space="preserve">signer_din_or_pan</t>
  </si>
  <si>
    <t xml:space="preserve">signer_holds_no_declared_role</t>
  </si>
  <si>
    <t xml:space="preserve">signer_is_practising_professional_certifier</t>
  </si>
  <si>
    <t xml:space="preserve">signer_role_on_filings</t>
  </si>
  <si>
    <t xml:space="preserve">signing_datetime</t>
  </si>
  <si>
    <t xml:space="preserve">single_buyer_award_share</t>
  </si>
  <si>
    <t xml:space="preserve">single_credit_value</t>
  </si>
  <si>
    <t xml:space="preserve">single_vendor_purchase_share</t>
  </si>
  <si>
    <t xml:space="preserve">site_archive_snapshot_count</t>
  </si>
  <si>
    <t xml:space="preserve">site_collects_customer_data</t>
  </si>
  <si>
    <t xml:space="preserve">site_contains_entity_specific_details</t>
  </si>
  <si>
    <t xml:space="preserve">site_is_not_franchise_or_reseller</t>
  </si>
  <si>
    <t xml:space="preserve">site_page_count</t>
  </si>
  <si>
    <t xml:space="preserve">site_text_duplicate_ratio</t>
  </si>
  <si>
    <t xml:space="preserve">site_visit_completed_flag</t>
  </si>
  <si>
    <t xml:space="preserve">site_visit_conducted</t>
  </si>
  <si>
    <t xml:space="preserve">site_visit_date</t>
  </si>
  <si>
    <t xml:space="preserve">sma_classification</t>
  </si>
  <si>
    <t xml:space="preserve">smtp_probe_recipient_rejected</t>
  </si>
  <si>
    <t xml:space="preserve">sof_explanation_version_count</t>
  </si>
  <si>
    <t xml:space="preserve">soft_assets_ratio</t>
  </si>
  <si>
    <t xml:space="preserve">source_document_type</t>
  </si>
  <si>
    <t xml:space="preserve">source_tier</t>
  </si>
  <si>
    <t xml:space="preserve">sow_supported_value_ratio</t>
  </si>
  <si>
    <t xml:space="preserve">special_resolution_filed</t>
  </si>
  <si>
    <t xml:space="preserve">spf_record_present</t>
  </si>
  <si>
    <t xml:space="preserve">spice_certifying_professional_id</t>
  </si>
  <si>
    <t xml:space="preserve">spike_digit_pairs_count</t>
  </si>
  <si>
    <t xml:space="preserve">split_settled_invoice_count</t>
  </si>
  <si>
    <t xml:space="preserve">split_settlement_value</t>
  </si>
  <si>
    <t xml:space="preserve">ssl_certificate_present</t>
  </si>
  <si>
    <t xml:space="preserve">ssl_certificate_subject</t>
  </si>
  <si>
    <t xml:space="preserve">ssl_certificate_valid_from</t>
  </si>
  <si>
    <t xml:space="preserve">staff_present_count</t>
  </si>
  <si>
    <t xml:space="preserve">stamp_image_perceptual_hash</t>
  </si>
  <si>
    <t xml:space="preserve">stamp_ink_defect_pattern_hash</t>
  </si>
  <si>
    <t xml:space="preserve">stamp_text_extracted</t>
  </si>
  <si>
    <t xml:space="preserve">standby_lc_or_guarantee_flag</t>
  </si>
  <si>
    <t xml:space="preserve">state_ewb_threshold</t>
  </si>
  <si>
    <t xml:space="preserve">state_gstin_count</t>
  </si>
  <si>
    <t xml:space="preserve">state_levies_professional_tax</t>
  </si>
  <si>
    <t xml:space="preserve">state_wise_turnover_split</t>
  </si>
  <si>
    <t xml:space="preserve">states_with_no_local_footprint</t>
  </si>
  <si>
    <t xml:space="preserve">states_with_premises_evidence_count</t>
  </si>
  <si>
    <t xml:space="preserve">statutory_dues_arrear_days</t>
  </si>
  <si>
    <t xml:space="preserve">statutory_minimum_board_meetings</t>
  </si>
  <si>
    <t xml:space="preserve">statutory_register_produced_flag</t>
  </si>
  <si>
    <t xml:space="preserve">stock_image_share</t>
  </si>
  <si>
    <t xml:space="preserve">stock_or_reused_image_ratio</t>
  </si>
  <si>
    <t xml:space="preserve">stock_statement_to_bank_value</t>
  </si>
  <si>
    <t xml:space="preserve">stock_statement_value</t>
  </si>
  <si>
    <t xml:space="preserve">storage_and_warehouse_expense</t>
  </si>
  <si>
    <t xml:space="preserve">storage_and_warehousing_expense</t>
  </si>
  <si>
    <t xml:space="preserve">strike_off_applied</t>
  </si>
  <si>
    <t xml:space="preserve">strike_off_date</t>
  </si>
  <si>
    <t xml:space="preserve">strike_off_dates_at_address</t>
  </si>
  <si>
    <t xml:space="preserve">struck_off_company_dealings_note_present</t>
  </si>
  <si>
    <t xml:space="preserve">struck_off_entities_at_address_count</t>
  </si>
  <si>
    <t xml:space="preserve">struck_off_list_match</t>
  </si>
  <si>
    <t xml:space="preserve">struck_off_share_at_address</t>
  </si>
  <si>
    <t xml:space="preserve">sub_limit_band_concentration</t>
  </si>
  <si>
    <t xml:space="preserve">sub_limit_transfer_count</t>
  </si>
  <si>
    <t xml:space="preserve">sub_limit_transfer_value</t>
  </si>
  <si>
    <t xml:space="preserve">sub_threshold_cash_deposit_count</t>
  </si>
  <si>
    <t xml:space="preserve">sub_threshold_cash_deposit_value</t>
  </si>
  <si>
    <t xml:space="preserve">subcontracted_transport_expense</t>
  </si>
  <si>
    <t xml:space="preserve">subcontracting_disclosed_flag</t>
  </si>
  <si>
    <t xml:space="preserve">subcontracting_expense</t>
  </si>
  <si>
    <t xml:space="preserve">submission_window_minutes</t>
  </si>
  <si>
    <t xml:space="preserve">subscribed_capital_amount</t>
  </si>
  <si>
    <t xml:space="preserve">subscriber_count</t>
  </si>
  <si>
    <t xml:space="preserve">subscriber_email_reuse_count</t>
  </si>
  <si>
    <t xml:space="preserve">subscriber_exit_pct</t>
  </si>
  <si>
    <t xml:space="preserve">subscriber_mobile_reuse_count</t>
  </si>
  <si>
    <t xml:space="preserve">subscriber_pan_set</t>
  </si>
  <si>
    <t xml:space="preserve">subsidiary_count_from_ownership_graph</t>
  </si>
  <si>
    <t xml:space="preserve">subsidiary_count_in_cfs</t>
  </si>
  <si>
    <t xml:space="preserve">successor_incorporation_to_predecessor_exit_days</t>
  </si>
  <si>
    <t xml:space="preserve">successor_turnover_ramp_months</t>
  </si>
  <si>
    <t xml:space="preserve">suit_claim_value_total</t>
  </si>
  <si>
    <t xml:space="preserve">sum_26as_receipts_business_sections</t>
  </si>
  <si>
    <t xml:space="preserve">sum_holding_in_band</t>
  </si>
  <si>
    <t xml:space="preserve">sum_monthly_3b_liability</t>
  </si>
  <si>
    <t xml:space="preserve">sundry_balances_written_back</t>
  </si>
  <si>
    <t xml:space="preserve">sundry_balances_written_off</t>
  </si>
  <si>
    <t xml:space="preserve">supplier_cancellation_effective_date</t>
  </si>
  <si>
    <t xml:space="preserve">supplier_filing_frequency</t>
  </si>
  <si>
    <t xml:space="preserve">supplier_gstin_list</t>
  </si>
  <si>
    <t xml:space="preserve">supplier_msme_flag_count</t>
  </si>
  <si>
    <t xml:space="preserve">supplier_name</t>
  </si>
  <si>
    <t xml:space="preserve">supplier_payment_lag_days</t>
  </si>
  <si>
    <t xml:space="preserve">supply_category_split</t>
  </si>
  <si>
    <t xml:space="preserve">supply_to_top_recipient</t>
  </si>
  <si>
    <t xml:space="preserve">supply_type_code</t>
  </si>
  <si>
    <t xml:space="preserve">system_pin_to_pin_distance_km</t>
  </si>
  <si>
    <t xml:space="preserve">tata</t>
  </si>
  <si>
    <t xml:space="preserve">tax_paid_cash_total_fy</t>
  </si>
  <si>
    <t xml:space="preserve">tax_regime_115baa_flag</t>
  </si>
  <si>
    <t xml:space="preserve">taxable_value_3b_table31</t>
  </si>
  <si>
    <t xml:space="preserve">taxable_value_gstr1</t>
  </si>
  <si>
    <t xml:space="preserve">tds_194i_deducted_amount</t>
  </si>
  <si>
    <t xml:space="preserve">tds_194n_amount</t>
  </si>
  <si>
    <t xml:space="preserve">tds_194s_amount</t>
  </si>
  <si>
    <t xml:space="preserve">tds_24q_deducted_amount</t>
  </si>
  <si>
    <t xml:space="preserve">tds_credit_claimed</t>
  </si>
  <si>
    <t xml:space="preserve">tds_credit_claimed_fy</t>
  </si>
  <si>
    <t xml:space="preserve">tds_deducted_not_deposited</t>
  </si>
  <si>
    <t xml:space="preserve">tds_deducted_total_fy</t>
  </si>
  <si>
    <t xml:space="preserve">tds_deposited_total_fy</t>
  </si>
  <si>
    <t xml:space="preserve">tds_implied_turnover</t>
  </si>
  <si>
    <t xml:space="preserve">tds_return_24q_filed_flag</t>
  </si>
  <si>
    <t xml:space="preserve">tds_return_26q_filed_flag</t>
  </si>
  <si>
    <t xml:space="preserve">tds_section_code</t>
  </si>
  <si>
    <t xml:space="preserve">telephone_match_flag</t>
  </si>
  <si>
    <t xml:space="preserve">template_layout_similarity_score</t>
  </si>
  <si>
    <t xml:space="preserve">tender_participation_count</t>
  </si>
  <si>
    <t xml:space="preserve">tender_portal_registration_present</t>
  </si>
  <si>
    <t xml:space="preserve">tender_win_rate</t>
  </si>
  <si>
    <t xml:space="preserve">term_sheet_acceptance_hours</t>
  </si>
  <si>
    <t xml:space="preserve">text_layer_present</t>
  </si>
  <si>
    <t xml:space="preserve">third_party_payment_agreement_on_file</t>
  </si>
  <si>
    <t xml:space="preserve">third_party_payment_instances</t>
  </si>
  <si>
    <t xml:space="preserve">third_party_settlement_count</t>
  </si>
  <si>
    <t xml:space="preserve">threshold_bunching_zscore</t>
  </si>
  <si>
    <t xml:space="preserve">threshold_value_tested</t>
  </si>
  <si>
    <t xml:space="preserve">throughput_30d_after_reactivation</t>
  </si>
  <si>
    <t xml:space="preserve">timezone_offset_recorded</t>
  </si>
  <si>
    <t xml:space="preserve">top1_outflow_value</t>
  </si>
  <si>
    <t xml:space="preserve">top3_customer_revenue_share</t>
  </si>
  <si>
    <t xml:space="preserve">GSTR-1; AOC-2 Related Party Annexure</t>
  </si>
  <si>
    <t xml:space="preserve">top_customer_is_related_or_common_address</t>
  </si>
  <si>
    <t xml:space="preserve">top_customer_revenue_share</t>
  </si>
  <si>
    <t xml:space="preserve">top_outflow_share</t>
  </si>
  <si>
    <t xml:space="preserve">top_recipient_share</t>
  </si>
  <si>
    <t xml:space="preserve">total_accruals_to_total_assets</t>
  </si>
  <si>
    <t xml:space="preserve">total_assets_at_strike_off</t>
  </si>
  <si>
    <t xml:space="preserve">total_bank_credit_value</t>
  </si>
  <si>
    <t xml:space="preserve">total_bank_credits</t>
  </si>
  <si>
    <t xml:space="preserve">total_borrowings</t>
  </si>
  <si>
    <t xml:space="preserve">total_cheque_value</t>
  </si>
  <si>
    <t xml:space="preserve">total_debit_count</t>
  </si>
  <si>
    <t xml:space="preserve">total_ewb_count</t>
  </si>
  <si>
    <t xml:space="preserve">total_expenses</t>
  </si>
  <si>
    <t xml:space="preserve">total_export_value</t>
  </si>
  <si>
    <t xml:space="preserve">total_filing_fy_count</t>
  </si>
  <si>
    <t xml:space="preserve">total_inward_remittance_value</t>
  </si>
  <si>
    <t xml:space="preserve">total_outward_remittance_value</t>
  </si>
  <si>
    <t xml:space="preserve">total_outward_supply_value</t>
  </si>
  <si>
    <t xml:space="preserve">total_purchase_invoice_value</t>
  </si>
  <si>
    <t xml:space="preserve">total_tax_paid</t>
  </si>
  <si>
    <t xml:space="preserve">total_trade_payables</t>
  </si>
  <si>
    <t xml:space="preserve">total_trade_value_inr</t>
  </si>
  <si>
    <t xml:space="preserve">total_transfer_value</t>
  </si>
  <si>
    <t xml:space="preserve">total_turnover</t>
  </si>
  <si>
    <t xml:space="preserve">traces_default_outstanding_amount</t>
  </si>
  <si>
    <t xml:space="preserve">trade_activity_after_status_date_flag</t>
  </si>
  <si>
    <t xml:space="preserve">trade_directory_listing_count</t>
  </si>
  <si>
    <t xml:space="preserve">trade_licence_status</t>
  </si>
  <si>
    <t xml:space="preserve">trade_party_addresses_normalised</t>
  </si>
  <si>
    <t xml:space="preserve">trade_payables</t>
  </si>
  <si>
    <t xml:space="preserve">trade_payables_growth</t>
  </si>
  <si>
    <t xml:space="preserve">trade_payables_over_180_days</t>
  </si>
  <si>
    <t xml:space="preserve">trade_payables_over_45_days</t>
  </si>
  <si>
    <t xml:space="preserve">trade_payables_total</t>
  </si>
  <si>
    <t xml:space="preserve">trade_receivables_prior_fy</t>
  </si>
  <si>
    <t xml:space="preserve">trademark_registrant_is_counterparty_flag</t>
  </si>
  <si>
    <t xml:space="preserve">trademark_registration_count</t>
  </si>
  <si>
    <t xml:space="preserve">transaction_amount</t>
  </si>
  <si>
    <t xml:space="preserve">transaction_count</t>
  </si>
  <si>
    <t xml:space="preserve">transaction_date</t>
  </si>
  <si>
    <t xml:space="preserve">transaction_timestamp</t>
  </si>
  <si>
    <t xml:space="preserve">transactions_within_5pct_below_threshold</t>
  </si>
  <si>
    <t xml:space="preserve">transfer_price_per_share</t>
  </si>
  <si>
    <t xml:space="preserve">transfer_pricing_study_present</t>
  </si>
  <si>
    <t xml:space="preserve">transferee_relationship_flag</t>
  </si>
  <si>
    <t xml:space="preserve">transferred_shares_pct</t>
  </si>
  <si>
    <t xml:space="preserve">transhipment_cost_inr</t>
  </si>
  <si>
    <t xml:space="preserve">transhipment_leg_count</t>
  </si>
  <si>
    <t xml:space="preserve">transit_country_code</t>
  </si>
  <si>
    <t xml:space="preserve">transit_country_has_seaport_flag</t>
  </si>
  <si>
    <t xml:space="preserve">transport_document_present_share</t>
  </si>
  <si>
    <t xml:space="preserve">transporter_enrolment_date</t>
  </si>
  <si>
    <t xml:space="preserve">transporter_gst_filing_status</t>
  </si>
  <si>
    <t xml:space="preserve">transporter_gstin_or_id_present</t>
  </si>
  <si>
    <t xml:space="preserve">travelling_expense</t>
  </si>
  <si>
    <t xml:space="preserve">treaty_jurisdiction_flag</t>
  </si>
  <si>
    <t xml:space="preserve">trust_jurisdiction</t>
  </si>
  <si>
    <t xml:space="preserve">trust_settlor_name</t>
  </si>
  <si>
    <t xml:space="preserve">turnover_inverted_supply</t>
  </si>
  <si>
    <t xml:space="preserve">turnover_per_counterparty</t>
  </si>
  <si>
    <t xml:space="preserve">turnover_yoy_change_ratio</t>
  </si>
  <si>
    <t xml:space="preserve">uan_history_present_count</t>
  </si>
  <si>
    <t xml:space="preserve">ubo_country</t>
  </si>
  <si>
    <t xml:space="preserve">ubo_linked_counterparty_trade_value</t>
  </si>
  <si>
    <t xml:space="preserve">ubo_linked_trade_margin_deviation</t>
  </si>
  <si>
    <t xml:space="preserve">ubo_name</t>
  </si>
  <si>
    <t xml:space="preserve">ubo_named_natural_person_flag</t>
  </si>
  <si>
    <t xml:space="preserve">ubo_natural_person_disclosed_flag</t>
  </si>
  <si>
    <t xml:space="preserve">ubo_ownership_chain_depth</t>
  </si>
  <si>
    <t xml:space="preserve">ubo_shareholding_pct</t>
  </si>
  <si>
    <t xml:space="preserve">ubo_type</t>
  </si>
  <si>
    <t xml:space="preserve">udyam_declared_band</t>
  </si>
  <si>
    <t xml:space="preserve">udyam_declared_category</t>
  </si>
  <si>
    <t xml:space="preserve">udyam_declared_investment</t>
  </si>
  <si>
    <t xml:space="preserve">udyam_registration_date</t>
  </si>
  <si>
    <t xml:space="preserve">udyam_registration_present</t>
  </si>
  <si>
    <t xml:space="preserve">ultimate_beneficial_owner_id</t>
  </si>
  <si>
    <t xml:space="preserve">unbooked_counterparty_count</t>
  </si>
  <si>
    <t xml:space="preserve">unbooked_counterparty_value</t>
  </si>
  <si>
    <t xml:space="preserve">underlying_event_datetime</t>
  </si>
  <si>
    <t xml:space="preserve">undisclosed_account_count</t>
  </si>
  <si>
    <t xml:space="preserve">undisclosed_account_throughput_value</t>
  </si>
  <si>
    <t xml:space="preserve">undisclosed_income_admitted_value</t>
  </si>
  <si>
    <t xml:space="preserve">unexplained_credit_amount</t>
  </si>
  <si>
    <t xml:space="preserve">unladen_weight_kg</t>
  </si>
  <si>
    <t xml:space="preserve">unmatched_purchase_invoice_value</t>
  </si>
  <si>
    <t xml:space="preserve">unmatched_refund_amount</t>
  </si>
  <si>
    <t xml:space="preserve">unmatched_supplier_count</t>
  </si>
  <si>
    <t xml:space="preserve">unpaid_statutory_dues_amount</t>
  </si>
  <si>
    <t xml:space="preserve">unrealised_export_value</t>
  </si>
  <si>
    <t xml:space="preserve">unrelated_hsn_supply_share</t>
  </si>
  <si>
    <t xml:space="preserve">unsecured_loan_balance</t>
  </si>
  <si>
    <t xml:space="preserve">unsecured_loan_received</t>
  </si>
  <si>
    <t xml:space="preserve">unsecured_loans_closing</t>
  </si>
  <si>
    <t xml:space="preserve">unsecured_loans_from_directors_and_related</t>
  </si>
  <si>
    <t xml:space="preserve">unsecured_loans_from_directors_and_relatives</t>
  </si>
  <si>
    <t xml:space="preserve">unsecured_loans_from_related_parties</t>
  </si>
  <si>
    <t xml:space="preserve">unsolicited_document_share</t>
  </si>
  <si>
    <t xml:space="preserve">update_not_attributable_to_signature_or_annotation</t>
  </si>
  <si>
    <t xml:space="preserve">uqc_declared</t>
  </si>
  <si>
    <t xml:space="preserve">useful_life_change_disclosed</t>
  </si>
  <si>
    <t xml:space="preserve">utr_reference_number</t>
  </si>
  <si>
    <t xml:space="preserve">validity_days_claimed</t>
  </si>
  <si>
    <t xml:space="preserve">value_date</t>
  </si>
  <si>
    <t xml:space="preserve">value_gini</t>
  </si>
  <si>
    <t xml:space="preserve">value_variance_across_cycle</t>
  </si>
  <si>
    <t xml:space="preserve">vanishing_company_list_match</t>
  </si>
  <si>
    <t xml:space="preserve">vcip_completed_flag</t>
  </si>
  <si>
    <t xml:space="preserve">vda_counterparty_count</t>
  </si>
  <si>
    <t xml:space="preserve">vda_counterparty_flow_value</t>
  </si>
  <si>
    <t xml:space="preserve">vda_flow_declared_in_books_flag</t>
  </si>
  <si>
    <t xml:space="preserve">vehicle_class_vahan</t>
  </si>
  <si>
    <t xml:space="preserve">vehicle_count_owned</t>
  </si>
  <si>
    <t xml:space="preserve">vehicle_gross_block</t>
  </si>
  <si>
    <t xml:space="preserve">vendor_declared_turnover</t>
  </si>
  <si>
    <t xml:space="preserve">vendor_gstin</t>
  </si>
  <si>
    <t xml:space="preserve">vendor_invoice_serial</t>
  </si>
  <si>
    <t xml:space="preserve">vendor_serial_series_is_customer_specific</t>
  </si>
  <si>
    <t xml:space="preserve">version_timestamp_sequence</t>
  </si>
  <si>
    <t xml:space="preserve">vessel_deadweight_kg</t>
  </si>
  <si>
    <t xml:space="preserve">vessel_imo_number</t>
  </si>
  <si>
    <t xml:space="preserve">veto_holder_is_disclosed_lender_or_investor_flag</t>
  </si>
  <si>
    <t xml:space="preserve">veto_holder_shareholding_pct</t>
  </si>
  <si>
    <t xml:space="preserve">voip_or_virtual_number_flag</t>
  </si>
  <si>
    <t xml:space="preserve">warehouse_area_sqft</t>
  </si>
  <si>
    <t xml:space="preserve">warehouse_or_godown_declared</t>
  </si>
  <si>
    <t xml:space="preserve">warehouse_or_godown_evidence_flag</t>
  </si>
  <si>
    <t xml:space="preserve">website_page_count</t>
  </si>
  <si>
    <t xml:space="preserve">weighted_input_tax_rate</t>
  </si>
  <si>
    <t xml:space="preserve">weighted_output_tax_rate</t>
  </si>
  <si>
    <t xml:space="preserve">whois_privacy_protected</t>
  </si>
  <si>
    <t xml:space="preserve">whois_registrant_country</t>
  </si>
  <si>
    <t xml:space="preserve">whois_registrant_name</t>
  </si>
  <si>
    <t xml:space="preserve">whois_registrant_verifiable_elsewhere</t>
  </si>
  <si>
    <t xml:space="preserve">withdrawal_lag_days</t>
  </si>
  <si>
    <t xml:space="preserve">withdrawal_reason_stated_flag</t>
  </si>
  <si>
    <t xml:space="preserve">withholding_tax_rate_applied</t>
  </si>
  <si>
    <t xml:space="preserve">working_capital</t>
  </si>
  <si>
    <t xml:space="preserve">working_capital_borrowings</t>
  </si>
  <si>
    <t xml:space="preserve">working_capital_borrowings_growth</t>
  </si>
  <si>
    <t xml:space="preserve">working_capital_gap_value</t>
  </si>
  <si>
    <t xml:space="preserve">writeoff_counterparty_disclosed</t>
  </si>
  <si>
    <t xml:space="preserve">written_off_settled_amount</t>
  </si>
  <si>
    <t xml:space="preserve">xmp_history_sequence_out_of_order</t>
  </si>
  <si>
    <t xml:space="preserve">years_below_within_band</t>
  </si>
  <si>
    <t xml:space="preserve">years_between_change_and_setoff</t>
  </si>
  <si>
    <t xml:space="preserve">years_between_peak_turnover_and_strike_off</t>
  </si>
  <si>
    <t xml:space="preserve">years_of_data</t>
  </si>
  <si>
    <t xml:space="preserve">years_pending</t>
  </si>
  <si>
    <t xml:space="preserve">years_since_last_charge_creation</t>
  </si>
  <si>
    <t xml:space="preserve">years_since_last_content_change</t>
  </si>
  <si>
    <t xml:space="preserve">years_with_nil_closing_inventory</t>
  </si>
  <si>
    <t xml:space="preserve">years_with_sundry_writeoff</t>
  </si>
  <si>
    <t xml:space="preserve">DOCUMENT CATALOGUE — 90 source documents</t>
  </si>
  <si>
    <t xml:space="preserve">How many rules each document switches on. Use it to sequence data collection: obtain the documents at the top first.</t>
  </si>
  <si>
    <t xml:space="preserve">Source Document</t>
  </si>
  <si>
    <t xml:space="preserve">Group</t>
  </si>
  <si>
    <t xml:space="preserve">Rules Unlocked (primary)</t>
  </si>
  <si>
    <t xml:space="preserve">Also Used As Fallback</t>
  </si>
  <si>
    <t xml:space="preserve">MCA / ROC</t>
  </si>
  <si>
    <t xml:space="preserve">Banking &amp; Transaction Behaviour; Compliance &amp; Regulatory Filing; Document &amp; Digital Forensics; External, Legal &amp; Behavioural; Financial &amp; Accounting Forensics; Network &amp; Cross-Entity Linkage; Operational Reality &amp; Physical Substance; Ownership, Structure &amp; Governance; Tax &amp; GST Data Forensics; Trade, Customs &amp; Cross-Border</t>
  </si>
  <si>
    <t xml:space="preserve">Derived — cross-entity graph</t>
  </si>
  <si>
    <t xml:space="preserve">Derived</t>
  </si>
  <si>
    <t xml:space="preserve">Banking &amp; Transaction Behaviour; Document &amp; Digital Forensics; External, Legal &amp; Behavioural; Financial &amp; Accounting Forensics; Network &amp; Cross-Entity Linkage; Operational Reality &amp; Physical Substance; Ownership, Structure &amp; Governance; Tax &amp; GST Data Forensics; Trade, Customs &amp; Cross-Border</t>
  </si>
  <si>
    <t xml:space="preserve">Banking &amp; Credit</t>
  </si>
  <si>
    <t xml:space="preserve">Banking &amp; Transaction Behaviour; Compliance &amp; Regulatory Filing; Document &amp; Digital Forensics; Financial &amp; Accounting Forensics; Network &amp; Cross-Entity Linkage; Operational Reality &amp; Physical Substance; Ownership, Structure &amp; Governance; Tax &amp; GST Data Forensics; Trade, Customs &amp; Cross-Border</t>
  </si>
  <si>
    <t xml:space="preserve">MCA Company Master Data</t>
  </si>
  <si>
    <t xml:space="preserve">GSTR-1</t>
  </si>
  <si>
    <t xml:space="preserve">GST</t>
  </si>
  <si>
    <t xml:space="preserve">Banking &amp; Transaction Behaviour; Compliance &amp; Regulatory Filing; External, Legal &amp; Behavioural; Financial &amp; Accounting Forensics; Network &amp; Cross-Entity Linkage; Operational Reality &amp; Physical Substance; Tax &amp; GST Data Forensics; Trade, Customs &amp; Cross-Border</t>
  </si>
  <si>
    <t xml:space="preserve">Compliance &amp; Regulatory Filing; External, Legal &amp; Behavioural; Network &amp; Cross-Entity Linkage; Operational Reality &amp; Physical Substance; Ownership, Structure &amp; Governance; Tax &amp; GST Data Forensics</t>
  </si>
  <si>
    <t xml:space="preserve">GST Registration Certificate (REG-06)</t>
  </si>
  <si>
    <t xml:space="preserve">Banking &amp; Transaction Behaviour; Compliance &amp; Regulatory Filing; Document &amp; Digital Forensics; Financial &amp; Accounting Forensics; Network &amp; Cross-Entity Linkage; Operational Reality &amp; Physical Substance; Ownership, Structure &amp; Governance; Tax &amp; GST Data Forensics</t>
  </si>
  <si>
    <t xml:space="preserve">Banking &amp; Transaction Behaviour; Compliance &amp; Regulatory Filing; Document &amp; Digital Forensics; Financial &amp; Accounting Forensics; Network &amp; Cross-Entity Linkage; Tax &amp; GST Data Forensics; Trade, Customs &amp; Cross-Border</t>
  </si>
  <si>
    <t xml:space="preserve">Banking &amp; Transaction Behaviour; Document &amp; Digital Forensics; External, Legal &amp; Behavioural; Network &amp; Cross-Entity Linkage; Ownership, Structure &amp; Governance</t>
  </si>
  <si>
    <t xml:space="preserve">Packing List / Commercial Invoice</t>
  </si>
  <si>
    <t xml:space="preserve">Trade &amp; Customs</t>
  </si>
  <si>
    <t xml:space="preserve">Banking &amp; Transaction Behaviour; Document &amp; Digital Forensics; Trade, Customs &amp; Cross-Border</t>
  </si>
  <si>
    <t xml:space="preserve">Digital &amp; External</t>
  </si>
  <si>
    <t xml:space="preserve">Document &amp; Digital Forensics; External, Legal &amp; Behavioural; Financial &amp; Accounting Forensics; Ownership, Structure &amp; Governance</t>
  </si>
  <si>
    <t xml:space="preserve">DIR-12 Director Change</t>
  </si>
  <si>
    <t xml:space="preserve">Banking &amp; Transaction Behaviour; Compliance &amp; Regulatory Filing; External, Legal &amp; Behavioural; Ownership, Structure &amp; Governance</t>
  </si>
  <si>
    <t xml:space="preserve">Compliance &amp; Regulatory Filing; Financial &amp; Accounting Forensics; Network &amp; Cross-Entity Linkage; Operational Reality &amp; Physical Substance; Tax &amp; GST Data Forensics</t>
  </si>
  <si>
    <t xml:space="preserve">Income Tax</t>
  </si>
  <si>
    <t xml:space="preserve">Banking &amp; Transaction Behaviour; Compliance &amp; Regulatory Filing; External, Legal &amp; Behavioural; Ownership, Structure &amp; Governance; Tax &amp; GST Data Forensics</t>
  </si>
  <si>
    <t xml:space="preserve">Shipping Bill</t>
  </si>
  <si>
    <t xml:space="preserve">EPFO ECR Filing</t>
  </si>
  <si>
    <t xml:space="preserve">Employment &amp; Premises</t>
  </si>
  <si>
    <t xml:space="preserve">Compliance &amp; Regulatory Filing; Financial &amp; Accounting Forensics; Operational Reality &amp; Physical Substance; Ownership, Structure &amp; Governance; Trade, Customs &amp; Cross-Border</t>
  </si>
  <si>
    <t xml:space="preserve">GSTR-3B</t>
  </si>
  <si>
    <t xml:space="preserve">Banking &amp; Transaction Behaviour; Compliance &amp; Regulatory Filing; Operational Reality &amp; Physical Substance; Tax &amp; GST Data Forensics</t>
  </si>
  <si>
    <t xml:space="preserve">Banking &amp; Transaction Behaviour; Compliance &amp; Regulatory Filing; Financial &amp; Accounting Forensics; Operational Reality &amp; Physical Substance; Ownership, Structure &amp; Governance; Tax &amp; GST Data Forensics</t>
  </si>
  <si>
    <t xml:space="preserve">Compliance &amp; Regulatory Filing; Document &amp; Digital Forensics; Financial &amp; Accounting Forensics; Operational Reality &amp; Physical Substance; Tax &amp; GST Data Forensics</t>
  </si>
  <si>
    <t xml:space="preserve">AOC-2 Related Party Annexure</t>
  </si>
  <si>
    <t xml:space="preserve">Banking &amp; Transaction Behaviour; Compliance &amp; Regulatory Filing; Financial &amp; Accounting Forensics; Operational Reality &amp; Physical Substance; Ownership, Structure &amp; Governance; Tax &amp; GST Data Forensics; Trade, Customs &amp; Cross-Border</t>
  </si>
  <si>
    <t xml:space="preserve">Auditor Report</t>
  </si>
  <si>
    <t xml:space="preserve">Compliance &amp; Regulatory Filing; Financial &amp; Accounting Forensics; Network &amp; Cross-Entity Linkage</t>
  </si>
  <si>
    <t xml:space="preserve">INC-22 Registered Office</t>
  </si>
  <si>
    <t xml:space="preserve">Compliance &amp; Regulatory Filing; Network &amp; Cross-Entity Linkage; Operational Reality &amp; Physical Substance; Ownership, Structure &amp; Governance</t>
  </si>
  <si>
    <t xml:space="preserve">Litigation Database</t>
  </si>
  <si>
    <t xml:space="preserve">Bill of Entry</t>
  </si>
  <si>
    <t xml:space="preserve">Form 26AS</t>
  </si>
  <si>
    <t xml:space="preserve">Banking &amp; Transaction Behaviour; Compliance &amp; Regulatory Filing; Ownership, Structure &amp; Governance; Tax &amp; GST Data Forensics</t>
  </si>
  <si>
    <t xml:space="preserve">BEN-1 / BEN-2 Significant Beneficial Owner</t>
  </si>
  <si>
    <t xml:space="preserve">Compliance &amp; Regulatory Filing; External, Legal &amp; Behavioural; Network &amp; Cross-Entity Linkage; Ownership, Structure &amp; Governance</t>
  </si>
  <si>
    <t xml:space="preserve">CARO Annexure</t>
  </si>
  <si>
    <t xml:space="preserve">Compliance &amp; Regulatory Filing; Financial &amp; Accounting Forensics; Operational Reality &amp; Physical Substance</t>
  </si>
  <si>
    <t xml:space="preserve">Customs / ICEGATE Data</t>
  </si>
  <si>
    <t xml:space="preserve">Tax &amp; GST Data Forensics; Trade, Customs &amp; Cross-Border</t>
  </si>
  <si>
    <t xml:space="preserve">DIN Master Data</t>
  </si>
  <si>
    <t xml:space="preserve">Compliance &amp; Regulatory Filing; External, Legal &amp; Behavioural; Network &amp; Cross-Entity Linkage; Ownership, Structure &amp; Governance; Trade, Customs &amp; Cross-Border</t>
  </si>
  <si>
    <t xml:space="preserve">PAS-3 Return of Allotment</t>
  </si>
  <si>
    <t xml:space="preserve">Compliance &amp; Regulatory Filing; Financial &amp; Accounting Forensics; Ownership, Structure &amp; Governance; Tax &amp; GST Data Forensics</t>
  </si>
  <si>
    <t xml:space="preserve">DIR-3 KYC</t>
  </si>
  <si>
    <t xml:space="preserve">Compliance &amp; Regulatory Filing; Document &amp; Digital Forensics; External, Legal &amp; Behavioural; Network &amp; Cross-Entity Linkage; Ownership, Structure &amp; Governance</t>
  </si>
  <si>
    <t xml:space="preserve">SPICe+ / INC-32 Incorporation</t>
  </si>
  <si>
    <t xml:space="preserve">Compliance &amp; Regulatory Filing; External, Legal &amp; Behavioural; Network &amp; Cross-Entity Linkage; Operational Reality &amp; Physical Substance; Ownership, Structure &amp; Governance</t>
  </si>
  <si>
    <t xml:space="preserve">Banking &amp; Transaction Behaviour; Ownership, Structure &amp; Governance; Tax &amp; GST Data Forensics; Trade, Customs &amp; Cross-Border</t>
  </si>
  <si>
    <t xml:space="preserve">Adverse Media / News Archive</t>
  </si>
  <si>
    <t xml:space="preserve">Compliance &amp; Regulatory Filing; Document &amp; Digital Forensics; External, Legal &amp; Behavioural; Ownership, Structure &amp; Governance</t>
  </si>
  <si>
    <t xml:space="preserve">Bill of Lading / Airway Bill</t>
  </si>
  <si>
    <t xml:space="preserve">Company Website Content</t>
  </si>
  <si>
    <t xml:space="preserve">IP &amp; Device Fingerprint Log</t>
  </si>
  <si>
    <t xml:space="preserve">Banking &amp; Transaction Behaviour; Document &amp; Digital Forensics; Network &amp; Cross-Entity Linkage; Ownership, Structure &amp; Governance</t>
  </si>
  <si>
    <t xml:space="preserve">MGT-14 Resolutions</t>
  </si>
  <si>
    <t xml:space="preserve">Compliance &amp; Regulatory Filing; Financial &amp; Accounting Forensics; Network &amp; Cross-Entity Linkage; Operational Reality &amp; Physical Substance; Ownership, Structure &amp; Governance</t>
  </si>
  <si>
    <t xml:space="preserve">Board Report</t>
  </si>
  <si>
    <t xml:space="preserve">CHG-1 / CHG-4 / CHG-9 Index of Charges</t>
  </si>
  <si>
    <t xml:space="preserve">Banking &amp; Transaction Behaviour; Financial &amp; Accounting Forensics; Operational Reality &amp; Physical Substance; Ownership, Structure &amp; Governance</t>
  </si>
  <si>
    <t xml:space="preserve">E-Invoice IRN Data</t>
  </si>
  <si>
    <t xml:space="preserve">Compliance &amp; Regulatory Filing; Financial &amp; Accounting Forensics; Tax &amp; GST Data Forensics</t>
  </si>
  <si>
    <t xml:space="preserve">MCA Struck-Off Company List</t>
  </si>
  <si>
    <t xml:space="preserve">NCLT / NCLAT Orders</t>
  </si>
  <si>
    <t xml:space="preserve">ADT-1 Auditor Appointment</t>
  </si>
  <si>
    <t xml:space="preserve">GST Cancellation / Suspension Order</t>
  </si>
  <si>
    <t xml:space="preserve">Compliance &amp; Regulatory Filing; External, Legal &amp; Behavioural; Tax &amp; GST Data Forensics</t>
  </si>
  <si>
    <t xml:space="preserve">Signatory Details / DSC Register</t>
  </si>
  <si>
    <t xml:space="preserve">External, Legal &amp; Behavioural; Operational Reality &amp; Physical Substance</t>
  </si>
  <si>
    <t xml:space="preserve">Transfer Pricing Report (Form 3CEB)</t>
  </si>
  <si>
    <t xml:space="preserve">Ownership, Structure &amp; Governance; Tax &amp; GST Data Forensics; Trade, Customs &amp; Cross-Border</t>
  </si>
  <si>
    <t xml:space="preserve">AIS / TIS</t>
  </si>
  <si>
    <t xml:space="preserve">DIR-11 Director Resignation</t>
  </si>
  <si>
    <t xml:space="preserve">DPT-3 Return of Deposits</t>
  </si>
  <si>
    <t xml:space="preserve">Electricity / Utility Bill</t>
  </si>
  <si>
    <t xml:space="preserve">Loan Sanction / Facility Letter</t>
  </si>
  <si>
    <t xml:space="preserve">Banking &amp; Transaction Behaviour; External, Legal &amp; Behavioural; Trade, Customs &amp; Cross-Border</t>
  </si>
  <si>
    <t xml:space="preserve">MOA / AOA</t>
  </si>
  <si>
    <t xml:space="preserve">PAN Master Data</t>
  </si>
  <si>
    <t xml:space="preserve">Compliance &amp; Regulatory Filing; Document &amp; Digital Forensics</t>
  </si>
  <si>
    <t xml:space="preserve">Payroll Register</t>
  </si>
  <si>
    <t xml:space="preserve">ROC Disqualified Director List</t>
  </si>
  <si>
    <t xml:space="preserve">AOC-4 CFS Consolidated</t>
  </si>
  <si>
    <t xml:space="preserve">Cheque Return / Bounce Data</t>
  </si>
  <si>
    <t xml:space="preserve">Banking &amp; Transaction Behaviour; External, Legal &amp; Behavioural</t>
  </si>
  <si>
    <t xml:space="preserve">DGFT IEC Data</t>
  </si>
  <si>
    <t xml:space="preserve">ESIC Contribution Record</t>
  </si>
  <si>
    <t xml:space="preserve">Property Tax Record</t>
  </si>
  <si>
    <t xml:space="preserve">Rent Agreement / Lease Deed</t>
  </si>
  <si>
    <t xml:space="preserve">Sanctions &amp; PEP List</t>
  </si>
  <si>
    <t xml:space="preserve">Shops &amp; Establishment Licence</t>
  </si>
  <si>
    <t xml:space="preserve">Site Visit Report</t>
  </si>
  <si>
    <t xml:space="preserve">External, Legal &amp; Behavioural; Operational Reality &amp; Physical Substance; Ownership, Structure &amp; Governance</t>
  </si>
  <si>
    <t xml:space="preserve">INC-20A Commencement</t>
  </si>
  <si>
    <t xml:space="preserve">INC-22A ACTIVE</t>
  </si>
  <si>
    <t xml:space="preserve">Insurance Policy Record</t>
  </si>
  <si>
    <t xml:space="preserve">MSME-1 Return</t>
  </si>
  <si>
    <t xml:space="preserve">Photograph with Geotag</t>
  </si>
  <si>
    <t xml:space="preserve">STK-2 Strike Off Application</t>
  </si>
  <si>
    <t xml:space="preserve">TDS Returns (24Q / 26Q)</t>
  </si>
  <si>
    <t xml:space="preserve">Telephone Directory / Telecom Record</t>
  </si>
  <si>
    <t xml:space="preserve">Trademark / IP Registry</t>
  </si>
  <si>
    <t xml:space="preserve">Udyam / MSME Registration</t>
  </si>
  <si>
    <t xml:space="preserve">ADT-3 Auditor Resignation</t>
  </si>
  <si>
    <t xml:space="preserve">CERSAI Charge Registry</t>
  </si>
  <si>
    <t xml:space="preserve">Google Maps / Street Imagery</t>
  </si>
  <si>
    <t xml:space="preserve">LLP Form 8 / Form 11</t>
  </si>
  <si>
    <t xml:space="preserve">Letter of Credit</t>
  </si>
  <si>
    <t xml:space="preserve">MSC-1 / MSC-3 Dormant Status</t>
  </si>
  <si>
    <t xml:space="preserve">Professional Tax Record</t>
  </si>
  <si>
    <t xml:space="preserve">SH-7 Capital Increase</t>
  </si>
  <si>
    <t xml:space="preserve">Social Media / Employee Listing (LinkedIn)</t>
  </si>
  <si>
    <t xml:space="preserve">Vessel AIS Tracking</t>
  </si>
  <si>
    <t xml:space="preserve">DOCUMENT → RULE TRIGGER MAP</t>
  </si>
  <si>
    <t xml:space="preserve">DOCUMENT PRIORITY — obtain these file types first</t>
  </si>
  <si>
    <t xml:space="preserve">For every document in the Document Catalogue, the rule(s) from Indicator Master that fire on it, grouped by File Type. Built from the Primary Documents and Indicator columns of Indicator Master; File Type is derived from the leading (primary) document in each rule’s document list. This workbook has no per-company data, so this sheet is a general document → rule reference, not company-specific — see note below. Corroborating Rules / FP Risk / Benign Explanation are pulled from Indicator Master so a single rule firing is not treated as proof on its own — the workbook’s own methodology calls for flags from at least three different categories before escalating.</t>
  </si>
  <si>
    <t xml:space="preserve">File types ranked by how many Critical + High rules they unlock, from the table on the left. Collect the top of this list first.</t>
  </si>
  <si>
    <t xml:space="preserve">File Type</t>
  </si>
  <si>
    <t xml:space="preserve">Document (Primary — triggers this rule)</t>
  </si>
  <si>
    <t xml:space="preserve">Rule Trigger (Indicator)</t>
  </si>
  <si>
    <t xml:space="preserve">Alternate / Fallback Documents</t>
  </si>
  <si>
    <t xml:space="preserve">Benign Explanation (why this can be a false positive)</t>
  </si>
  <si>
    <t xml:space="preserve">Rank</t>
  </si>
  <si>
    <t xml:space="preserve">Critical+High</t>
  </si>
  <si>
    <t xml:space="preserve">Total Rules</t>
  </si>
  <si>
    <t xml:space="preserve">26AS</t>
  </si>
  <si>
    <t xml:space="preserve">AOC</t>
  </si>
  <si>
    <t xml:space="preserve">Derived / Cross-Entity</t>
  </si>
  <si>
    <t xml:space="preserve">GSTR</t>
  </si>
  <si>
    <t xml:space="preserve">3CD</t>
  </si>
  <si>
    <t xml:space="preserve">KYC</t>
  </si>
  <si>
    <t xml:space="preserve">Metadata</t>
  </si>
  <si>
    <t xml:space="preserve">MGT</t>
  </si>
  <si>
    <t xml:space="preserve">INC</t>
  </si>
  <si>
    <t xml:space="preserve">3CEB</t>
  </si>
  <si>
    <t xml:space="preserve">MCA</t>
  </si>
  <si>
    <t xml:space="preserve">PAS</t>
  </si>
  <si>
    <t xml:space="preserve">ADT</t>
  </si>
  <si>
    <t xml:space="preserve">EPFO</t>
  </si>
  <si>
    <t xml:space="preserve">Litigation</t>
  </si>
  <si>
    <t xml:space="preserve">DIR</t>
  </si>
  <si>
    <t xml:space="preserve">REG</t>
  </si>
  <si>
    <t xml:space="preserve">Bill of Lading</t>
  </si>
  <si>
    <t xml:space="preserve">Tender</t>
  </si>
  <si>
    <t xml:space="preserve">BEN</t>
  </si>
  <si>
    <t xml:space="preserve">ITR</t>
  </si>
  <si>
    <t xml:space="preserve">Sanctions/PEP</t>
  </si>
  <si>
    <t xml:space="preserve">NCLT</t>
  </si>
  <si>
    <t xml:space="preserve">CARO</t>
  </si>
  <si>
    <t xml:space="preserve">CIBIL/CRIF</t>
  </si>
  <si>
    <t xml:space="preserve">E-Way Bill</t>
  </si>
  <si>
    <t xml:space="preserve">Trade Invoice</t>
  </si>
  <si>
    <t xml:space="preserve">IP/Device</t>
  </si>
  <si>
    <t xml:space="preserve">ROC</t>
  </si>
  <si>
    <t xml:space="preserve">Google Maps</t>
  </si>
  <si>
    <t xml:space="preserve">TDS</t>
  </si>
  <si>
    <t xml:space="preserve">Utility Bill</t>
  </si>
  <si>
    <t xml:space="preserve">Vessel AIS</t>
  </si>
  <si>
    <t xml:space="preserve">E-Invoice</t>
  </si>
  <si>
    <t xml:space="preserve">CHG</t>
  </si>
  <si>
    <t xml:space="preserve">DIN</t>
  </si>
  <si>
    <t xml:space="preserve">SWIFT</t>
  </si>
  <si>
    <t xml:space="preserve">WHOIS</t>
  </si>
  <si>
    <t xml:space="preserve">DGFT</t>
  </si>
  <si>
    <t xml:space="preserve">DSC</t>
  </si>
  <si>
    <t xml:space="preserve">MOA/AOA</t>
  </si>
  <si>
    <t xml:space="preserve">Payroll</t>
  </si>
  <si>
    <t xml:space="preserve">SPICe+/INC</t>
  </si>
  <si>
    <t xml:space="preserve">Adverse Media</t>
  </si>
  <si>
    <t xml:space="preserve">MSC</t>
  </si>
  <si>
    <t xml:space="preserve">STK</t>
  </si>
  <si>
    <t xml:space="preserve">Website</t>
  </si>
  <si>
    <t xml:space="preserve">Customs</t>
  </si>
  <si>
    <t xml:space="preserve">Rent Agreement</t>
  </si>
  <si>
    <t xml:space="preserve">Shops &amp; Establishment</t>
  </si>
  <si>
    <t xml:space="preserve">Telecom Record</t>
  </si>
  <si>
    <t xml:space="preserve">Cheque Return</t>
  </si>
  <si>
    <t xml:space="preserve">DPT</t>
  </si>
  <si>
    <t xml:space="preserve">ESIC</t>
  </si>
  <si>
    <t xml:space="preserve">Email/MX</t>
  </si>
  <si>
    <t xml:space="preserve">Insurance</t>
  </si>
  <si>
    <t xml:space="preserve">MSME</t>
  </si>
  <si>
    <t xml:space="preserve">Professional Tax</t>
  </si>
  <si>
    <t xml:space="preserve">Property Tax</t>
  </si>
  <si>
    <t xml:space="preserve">SH</t>
  </si>
  <si>
    <t xml:space="preserve">Site Visit</t>
  </si>
  <si>
    <t xml:space="preserve">Social Media</t>
  </si>
  <si>
    <t xml:space="preserve">Trademark/IP</t>
  </si>
  <si>
    <t xml:space="preserve">UPI/IMPS/NEFT</t>
  </si>
  <si>
    <t xml:space="preserve">Udyam/MSME</t>
  </si>
  <si>
    <t xml:space="preserve">COMPANY-WISE RULE TRIGGERS — 13 entities, real findings</t>
  </si>
  <si>
    <t xml:space="preserve">Built from the Forensic Findings Report for these 13 entities (Sheet 8, Full Register). Shows the 107 real findings actually raised (Evidence Tiers A-D) — the 32 items the reviewer excluded as coverage limitations or explained matters are left out. "Rule Trigger" is the reviewer’s actual finding for that company and document, not a generic library rule. "Matched Indicator Master Rule" cross-references the generic 407-rule library only where a rule’s trigger condition genuinely matches the finding’s substance — left blank where it does not. In this data, 44 of 107 real findings have no library match: most are document-vs-document contradictions and narrative facts that a ratio/threshold rule library is not built to catch, which is expected and tells you where the library under-covers what a manual review actually finds.</t>
  </si>
  <si>
    <t xml:space="preserve">Company</t>
  </si>
  <si>
    <t xml:space="preserve">CIN</t>
  </si>
  <si>
    <t xml:space="preserve">Document (source, as filed)</t>
  </si>
  <si>
    <t xml:space="preserve">Rule Trigger (finding)</t>
  </si>
  <si>
    <t xml:space="preserve">Evidence Tier</t>
  </si>
  <si>
    <t xml:space="preserve">Strength</t>
  </si>
  <si>
    <t xml:space="preserve">Ref</t>
  </si>
  <si>
    <t xml:space="preserve">Matched Indicator Master Rule</t>
  </si>
  <si>
    <t xml:space="preserve">Match Confidence</t>
  </si>
  <si>
    <t xml:space="preserve">Match Rationale</t>
  </si>
  <si>
    <t xml:space="preserve">Adafoa Technology Private Limited</t>
  </si>
  <si>
    <t xml:space="preserve">U72200DL2022PTC392185</t>
  </si>
  <si>
    <t xml:space="preserve">All four Form SPICe MOA (INC-33) and Form SPICe AOA (INC-34) versions</t>
  </si>
  <si>
    <t xml:space="preserve">Incorporation documents resubmitted four times in 24 days with the objects clause rewritten at the final attempt</t>
  </si>
  <si>
    <t xml:space="preserve">A - Documentary contradiction</t>
  </si>
  <si>
    <t xml:space="preserve">Structural</t>
  </si>
  <si>
    <t xml:space="preserve">Adafoa-S-07</t>
  </si>
  <si>
    <t xml:space="preserve">No direct match in Indicator Master library</t>
  </si>
  <si>
    <t xml:space="preserve">No rule covers repeated resubmission of incorporation documents with the objects clause substituted at the final version shortly before approval; this is a bespoke document-timeline narrative.</t>
  </si>
  <si>
    <t xml:space="preserve">All four Form SPICe MOA (INC-33) versions</t>
  </si>
  <si>
    <t xml:space="preserve">The memorandum incorporates unamended template text from an unrelated agricultural entity</t>
  </si>
  <si>
    <t xml:space="preserve">Adafoa-S-08</t>
  </si>
  <si>
    <t xml:space="preserve">No rule addresses unamended template/boilerplate text from an unrelated business surviving in the memorandum of association.</t>
  </si>
  <si>
    <t xml:space="preserve">Form SPICe MOA (INC-33) dated 06 January 2022; Master data MCA Services.pdf</t>
  </si>
  <si>
    <t xml:space="preserve">Capital base is materially inadequate for the declared business activity</t>
  </si>
  <si>
    <t xml:space="preserve">B - Financial substance failure</t>
  </si>
  <si>
    <t xml:space="preserve">Financial</t>
  </si>
  <si>
    <t xml:space="preserve">Adafoa-F-06</t>
  </si>
  <si>
    <t xml:space="preserve">Library's capital-adequacy rule (OWN-027) tests paid-up capital against turnover, not against the funding needs implied by an objects clause for a pre-revenue entity; no rule fits this comparison.</t>
  </si>
  <si>
    <t xml:space="preserve">Master data MCA Services.pdf; Form SPICe AOA (INC-34) dated 06 January 2022; TheCompanyCheck</t>
  </si>
  <si>
    <t xml:space="preserve">An additional director has remained unregularised for more than four years</t>
  </si>
  <si>
    <t xml:space="preserve">C - Statutory non-compliance</t>
  </si>
  <si>
    <t xml:space="preserve">Adafoa-S-06</t>
  </si>
  <si>
    <t xml:space="preserve">No rule addresses the Companies Act s.161 mechanic under which an Additional Director's office lapses at the next AGM; this is a constitutional/statutory-lapse point the library does not model.</t>
  </si>
  <si>
    <t xml:space="preserve">Public Records</t>
  </si>
  <si>
    <t xml:space="preserve">TheCompanyCheck records for U72200DL2021PTC389339 and U36942DL2021PTC389076</t>
  </si>
  <si>
    <t xml:space="preserve">Two entities at the same premises present an identical capital and borrowing profile</t>
  </si>
  <si>
    <t xml:space="preserve">D - Network / relationship evidence</t>
  </si>
  <si>
    <t xml:space="preserve">Adafoa-F-08</t>
  </si>
  <si>
    <t xml:space="preserve">OWN-034 - Many unconnected entities share a single registered office address</t>
  </si>
  <si>
    <t xml:space="preserve">OWN-034 covers entities sharing one registered office; the added signal here (identical authorised/paid-up capital and identical no-borrowing status across the address-mates) goes beyond what that rule's trigger tests.</t>
  </si>
  <si>
    <t xml:space="preserve">Master data MCA Services.pdf and Certificate of Incorporation; TheCompanyCheck for the linked entities</t>
  </si>
  <si>
    <t xml:space="preserve">Three companies are registered at a single residential premises</t>
  </si>
  <si>
    <t xml:space="preserve">Adafoa-S-01</t>
  </si>
  <si>
    <t xml:space="preserve">OWN-008 - Registered office is a director's home that also hosts several other companies</t>
  </si>
  <si>
    <t xml:space="preserve">Matches OWN-008's pattern of a residential premises hosting several companies, reinforced here by the two founders being cross-appointed as directors of each other's co-located companies.</t>
  </si>
  <si>
    <t xml:space="preserve">TheCompanyCheck for Labuddy; Master data MCA Services.pdf and repository documents for the subject entity</t>
  </si>
  <si>
    <t xml:space="preserve">A materially identical entity exists at the same address</t>
  </si>
  <si>
    <t xml:space="preserve">Adafoa-S-02</t>
  </si>
  <si>
    <t xml:space="preserve">NET-009 - Block of entities incorporated by one agent inside a narrow window with shared attributes</t>
  </si>
  <si>
    <t xml:space="preserve">Approximates NET-009's cluster-of-entities-with-shared-attributes trigger (same address, NIC code, capital figures and a common director, incorporated two months apart), though the rule is framed around a broader block rather than one near-duplicate entity.</t>
  </si>
  <si>
    <t xml:space="preserve">Form SPICe AOA (INC-34) dated 06 January 2022; Master data MCA Services.pdf; TheCompanyCheck</t>
  </si>
  <si>
    <t xml:space="preserve">A founding 50 percent shareholder has vacated the board and every other directorship held</t>
  </si>
  <si>
    <t xml:space="preserve">Adafoa-S-03</t>
  </si>
  <si>
    <t xml:space="preserve">No rule addresses a 50% shareholder who assumes and then vacates directorships across multiple companies in rapid succession while retaining equity; this is a bespoke control-without-office narrative.</t>
  </si>
  <si>
    <t xml:space="preserve">Master data MCA Services.pdf; TheCompanyCheck</t>
  </si>
  <si>
    <t xml:space="preserve">Coordinated director substitution across two linked entities four days apart</t>
  </si>
  <si>
    <t xml:space="preserve">Adafoa-S-04</t>
  </si>
  <si>
    <t xml:space="preserve">OWN-013 - The same handful of DINs rotate as directors across a cluster of companies</t>
  </si>
  <si>
    <t xml:space="preserve">Consistent with OWN-013's pattern of the same DIN rotating across a cluster of companies, here as a director substitution succeeding the same departing officer at two linked entities four days apart.</t>
  </si>
  <si>
    <t xml:space="preserve">TheCompanyCheck; MyCorporateInfo</t>
  </si>
  <si>
    <t xml:space="preserve">A founder holds directorships across unrelated sectors assumed in rapid succession</t>
  </si>
  <si>
    <t xml:space="preserve">Adafoa-S-05</t>
  </si>
  <si>
    <t xml:space="preserve">NET-012 - Individual holds abnormally many directorships across unrelated sectors and states</t>
  </si>
  <si>
    <t xml:space="preserve">Direct match: one individual holding directorships in unrelated sectors (toys, gaming software, pharmaceuticals) assumed in rapid succession is exactly NET-012's trigger.</t>
  </si>
  <si>
    <t xml:space="preserve">Form SPICe MOA (INC-33) and Form SPICe AOA (INC-34) dated 06 January 2022; TheCompanyCheck</t>
  </si>
  <si>
    <t xml:space="preserve">Two newly registered directors from different states holding an exact equal split with no stated connection</t>
  </si>
  <si>
    <t xml:space="preserve">Adafoa-S-10</t>
  </si>
  <si>
    <t xml:space="preserve">No rule covers two co-founders' demographic and DIN-allotment-band similarity as circumstantial evidence of an undisclosed relationship; this is a bespoke narrative inference, not a structured-field trigger.</t>
  </si>
  <si>
    <t xml:space="preserve">Baglan Farmers Producer Company Limited</t>
  </si>
  <si>
    <t xml:space="preserve">U01100MH2019PTC320804</t>
  </si>
  <si>
    <t xml:space="preserve">COI</t>
  </si>
  <si>
    <t xml:space="preserve">Certificate of Incorporation dated 07 February 2019; Form INC-20A filed 30 December 2020</t>
  </si>
  <si>
    <t xml:space="preserve">The declaration for commencement of business was filed 512 days after the statutory deadline</t>
  </si>
  <si>
    <t xml:space="preserve">Compliance</t>
  </si>
  <si>
    <t xml:space="preserve">Baglan-C-01</t>
  </si>
  <si>
    <t xml:space="preserve">CMP-012 - INC-20A commencement declaration never filed while the entity transacts</t>
  </si>
  <si>
    <t xml:space="preserve">CMP-012 targets INC-20A non-filing; here the declaration was eventually filed but 512 days late, engaging the same statutory failure point though the rule's stated trigger is non-filing rather than delayed filing.</t>
  </si>
  <si>
    <t xml:space="preserve">Form ADT-1 filed 29 January 2021; Form ADT-1 filed 14 October 2025</t>
  </si>
  <si>
    <t xml:space="preserve">The auditor's notified term expired before the next auditor notice was filed</t>
  </si>
  <si>
    <t xml:space="preserve">Baglan-C-02</t>
  </si>
  <si>
    <t xml:space="preserve">CMP-022 - ADT-1 never filed — no statutory auditor on record</t>
  </si>
  <si>
    <t xml:space="preserve">CMP-022 covers absence of a statutory auditor of record; the gap between the notified auditor's term expiring and the next ADT-1 (filed ~19 months later) leaves the company without an evidenced auditor for that period, the same underlying condition.</t>
  </si>
  <si>
    <t xml:space="preserve">Certificate of Incorporation dated 07 February 2019; Form INC-22 filed 08 March 2019</t>
  </si>
  <si>
    <t xml:space="preserve">The registered office recorded at incorporation was a care-of address at a named individual's premises and was abandoned within 29 days</t>
  </si>
  <si>
    <t xml:space="preserve">Baglan-S-01</t>
  </si>
  <si>
    <t xml:space="preserve">A single relocation completed within the ordinary time from a care-of incorporation address does not match the 'repeated shifting' or lateness that the closest rule (CMP-014) targets.</t>
  </si>
  <si>
    <t xml:space="preserve">Certificate of Incorporation; Form INC-22 filings of 08 March 2019, 29 April 2023 and 17 November 2025; Form PAS-3 filed 03 April 2024</t>
  </si>
  <si>
    <t xml:space="preserve">Three changes of registered office, the most recent moving the office out of the taluka recorded at incorporation</t>
  </si>
  <si>
    <t xml:space="preserve">Baglan-S-02</t>
  </si>
  <si>
    <t xml:space="preserve">CMP-014 - INC-22 registered office not filed in time or office shifted repeatedly</t>
  </si>
  <si>
    <t xml:space="preserve">Matches CMP-014's 'registered office shifted repeatedly' trigger — three INC-22 changes, the last taking the office outside the taluka recorded at incorporation.</t>
  </si>
  <si>
    <t xml:space="preserve">Extraction records for all four entities at E:\claude_analysis\raw</t>
  </si>
  <si>
    <t xml:space="preserve">A single personal email address serves as the filing contact for the subject entity and three other producer companies in the repository</t>
  </si>
  <si>
    <t xml:space="preserve">Baglan-S-04</t>
  </si>
  <si>
    <t xml:space="preserve">NET-003 - Several unrelated entities file under one email address or one free-mail mailbox family</t>
  </si>
  <si>
    <t xml:space="preserve">Direct match: one personal email address serving as the filing contact for four unrelated producer companies is exactly NET-003's shared-mailbox trigger.</t>
  </si>
  <si>
    <t xml:space="preserve">Form ADT-1 filed 29 January 2021; Form INC-20A filed 30 December 2020; extraction records for Girna-Parisar and Kasamade</t>
  </si>
  <si>
    <t xml:space="preserve">One audit firm and one certifying company secretary recur across the cluster</t>
  </si>
  <si>
    <t xml:space="preserve">Baglan-S-05</t>
  </si>
  <si>
    <t xml:space="preserve">OWN-042 - One practising professional or audit firm certifies every entity in the cluster; NET-007 - One audit firm signs for an improbable share of already-flagged entities</t>
  </si>
  <si>
    <t xml:space="preserve">One audit firm and one certifying company secretary recurring across the cluster is OWN-042's single-gatekeeper-certifies-every-entity trigger.</t>
  </si>
  <si>
    <t xml:space="preserve">Extraction records for the three entities at E:\claude_analysis\raw</t>
  </si>
  <si>
    <t xml:space="preserve">Three producer companies in the cluster were incorporated within a five-day window with registration numbers in a 238-number band</t>
  </si>
  <si>
    <t xml:space="preserve">Baglan-S-06</t>
  </si>
  <si>
    <t xml:space="preserve">NET-010 - Near-sequential CINs or GSTINs concentrated inside one suspect cluster; OWN-033 - A cluster of related entities all incorporated within one short window</t>
  </si>
  <si>
    <t xml:space="preserve">Direct match: three producer companies incorporated within a five-day window with registration numbers in a 238-number band is NET-010's near-sequential-identifier cluster trigger.</t>
  </si>
  <si>
    <t xml:space="preserve">Extraction records for Baglan and Girna-Parisar at E:\claude_analysis\raw</t>
  </si>
  <si>
    <t xml:space="preserve">The principal signatory's DIN was allotted at effectively the same time as a DIN used by a sibling entity</t>
  </si>
  <si>
    <t xml:space="preserve">Baglan-S-07</t>
  </si>
  <si>
    <t xml:space="preserve">NET-010 - Near-sequential CINs or GSTINs concentrated inside one suspect cluster</t>
  </si>
  <si>
    <t xml:space="preserve">Same near-sequential-identifier logic as NET-010, but applied to DIN allotment sequence rather than the CIN/GSTIN the rule names, so the fit is approximate.</t>
  </si>
  <si>
    <t xml:space="preserve">Balbir Holdings Private Limited</t>
  </si>
  <si>
    <t xml:space="preserve">U65990MH1996PTC101262</t>
  </si>
  <si>
    <t xml:space="preserve">Form AOC-4 filed 07 December 2019 for 2018-19; MCA master data extract dated 24 January 2026, index of charges</t>
  </si>
  <si>
    <t xml:space="preserve">High finance cost despite nil closing borrowings</t>
  </si>
  <si>
    <t xml:space="preserve">Balbir-F-01</t>
  </si>
  <si>
    <t xml:space="preserve">FIN-041 - Interest expense inconsistent with declared borrowings and registered charges</t>
  </si>
  <si>
    <t xml:space="preserve">Direct match: finance cost booked against nil closing borrowings and no registered charge is exactly FIN-041's interest-inconsistent-with-declared-borrowings trigger.</t>
  </si>
  <si>
    <t xml:space="preserve">MCA master data extract dated 24 January 2026</t>
  </si>
  <si>
    <t xml:space="preserve">Registered office recorded at a hotel building with invalid pincode</t>
  </si>
  <si>
    <t xml:space="preserve">Balbir-S-03</t>
  </si>
  <si>
    <t xml:space="preserve">OPS-007 - Registered address unverifiable — incomplete, PIN mismatched or landmark-free</t>
  </si>
  <si>
    <t xml:space="preserve">Direct match: an unverifiable registered address bearing an impossible pincode (000000) is exactly OPS-007's trigger.</t>
  </si>
  <si>
    <t xml:space="preserve">Form AOC-4 filed 18 December 2018 for 2017-18; Form AOC-4 filed 07 December 2019 for 2018-19</t>
  </si>
  <si>
    <t xml:space="preserve">Industry classification changed between consecutive financial years</t>
  </si>
  <si>
    <t xml:space="preserve">Balbir-S-06</t>
  </si>
  <si>
    <t xml:space="preserve">No rule covers a self-declared industry-type field (NBFC vs COIC) changing between consecutive AOC-4 filings while the CIN's NIC classification stays fixed.</t>
  </si>
  <si>
    <t xml:space="preserve">Large investment balance with no separately recorded other income</t>
  </si>
  <si>
    <t xml:space="preserve">Balbir-F-02</t>
  </si>
  <si>
    <t xml:space="preserve">No rule targets a large investment balance producing no recorded income over two years; the closest asset-composition rule (FIN-015) tests balance-sheet composition, not income yield on investments.</t>
  </si>
  <si>
    <t xml:space="preserve">Large other-current-liability balance relative to revenue</t>
  </si>
  <si>
    <t xml:space="preserve">Balbir-F-03</t>
  </si>
  <si>
    <t xml:space="preserve">FIN-059 - Notes to accounts blank, boilerplate or missing mandatory Schedule III disclosures</t>
  </si>
  <si>
    <t xml:space="preserve">Aligns with FIN-059's disclosure-quality trigger (a large balance with no disclosed composition), though framed here via a liability-to-revenue ratio rather than the notes-to-accounts framing FIN-059 targets.</t>
  </si>
  <si>
    <t xml:space="preserve">Form AOC-4 filed 07 December 2019 for 2018-19</t>
  </si>
  <si>
    <t xml:space="preserve">Very low employee expense relative to company assets and revenue</t>
  </si>
  <si>
    <t xml:space="preserve">Balbir-F-05</t>
  </si>
  <si>
    <t xml:space="preserve">FIN-007's trigger is employee expense below 0.5% of turnover; the actual ratio here (~6.9% of revenue) does not meet that threshold, and the finding itself compares to total assets rather than turnover, so the rule's specific trigger is not met despite topical overlap.</t>
  </si>
  <si>
    <t xml:space="preserve">No balance sheet recorded for five consecutive financial years</t>
  </si>
  <si>
    <t xml:space="preserve">Balbir-C-01</t>
  </si>
  <si>
    <t xml:space="preserve">CMP-007 - AOC-4 and MGT-7 not filed for two or more consecutive financial years</t>
  </si>
  <si>
    <t xml:space="preserve">Direct match: no balance sheet/annual return for five consecutive financial years is exactly CMP-007's two-or-more-year non-filing trigger.</t>
  </si>
  <si>
    <t xml:space="preserve">Additional Director remained unregularised for approximately six years</t>
  </si>
  <si>
    <t xml:space="preserve">Balbir-C-02</t>
  </si>
  <si>
    <t xml:space="preserve">Same s.161 Additional-Director-lapses-at-AGM mechanic as Adafoa-S-06; no library rule models this.</t>
  </si>
  <si>
    <t xml:space="preserve">Form AOC-4 and Form MGT-7 for 2017-18 filed 18 December 2018; Form AOC-4 filed 07 December 2019 and Form MGT-7 filed 12 December 2019 for 2018-19; Form AOC-4 filed 12 February 2021 and Form MGT-7 filed 02 March 2021 for 2019-20</t>
  </si>
  <si>
    <t xml:space="preserve">All annual filings on record were submitted late</t>
  </si>
  <si>
    <t xml:space="preserve">Balbir-C-03</t>
  </si>
  <si>
    <t xml:space="preserve">CMP-009 - Every annual filing late with additional fee, or filed only after a ROC notice</t>
  </si>
  <si>
    <t xml:space="preserve">Direct match: all six AOC-4/MGT-7 filings on record were filed late, matching CMP-009's 'every annual filing late' trigger.</t>
  </si>
  <si>
    <t xml:space="preserve">Form MGT-7 filed 02 March 2021 for 2019-20; MCA master data extract dated 24 January 2026</t>
  </si>
  <si>
    <t xml:space="preserve">Twenty-five percent of share capital transferred during the same year as appointment of a new director</t>
  </si>
  <si>
    <t xml:space="preserve">Balbir-S-01</t>
  </si>
  <si>
    <t xml:space="preserve">No rule covers an undocumented 25% share transfer with no identified transferee coinciding with a new director's appointment.</t>
  </si>
  <si>
    <t xml:space="preserve">MCA master data extract dated 24 January 2026; extraction records for Efan Gold, Digivolution Consultancy and Well Fin Securities at E:\claude_analysis\raw</t>
  </si>
  <si>
    <t xml:space="preserve">Common director across four companies in multiple sectors and states</t>
  </si>
  <si>
    <t xml:space="preserve">Balbir-S-02</t>
  </si>
  <si>
    <t xml:space="preserve">Direct match: one DIN holding office across four unrelated companies spanning financial services, gold and securities in three states.</t>
  </si>
  <si>
    <t xml:space="preserve">Digivolution Consultancy Private Limited</t>
  </si>
  <si>
    <t xml:space="preserve">U74999MH2019PTC324789</t>
  </si>
  <si>
    <t xml:space="preserve">Form AOC-4 filed 22 January 2021 for 2019-20; Form AOC-4 filed 31 January 2022 for 2020-21</t>
  </si>
  <si>
    <t xml:space="preserve">Revenue reclassified from sale of services to sale of goods between consecutive years</t>
  </si>
  <si>
    <t xml:space="preserve">Digivolution-F-02</t>
  </si>
  <si>
    <t xml:space="preserve">No rule addresses revenue being reclassified between sale of services and sale of goods across consecutive years while the entity's registered NIC code and headcount stay unchanged.</t>
  </si>
  <si>
    <t xml:space="preserve">Form AOC-4 filed 22 January 2021 for 2019-20 and its attachment, the financial statements authenticated under section 134</t>
  </si>
  <si>
    <t xml:space="preserve">Signed financial statements for 2019-20 do not balance and classify assets differently from the filed form</t>
  </si>
  <si>
    <t xml:space="preserve">Definitive</t>
  </si>
  <si>
    <t xml:space="preserve">Digivolution-F-03</t>
  </si>
  <si>
    <t xml:space="preserve">No rule targets a signed balance sheet that fails to balance, or an asset classified differently in the signed attachment versus the filed form; this is a document-arithmetic contradiction outside the numeric-ratio rule set.</t>
  </si>
  <si>
    <t xml:space="preserve">Form MGT-7A filed 31 January 2022 for 2020-21; MCA master data extract dated 26 January 2026</t>
  </si>
  <si>
    <t xml:space="preserve">The 2020-21 annual return was signed by a DIN that appears nowhere else as a director of the company</t>
  </si>
  <si>
    <t xml:space="preserve">Digivolution-S-03</t>
  </si>
  <si>
    <t xml:space="preserve">No rule addresses an annual return certified by a DIN that does not otherwise appear as a director anywhere in the company's records; the closest rule (DIG-013) tests digital-signature-certificate validity, a different data domain.</t>
  </si>
  <si>
    <t xml:space="preserve">Form AOC-4 filed 31 January 2022 for 2020-21; MCA master data extract dated 26 January 2026</t>
  </si>
  <si>
    <t xml:space="preserve">Turnover of INR 1.25 crore supported by paid-up capital of INR 1,00,000 and year-end cash of INR 39,359</t>
  </si>
  <si>
    <t xml:space="preserve">Digivolution-F-01</t>
  </si>
  <si>
    <t xml:space="preserve">FIN-024 - Cash and bank balances near zero at every period end despite large turnover</t>
  </si>
  <si>
    <t xml:space="preserve">Matches FIN-024's near-zero cash despite large turnover trigger (year-end cash of INR 39,359 against revenue of INR 1.25 crore), though only one year's data is available rather than the 'every period end' pattern the rule contemplates.</t>
  </si>
  <si>
    <t xml:space="preserve">Form AOC-4 filed 31 January 2022 for 2020-21</t>
  </si>
  <si>
    <t xml:space="preserve">Other expenses of INR 76,06,898 represent 61 percent of revenue with no disclosed composition</t>
  </si>
  <si>
    <t xml:space="preserve">Digivolution-F-04</t>
  </si>
  <si>
    <t xml:space="preserve">Direct match: other expenses at 61% of revenue with no disclosed composition breaches the Schedule III materiality threshold FIN-059 targets.</t>
  </si>
  <si>
    <t xml:space="preserve">MCA master data extract dated 26 January 2026</t>
  </si>
  <si>
    <t xml:space="preserve">No balance sheet recorded for four consecutive financial years</t>
  </si>
  <si>
    <t xml:space="preserve">Digivolution-C-01</t>
  </si>
  <si>
    <t xml:space="preserve">Direct match: no balance sheet for four consecutive financial years, same trigger as CMP-007.</t>
  </si>
  <si>
    <t xml:space="preserve">Form AOC-4 and Form MGT-7A both filed 31 January 2022 for 2020-21; Form AOC-4 and Form MGT-7 both filed 22 January 2021 for 2019-20</t>
  </si>
  <si>
    <t xml:space="preserve">Annual filings for 2020-21 submitted after their due dates</t>
  </si>
  <si>
    <t xml:space="preserve">Digivolution-C-02</t>
  </si>
  <si>
    <t xml:space="preserve">A single year's late filing, expressly contrasted against a prior year filed on time, does not match CMP-009's pattern of consistently late filing.</t>
  </si>
  <si>
    <t xml:space="preserve">MCA master data extract dated 26 January 2026; Form AOC-4 for 2019-20 and 2020-21, governance signatory fields</t>
  </si>
  <si>
    <t xml:space="preserve">Entire board replaced on one date by two individuals holding consecutively allotted DINs</t>
  </si>
  <si>
    <t xml:space="preserve">Digivolution-S-01</t>
  </si>
  <si>
    <t xml:space="preserve">OWN-014 - First subscribers and directors are a formation agent's own staff</t>
  </si>
  <si>
    <t xml:space="preserve">Consistent with OWN-014's formation-agent-staff pattern — the entire founding board replaced by two individuals with consecutively allotted DINs, both categorised Professional.</t>
  </si>
  <si>
    <t xml:space="preserve">Form MGT-7 filed 22 January 2021 for 2019-20; Form MGT-7A filed 31 January 2022 for 2020-21; MCA master data extract dated 26 January 2026</t>
  </si>
  <si>
    <t xml:space="preserve">Ninety-nine percent of the equity is held by one non-resident individual who no longer appears on the board</t>
  </si>
  <si>
    <t xml:space="preserve">Digivolution-S-02</t>
  </si>
  <si>
    <t xml:space="preserve">No rule addresses a 99% shareholder who has left the board with no share transfer recorded; this is a share-register-versus-board-membership contradiction, not a numeric ownership-concentration test.</t>
  </si>
  <si>
    <t xml:space="preserve">Certificate of Incorporation dated 01 May 2019; Form MGT-14 filed 28 April 2020 with altered memorandum and the Registrar's certificate of registration dated 11 May 2020</t>
  </si>
  <si>
    <t xml:space="preserve">Object clauses altered within twelve months of incorporation</t>
  </si>
  <si>
    <t xml:space="preserve">Digivolution-S-04</t>
  </si>
  <si>
    <t xml:space="preserve">No rule flags object-clause alteration within twelve months of incorporation specifically.</t>
  </si>
  <si>
    <t xml:space="preserve">Extraction records for Digivolution Consultancy, Balbir Holdings, Efan Gold and Well Fin Securities at E:\claude_analysis\raw</t>
  </si>
  <si>
    <t xml:space="preserve">A director and controlling shareholder of this company appears on the boards of three further companies in the same repository</t>
  </si>
  <si>
    <t xml:space="preserve">Digivolution-S-06</t>
  </si>
  <si>
    <t xml:space="preserve">Direct match: same DIN recurring as director across three further companies in the repository.</t>
  </si>
  <si>
    <t xml:space="preserve">Dow Chemical International Private Limited</t>
  </si>
  <si>
    <t xml:space="preserve">U24239MH1998PTC113551</t>
  </si>
  <si>
    <t xml:space="preserve">Form AOC-4 XBRL filed 26 December 2018, 27 October 2021, 22 November 2022 and 27 October 2023</t>
  </si>
  <si>
    <t xml:space="preserve">Financial statements revised and re-filed in four of the nine years on record</t>
  </si>
  <si>
    <t xml:space="preserve">Dow-C-02</t>
  </si>
  <si>
    <t xml:space="preserve">FIN-060 - Prior-period figures restated or accounting policy changed repeatedly</t>
  </si>
  <si>
    <t xml:space="preserve">Matches FIN-060's repeated-restatement trigger (financial statements revised and re-filed in four of nine years), though the finding itself assesses this as routine and non-adverse.</t>
  </si>
  <si>
    <t xml:space="preserve">Efan Gold Private Limited</t>
  </si>
  <si>
    <t xml:space="preserve">U74999HR2019PTC078894</t>
  </si>
  <si>
    <t xml:space="preserve">Form AOC-4 filed 27 February 2021 for 2019-20</t>
  </si>
  <si>
    <t xml:space="preserve">The auditor appointment reference quoted in the financial statements is a placeholder value</t>
  </si>
  <si>
    <t xml:space="preserve">Efan-C-03</t>
  </si>
  <si>
    <t xml:space="preserve">The placeholder SRN (Z99999999) quoted for the auditor's ADT-1, with no ADT-1 actually present in the folder, is the same underlying condition CMP-022 targets — no statutory auditor evidenced on record.</t>
  </si>
  <si>
    <t xml:space="preserve">Form SPICe MOA (INC-33) dated 27 February 2019; Form AOC-4 filed 27 February 2021 for 2019-20; MCA master data extract dated 26 January 2026</t>
  </si>
  <si>
    <t xml:space="preserve">Paid-up capital increased 113-fold within the first financial year, with no allotment document in the records examined</t>
  </si>
  <si>
    <t xml:space="preserve">Efan-F-01</t>
  </si>
  <si>
    <t xml:space="preserve">No rule covers a capital increase recorded in AOC-4/master data with no PAS-3 or SH-7 anywhere in the record; the library's capital rules test money-versus-filing mismatches, not complete absence of the allotment filing.</t>
  </si>
  <si>
    <t xml:space="preserve">Form MGT-7 filed 10 March 2021 and Form AOC-4 filed 27 February 2021, both for 2019-20</t>
  </si>
  <si>
    <t xml:space="preserve">The annual return and the financial statements for the same year state different share counts</t>
  </si>
  <si>
    <t xml:space="preserve">Efan-S-01</t>
  </si>
  <si>
    <t xml:space="preserve">Cross-form share-count contradiction between MGT-7 and AOC-4 for the same year is a document-vs-document narrative the numeric rule set does not test.</t>
  </si>
  <si>
    <t xml:space="preserve">Form SPICe MOA (INC-33) dated 27 February 2019, subscriber sheet; Form MGT-7 filed 10 March 2021 for 2019-20</t>
  </si>
  <si>
    <t xml:space="preserve">A person who was not a subscriber is recorded as a shareholder at year end in a return reporting no transfers</t>
  </si>
  <si>
    <t xml:space="preserve">Efan-S-02</t>
  </si>
  <si>
    <t xml:space="preserve">An internal contradiction within a single MGT-7 (a non-subscriber shown as a shareholder while the same return reports nil transfers) has no library equivalent.</t>
  </si>
  <si>
    <t xml:space="preserve">Form SPICe MOA (INC-33) dated 27 February 2019, main object clause; Certificate of Incorporation dated 01 March 2019; Form AOC-4 filed 27 February 2021 for 2019-20</t>
  </si>
  <si>
    <t xml:space="preserve">The registered activity classification does not match the company's sole stated object or its reported revenue mix</t>
  </si>
  <si>
    <t xml:space="preserve">Efan-S-05</t>
  </si>
  <si>
    <t xml:space="preserve">CMP-015 - Main objects in MOA never aligned to the actual line of business</t>
  </si>
  <si>
    <t xml:space="preserve">Consistent with CMP-015's objects-versus-actual-business misalignment trigger, extended here to a three-way mismatch between NIC code, the sole main object and the reported revenue mix.</t>
  </si>
  <si>
    <t xml:space="preserve">Form AOC-4 filed 27 February 2021 for 2019-20, current and previous year columns</t>
  </si>
  <si>
    <t xml:space="preserve">Turnover of INR 7.21 crore generated in the first full year from an opening capital base of INR 1,00,000</t>
  </si>
  <si>
    <t xml:space="preserve">Efan-F-02</t>
  </si>
  <si>
    <t xml:space="preserve">OWN-027 - Paid-up capital negligible against the turnover and exposures being run</t>
  </si>
  <si>
    <t xml:space="preserve">Direct match: paid-up capital of INR 1,00,000 against first full-year turnover of INR 7.21 crore is exactly OWN-027's capital-negligible-against-turnover trigger.</t>
  </si>
  <si>
    <t xml:space="preserve">Form AOC-4 filed 27 February 2021 for 2019-20, other disclosures and balance sheet</t>
  </si>
  <si>
    <t xml:space="preserve">Rent of INR 1,07,34,120 paid in a single year against a total fixed asset base of INR 43,10,908</t>
  </si>
  <si>
    <t xml:space="preserve">Efan-F-03</t>
  </si>
  <si>
    <t xml:space="preserve">No rule tests rent paid against the tangible fixed-asset base; the closest rules address nil rent or related-party rent pricing, neither of which fits a large arm's-length rent figure exceeding the entire asset base.</t>
  </si>
  <si>
    <t xml:space="preserve">Other expenses of INR 6,15,99,220 represent 85 percent of revenue with no disclosed composition</t>
  </si>
  <si>
    <t xml:space="preserve">Efan-F-04</t>
  </si>
  <si>
    <t xml:space="preserve">Direct match: other expenses at 85% of revenue with no disclosed composition, the same Schedule III disclosure-quality trigger as Digivolution-F-04.</t>
  </si>
  <si>
    <t xml:space="preserve">A deferred tax asset of INR 22,79,949 was recognised in the first reported year, reducing a loss</t>
  </si>
  <si>
    <t xml:space="preserve">Efan-F-05</t>
  </si>
  <si>
    <t xml:space="preserve">No rule addresses AS-22 deferred-tax-asset recognition against a first-year pre-tax loss without virtual certainty of future taxable income.</t>
  </si>
  <si>
    <t xml:space="preserve">Efan-C-01</t>
  </si>
  <si>
    <t xml:space="preserve">Direct match: no balance sheet for five consecutive financial years.</t>
  </si>
  <si>
    <t xml:space="preserve">An Additional Director appointed after the last recorded AGM has remained unregularised for nearly four years</t>
  </si>
  <si>
    <t xml:space="preserve">Efan-C-02</t>
  </si>
  <si>
    <t xml:space="preserve">Same s.161 Additional-Director-lapses-at-AGM mechanic; no library rule models it.</t>
  </si>
  <si>
    <t xml:space="preserve">Form AOC-4 filed 27 February 2021 and Form MGT-7 filed 10 March 2021, both for 2019-20</t>
  </si>
  <si>
    <t xml:space="preserve">Both annual filings for the only reported financial year were made after their due dates</t>
  </si>
  <si>
    <t xml:space="preserve">Efan-C-04</t>
  </si>
  <si>
    <t xml:space="preserve">Direct match: both annual filings for the only reported year were made after their due dates.</t>
  </si>
  <si>
    <t xml:space="preserve">MCA master data extract dated 26 January 2026; Form SPICe MOA (INC-33) dated 27 February 2019; Form AOC-4 and Form MGT-7 for 2019-20</t>
  </si>
  <si>
    <t xml:space="preserve">Complete separation between the persons who founded and reported for the company and those now on the board</t>
  </si>
  <si>
    <t xml:space="preserve">Efan-S-03</t>
  </si>
  <si>
    <t xml:space="preserve">OWN-004 - Director turnover far above peer norm (DIR-12 and DIR-11 velocity)</t>
  </si>
  <si>
    <t xml:space="preserve">Consistent with OWN-004's above-norm director-turnover trigger — every person associated with founding and reporting the company has been replaced on the current board.</t>
  </si>
  <si>
    <t xml:space="preserve">MCA master data extract dated 26 January 2026; email recorded on the annual filings for 2019-20</t>
  </si>
  <si>
    <t xml:space="preserve">Neither registered contact address belongs to the company</t>
  </si>
  <si>
    <t xml:space="preserve">Efan-S-06</t>
  </si>
  <si>
    <t xml:space="preserve">OPS-034 - Business correspondence on free webmail despite large turnover; DIG-022 - Free webmail is the official contact for a high-turnover entity across all filings</t>
  </si>
  <si>
    <t xml:space="preserve">Direct match: business correspondence carried on a personal free-mail account (with an unrelated domain as the official contact) and no entity-owned domain is exactly OPS-034/DIG-022's free-webmail-as-official-contact trigger.</t>
  </si>
  <si>
    <t xml:space="preserve">Form AOC-4 and Form MGT-7 for 2019-20; extraction records for Balbir Holdings, Digivolution Consultancy and Well Fin Securities at E:\claude_analysis\raw</t>
  </si>
  <si>
    <t xml:space="preserve">A director and shareholder of this company appears in three further companies in the same repository</t>
  </si>
  <si>
    <t xml:space="preserve">Efan-S-07</t>
  </si>
  <si>
    <t xml:space="preserve">Direct match: same DIN recurring as director/shareholder across three further companies in the repository.</t>
  </si>
  <si>
    <t xml:space="preserve">MCA master data extract dated 26 January 2026; extraction record for Adafoa Technology Private Limited at E:\claude_analysis\raw</t>
  </si>
  <si>
    <t xml:space="preserve">The same individual was appointed Additional Director of this company and of a Delhi company four days apart, holding no other board position</t>
  </si>
  <si>
    <t xml:space="preserve">Efan-S-08</t>
  </si>
  <si>
    <t xml:space="preserve">Same DIN rotating into Additional Director roles at two group entities four days apart matches OWN-013's cluster-rotation trigger.</t>
  </si>
  <si>
    <t xml:space="preserve">Girna-Parisar Farmers Producer Company Limited</t>
  </si>
  <si>
    <t xml:space="preserve">U01400MH2019PTC320850</t>
  </si>
  <si>
    <t xml:space="preserve">Form CHG-1 filed 18 November 2023 and Certificate of registration of charge dated 18 November 2023; Form AOC-4 filed 15 February 2021 for 2019-20</t>
  </si>
  <si>
    <t xml:space="preserve">Security of INR 14,00,000 granted by an entity whose only reported balance sheet totals INR 1,21,460</t>
  </si>
  <si>
    <t xml:space="preserve">Girna-F-01</t>
  </si>
  <si>
    <t xml:space="preserve">FIN-049 - Corporate guarantees given far out of proportion to net worth</t>
  </si>
  <si>
    <t xml:space="preserve">Closest to FIN-049's disproportionate-guarantee-to-net-worth trigger; the instrument here is a registered charge rather than a guarantee, but the underlying disproportion (INR 14 lakh security against a company with total assets of INR 1.21 lakh) is the same substance.</t>
  </si>
  <si>
    <t xml:space="preserve">Form AOC-4 filed 15 February 2021 for 2019-20</t>
  </si>
  <si>
    <t xml:space="preserve">Reported trading is supported by an annual staff cost of INR 36,000</t>
  </si>
  <si>
    <t xml:space="preserve">Girna-F-02</t>
  </si>
  <si>
    <t xml:space="preserve">FIN-007's trigger is employee expense below 0.5% of turnover; here the ratio is about 5.7% of revenue, well above threshold, so the rule's specific numeric condition is not met even though the topic (thin payroll) is similar.</t>
  </si>
  <si>
    <t xml:space="preserve">The largest asset on the balance sheet is an unexplained receivable exactly equal to the paid-up capital</t>
  </si>
  <si>
    <t xml:space="preserve">Girna-F-03</t>
  </si>
  <si>
    <t xml:space="preserve">No rule captures a current asset exactly equal in value to paid-up capital as evidence of round-tripped subscription money; the closest capital-integrity rules test non-receipt of subscription money outright, not this circular-conversion pattern.</t>
  </si>
  <si>
    <t xml:space="preserve">Form AOC-4 filed 15 February 2021 for 2019-20; Form MGT-7 filed 20 February 2021</t>
  </si>
  <si>
    <t xml:space="preserve">The financial statements for the only reported year were filed after the due date</t>
  </si>
  <si>
    <t xml:space="preserve">Girna-C-01</t>
  </si>
  <si>
    <t xml:space="preserve">A single form (AOC-4) filed late while the annual return was on time is not the sustained late-filing pattern CMP-009 targets.</t>
  </si>
  <si>
    <t xml:space="preserve">Form CHG-1 filed 18 November 2023; Certificate of registration of charge dated 18 November 2023</t>
  </si>
  <si>
    <t xml:space="preserve">The bank charge was registered outside the ordinary thirty-day period</t>
  </si>
  <si>
    <t xml:space="preserve">Girna-C-02</t>
  </si>
  <si>
    <t xml:space="preserve">No rule addresses charge registration completed a few days beyond the ordinary 30-day period but within the statutory extension window.</t>
  </si>
  <si>
    <t xml:space="preserve">Certificate of Incorporation dated 08 February 2019; registered office as recorded across the extraction record</t>
  </si>
  <si>
    <t xml:space="preserve">The registered office is care of a named individual and has never changed</t>
  </si>
  <si>
    <t xml:space="preserve">Girna-S-01</t>
  </si>
  <si>
    <t xml:space="preserve">A care-of registered address unchanged for seven years does not match any specific address rule (not a virtual office, not repeatedly shifted, not independently flagged as unverifiable).</t>
  </si>
  <si>
    <t xml:space="preserve">Extraction records for Girna-Parisar, Baglan, Jijamata Mahila and Kasamade Farmers Producer Companies at E:\claude_analysis\raw</t>
  </si>
  <si>
    <t xml:space="preserve">The company's registered and filing email address is shared with three other producer companies in the same repository</t>
  </si>
  <si>
    <t xml:space="preserve">Girna-S-02</t>
  </si>
  <si>
    <t xml:space="preserve">Direct match: same shared personal-email pattern as Baglan-S-04, across the same four producer companies.</t>
  </si>
  <si>
    <t xml:space="preserve">Form AOC-4 filed 15 February 2021 for 2019-20; extraction record for Kasamade Farmers Producer Company Limited</t>
  </si>
  <si>
    <t xml:space="preserve">A director of this company also holds office in another producer company in the repository</t>
  </si>
  <si>
    <t xml:space="preserve">Girna-S-03</t>
  </si>
  <si>
    <t xml:space="preserve">Same director evidenced across two producer companies in the cluster matches OWN-013's DIN-rotation trigger.</t>
  </si>
  <si>
    <t xml:space="preserve">Form AOC-4 filed 15 February 2021 for 2019-20, recording ADT-1 SRN R93003309; extraction records for Baglan and Kasamade</t>
  </si>
  <si>
    <t xml:space="preserve">One audit firm serves this company and two others in the same cluster</t>
  </si>
  <si>
    <t xml:space="preserve">Girna-S-04</t>
  </si>
  <si>
    <t xml:space="preserve">OWN-042 - One practising professional or audit firm certifies every entity in the cluster</t>
  </si>
  <si>
    <t xml:space="preserve">Direct match: one audit firm serving this company and two others in the cluster.</t>
  </si>
  <si>
    <t xml:space="preserve">Certificate of Incorporation dated 08 February 2019; extraction records for Jijamata Mahila and Baglan Farmers Producer Companies</t>
  </si>
  <si>
    <t xml:space="preserve">Incorporated within a five-day window of two other producer companies in the repository, in the same registration number band</t>
  </si>
  <si>
    <t xml:space="preserve">Girna-S-05</t>
  </si>
  <si>
    <t xml:space="preserve">Direct match: incorporated within a five-day window of two other cluster companies with registration numbers in the same band.</t>
  </si>
  <si>
    <t xml:space="preserve">Form AOC-4 filed 15 February 2021 for 2019-20; extraction record for Baglan Farmers Producer Company Limited</t>
  </si>
  <si>
    <t xml:space="preserve">A director's DIN was allotted in the same batch as that of a director of the adjacent producer company</t>
  </si>
  <si>
    <t xml:space="preserve">Girna-S-06</t>
  </si>
  <si>
    <t xml:space="preserve">Same near-sequential-DIN logic as Baglan-S-07, applied to a different pair within the cluster.</t>
  </si>
  <si>
    <t xml:space="preserve">Jijamata Mahila Farmers Producer Company Limited</t>
  </si>
  <si>
    <t xml:space="preserve">U01100MH2019PTC320612</t>
  </si>
  <si>
    <t xml:space="preserve">Two Form SH-7 notices of alteration of share capital; Memorandum of Association copies held in the Incorporation subfolder</t>
  </si>
  <si>
    <t xml:space="preserve">The recorded history of authorised capital does not connect, with a step of INR 10,00,000 unaccounted for between two filings in the same folder</t>
  </si>
  <si>
    <t xml:space="preserve">Jijamata-F-01</t>
  </si>
  <si>
    <t xml:space="preserve">Two SH-7 filings in the same folder whose opening and closing authorised-capital figures do not connect is a document-internal-contradiction the numeric rule set does not test.</t>
  </si>
  <si>
    <t xml:space="preserve">Certificates of registration of charge dated 28 April 2020 and 25 July 2020; Form CHG-1 filed 28 April 2020 and 25 July 2020, both signed by DIN 08114779</t>
  </si>
  <si>
    <t xml:space="preserve">Both bank charges were registered outside the thirty-day period, one of them 184 days after creation and out of sequence</t>
  </si>
  <si>
    <t xml:space="preserve">Jijamata-C-01</t>
  </si>
  <si>
    <t xml:space="preserve">No rule addresses late or out-of-sequence charge registration (here 184 days after creation, exceeding even the extended limit).</t>
  </si>
  <si>
    <t xml:space="preserve">Two Form SH-7 notices of alteration of share capital</t>
  </si>
  <si>
    <t xml:space="preserve">Authorised capital was raised to INR 50,00,000 while no figure for capital actually issued is recorded anywhere</t>
  </si>
  <si>
    <t xml:space="preserve">Jijamata-F-02</t>
  </si>
  <si>
    <t xml:space="preserve">No rule covers an authorised-capital increase with no paid-up figure or return of allotment recorded anywhere in the folder.</t>
  </si>
  <si>
    <t xml:space="preserve">Extraction records for Jijamata Mahila, Baglan, Girna-Parisar and Kasamade Farmers Producer Companies at E:\claude_analysis\raw</t>
  </si>
  <si>
    <t xml:space="preserve">Jijamata-S-01</t>
  </si>
  <si>
    <t xml:space="preserve">Direct match: same shared personal-email pattern across the four producer companies.</t>
  </si>
  <si>
    <t xml:space="preserve">Form CHG-1 filed 28 April 2020 and 25 July 2020; extraction record for Kasamade Farmers Producer Company Limited</t>
  </si>
  <si>
    <t xml:space="preserve">The only director evidenced for this company also holds office in another producer company in the repository</t>
  </si>
  <si>
    <t xml:space="preserve">Jijamata-S-02</t>
  </si>
  <si>
    <t xml:space="preserve">The only director evidenced for this company also appearing at another cluster company matches OWN-013's DIN-rotation trigger.</t>
  </si>
  <si>
    <t xml:space="preserve">Certificate of Incorporation dated 04 February 2019; extraction records for Baglan and Girna-Parisar Farmers Producer Companies</t>
  </si>
  <si>
    <t xml:space="preserve">Jijamata-S-03</t>
  </si>
  <si>
    <t xml:space="preserve">Kasamade Farmers Producer Company Limited</t>
  </si>
  <si>
    <t xml:space="preserve">U01100MH2018PTC306911</t>
  </si>
  <si>
    <t xml:space="preserve">Form AOC-4 filed 31 December 2020 for 2018-19; Form AOC-4 filed 25 April 2021 for 2019-20</t>
  </si>
  <si>
    <t xml:space="preserve">Fixed assets rose from INR 1,04,000 to INR 3,91,74,937 in one year while depreciation of only INR 41,424 was charged, funded by new borrowing of INR 2,73,29,926</t>
  </si>
  <si>
    <t xml:space="preserve">Kasamade-F-06</t>
  </si>
  <si>
    <t xml:space="preserve">FIN-019 - Depreciable fixed assets on the books with nil or negligible depreciation charged</t>
  </si>
  <si>
    <t xml:space="preserve">Direct match: depreciable fixed assets of INR 3.92 crore with depreciation of only INR 41,424 (0.11% of the closing balance) is exactly FIN-019's negligible-depreciation trigger.</t>
  </si>
  <si>
    <t xml:space="preserve">Form AOC-4 filed 25 April 2021 for 2019-20</t>
  </si>
  <si>
    <t xml:space="preserve">Turnover of INR 38.17 crore supported by an annual payroll of INR 5,83,000</t>
  </si>
  <si>
    <t xml:space="preserve">Kasamade-F-01</t>
  </si>
  <si>
    <t xml:space="preserve">FIN-007 - Employee benefit expense below 0.5% of turnover</t>
  </si>
  <si>
    <t xml:space="preserve">Direct numeric match: employee expense of INR 5,83,000 against revenue of INR 38.17 crore is 0.15% of turnover, squarely under FIN-007's 0.5% threshold.</t>
  </si>
  <si>
    <t xml:space="preserve">Form AOC-4 filed 25 April 2021 for 2019-20; Form AOC-4 filed 31 December 2020 for 2018-19</t>
  </si>
  <si>
    <t xml:space="preserve">Pre-tax margin of 0.32 percent in one year and 0.39 percent in the other</t>
  </si>
  <si>
    <t xml:space="preserve">Kasamade-F-02</t>
  </si>
  <si>
    <t xml:space="preserve">FIN-002 - Revenue almost exactly equals total expenses (zero-margin pass-through)</t>
  </si>
  <si>
    <t xml:space="preserve">Direct match: a near-zero margin (0.32% and 0.39%) held stable across very different scales is FIN-002's zero-margin pass-through pattern.</t>
  </si>
  <si>
    <t xml:space="preserve">Revenue increased fifteen-fold in a single year</t>
  </si>
  <si>
    <t xml:space="preserve">Kasamade-F-03</t>
  </si>
  <si>
    <t xml:space="preserve">FIN-036 - Sales growth index (SGI) extreme with no matching growth in inputs or capacity; FIN-003 - Turnover multiplies while assets, payroll and power stay flat</t>
  </si>
  <si>
    <t xml:space="preserve">Direct match: revenue growing fifteen-fold in a single year with no matching growth in employees or overheads is FIN-036's extreme-sales-growth-index trigger.</t>
  </si>
  <si>
    <t xml:space="preserve">Form AOC-4 filed 31 December 2020 for 2018-19</t>
  </si>
  <si>
    <t xml:space="preserve">Trade receivables at the 2019 year end exceeded the whole year's revenue</t>
  </si>
  <si>
    <t xml:space="preserve">Kasamade-F-04</t>
  </si>
  <si>
    <t xml:space="preserve">FIN-022 - Debtor days or creditor days impossible for the declared line of business</t>
  </si>
  <si>
    <t xml:space="preserve">Direct match: trade receivables at 176% of annual revenue imply a debtor collection period beyond a year, exactly FIN-022's impossible-debtor-days trigger.</t>
  </si>
  <si>
    <t xml:space="preserve">Form AOC-4 filed 25 April 2021 for 2019-20, other disclosures</t>
  </si>
  <si>
    <t xml:space="preserve">Loans and advances to related parties of INR 99,16,490, equal to 98 percent of paid-up capital</t>
  </si>
  <si>
    <t xml:space="preserve">Kasamade-F-05</t>
  </si>
  <si>
    <t xml:space="preserve">FIN-030 - Substantial loans and advances given interest-free or below the prescribed rate</t>
  </si>
  <si>
    <t xml:space="preserve">Matches FIN-030's substantial-loans-and-advances-given trigger — loans/advances to related parties equal to 98% of paid-up capital.</t>
  </si>
  <si>
    <t xml:space="preserve">Financial statements filed 366 days after the annual general meeting in one year and 115 days after it in the next</t>
  </si>
  <si>
    <t xml:space="preserve">Kasamade-C-01</t>
  </si>
  <si>
    <t xml:space="preserve">AOC-4 filed 366 days after the AGM in one year and 115 days in the next, with accounts signed 18 months before filing, matches CMP-009's consistently-late-filing trigger.</t>
  </si>
  <si>
    <t xml:space="preserve">Form AOC-4 filed 31 December 2020 and 25 April 2021; extraction records for Girna-Parisar and Jijamata Mahila Farmers Producer Companies</t>
  </si>
  <si>
    <t xml:space="preserve">Directors of this company also sign for two other producer companies in the same repository</t>
  </si>
  <si>
    <t xml:space="preserve">Kasamade-S-01</t>
  </si>
  <si>
    <t xml:space="preserve">Direct match: two directors of this company each also sign for other companies in the cluster.</t>
  </si>
  <si>
    <t xml:space="preserve">Extraction records for Kasamade, Baglan, Girna-Parisar and Jijamata Mahila Farmers Producer Companies at E:\claude_analysis\raw</t>
  </si>
  <si>
    <t xml:space="preserve">Kasamade-S-02</t>
  </si>
  <si>
    <t xml:space="preserve">Form AOC-4 filed 31 December 2020 and 25 April 2021, recording ADT-1 SRN R93003374; extraction records for Baglan and Girna-Parisar</t>
  </si>
  <si>
    <t xml:space="preserve">The audit firm and the certifying company secretary are shared with other entities in the cluster</t>
  </si>
  <si>
    <t xml:space="preserve">Kasamade-S-03</t>
  </si>
  <si>
    <t xml:space="preserve">Direct match: shared audit firm and certifying company secretary across the cluster.</t>
  </si>
  <si>
    <t xml:space="preserve">Form ADT-1 filed 29 January 2021; Form AOC-4 filed 25 April 2021; extraction records for Baglan and Girna-Parisar Farmers Producer Companies</t>
  </si>
  <si>
    <t xml:space="preserve">Statutory events across cluster entities fall on coincident dates</t>
  </si>
  <si>
    <t xml:space="preserve">Kasamade-S-04</t>
  </si>
  <si>
    <t xml:space="preserve">NET-008 - Same company-formation or filing agent behind a large block of entities</t>
  </si>
  <si>
    <t xml:space="preserve">Consistent with NET-008's shared-formation-agent inference — statutory events (ADT-1 filing date, AGM date) coincide exactly across nominally unrelated cluster companies.</t>
  </si>
  <si>
    <t xml:space="preserve">Four Form SH-7 filings, four Form MGT-14 filings with altered memoranda, and three Form PAS-3 returns of allotment</t>
  </si>
  <si>
    <t xml:space="preserve">Four alterations of authorised capital and three allotments of shares within the first thirty months</t>
  </si>
  <si>
    <t xml:space="preserve">Kasamade-S-05</t>
  </si>
  <si>
    <t xml:space="preserve">Frequent but properly documented capital alterations (each backed by SH-7, MGT-14 and PAS-3) is not itself a library trigger; the capital-raising rules target undocumented or unmatched increases, not documented frequency.</t>
  </si>
  <si>
    <t xml:space="preserve">Triomphe Digital Technology Private Limited</t>
  </si>
  <si>
    <t xml:space="preserve">U31900MH2021PTC371202</t>
  </si>
  <si>
    <t xml:space="preserve">Certificate of Incorporation dated 01 November 2021; CIN as recorded on every annual filing</t>
  </si>
  <si>
    <t xml:space="preserve">The registered activity classification is furniture manufacture for a company named as a digital technology business</t>
  </si>
  <si>
    <t xml:space="preserve">Triomphe-S-01</t>
  </si>
  <si>
    <t xml:space="preserve">Matches CMP-015's objects/NIC-versus-actual-business misalignment trigger — the CIN embeds a furniture-manufacture NIC code for a company operating as a digital technology business.</t>
  </si>
  <si>
    <t xml:space="preserve">Certificate of Incorporation dated 01 November 2021; Form AOC-4 filed 13 October 2022 for 2021-22</t>
  </si>
  <si>
    <t xml:space="preserve">The certificate of incorporation and the first financial statements give different dates for the company coming into existence</t>
  </si>
  <si>
    <t xml:space="preserve">Triomphe-S-03</t>
  </si>
  <si>
    <t xml:space="preserve">A nine-day discrepancy between the certificate-of-incorporation date and the first financial year's stated start date is a document-internal contradiction outside the rule set.</t>
  </si>
  <si>
    <t xml:space="preserve">Form AOC-4 filed 26 October 2024 for 2023-24; Form AOC-4 filed 13 October 2022 for 2021-22</t>
  </si>
  <si>
    <t xml:space="preserve">Half the subscribed capital has been absorbed by losses, with INR 1,24,860 remaining in cash</t>
  </si>
  <si>
    <t xml:space="preserve">Triomphe-F-02</t>
  </si>
  <si>
    <t xml:space="preserve">Accumulated losses eroding half of subscribed capital is the profile of a genuinely struggling company rather than a shell-detection pattern; the finding itself distinguishes this from a conduit signal.</t>
  </si>
  <si>
    <t xml:space="preserve">Form ADT-1 filed 25 August 2022, 14 October 2022 and 19 May 2026; auditor particulars recorded on Form AOC-4 for 2021-22 and 2023-24</t>
  </si>
  <si>
    <t xml:space="preserve">Two auditor appointment notices were filed seven weeks apart in the same year</t>
  </si>
  <si>
    <t xml:space="preserve">Triomphe-C-01</t>
  </si>
  <si>
    <t xml:space="preserve">Two ADT-1 filings 50 days apart against the same audit firm most plausibly reflects a casual vacancy or a corrected filing, a scenario not addressed by the auditor-related rules (which target resignation via ADT-3 or a rotation breach).</t>
  </si>
  <si>
    <t xml:space="preserve">Form MGT-7 filed 14 November 2025; Form AOC-4 filed 29 December 2025; annual filings for 2021-22, 2022-23 and 2023-24</t>
  </si>
  <si>
    <t xml:space="preserve">The annual return for 2024-25 was filed six weeks before the financial statements for the same year</t>
  </si>
  <si>
    <t xml:space="preserve">Triomphe-C-02</t>
  </si>
  <si>
    <t xml:space="preserve">No rule addresses the annual return being filed weeks ahead of the financial statements for the same year.</t>
  </si>
  <si>
    <t xml:space="preserve">Form AOC-4 filed 13 October 2022 for 2021-22; Form AOC-4 filed 26 October 2024 for 2023-24</t>
  </si>
  <si>
    <t xml:space="preserve">Paid-up capital rose from INR 1,00,000 to INR 52,00,000 with no allotment documented in the records examined</t>
  </si>
  <si>
    <t xml:space="preserve">Triomphe-F-01</t>
  </si>
  <si>
    <t xml:space="preserve">Same undocumented-capital-increase gap as Efan-F-01 — no PAS-3 in the record examined — which the library's capital rules do not test in this form.</t>
  </si>
  <si>
    <t xml:space="preserve">Vital Electronics Private Limited</t>
  </si>
  <si>
    <t xml:space="preserve">U26104MH2024PTC433363</t>
  </si>
  <si>
    <t xml:space="preserve">Certificate of Incorporation dated 09 October 2024; Certificate of registration of charge dated 28 January 2025 and Form CHG-1 filed 27 January 2025, SRN AB2544621; Form INC-20A filed 05 December 2024</t>
  </si>
  <si>
    <t xml:space="preserve">Security for INR 15 crore was granted within 82 days of incorporation</t>
  </si>
  <si>
    <t xml:space="preserve">Vital-F-01</t>
  </si>
  <si>
    <t xml:space="preserve">The finding's own assessment treats this as explicable (URC-1 conversion bringing an existing banking relationship); no library rule targets a large charge shortly after incorporation as a standalone condition, and the disproportionate-exposure rules do not fit facts the reviewer herself treats as non-adverse.</t>
  </si>
  <si>
    <t xml:space="preserve">Well Fin Securities Limited</t>
  </si>
  <si>
    <t xml:space="preserve">U67120GJ1995PLC028446</t>
  </si>
  <si>
    <t xml:space="preserve">Form AOC-4 filed 12 September 2019 for 2018-19; Form AOC-4 filed 23 December 2017 for 2016-17; MCA master data extract dated 26 January 2026</t>
  </si>
  <si>
    <t xml:space="preserve">Borrowings of INR 25,15,000 carried at nil finance cost</t>
  </si>
  <si>
    <t xml:space="preserve">WellFin-F-01</t>
  </si>
  <si>
    <t xml:space="preserve">Direct match: interest-free short- and long-term borrowings sustained across three years with the charge index showing no records is exactly FIN-041's trigger.</t>
  </si>
  <si>
    <t xml:space="preserve">Form AOC-4 filed 23 December 2017 for 2016-17; Form AOC-4 filed 12 September 2019 for 2018-19</t>
  </si>
  <si>
    <t xml:space="preserve">Trade payables of INR 56,81,069 against annual revenue of INR 10,95,022</t>
  </si>
  <si>
    <t xml:space="preserve">WellFin-F-02</t>
  </si>
  <si>
    <t xml:space="preserve">Trade payables at 5.2 times annual revenue imply a creditor period far beyond what the business can sustain, matching FIN-022's impossible-days trigger applied to creditor rather than debtor days.</t>
  </si>
  <si>
    <t xml:space="preserve">Form AOC-4 filed 23 December 2017 for 2016-17; Form AOC-4 filed 12 September 2019 for 2018-19, including its previous-year column</t>
  </si>
  <si>
    <t xml:space="preserve">Cash was depleted by 98 percent over two years</t>
  </si>
  <si>
    <t xml:space="preserve">WellFin-F-03</t>
  </si>
  <si>
    <t xml:space="preserve">FIN-032 - Profit reported every year while operating cash flow stays negative or near zero; FIN-024 - Cash and bank balances near zero at every period end despite large turnover</t>
  </si>
  <si>
    <t xml:space="preserve">Cash depleting 98% over two years while total assets stay flat and reported profit stays positive matches FIN-032's profit-without-supporting-cash-flow trigger.</t>
  </si>
  <si>
    <t xml:space="preserve">Form AOC-4 filed 12 September 2019 for 2018-19; Form AOC-4 filed 23 December 2017 for 2016-17, including its previous-year column</t>
  </si>
  <si>
    <t xml:space="preserve">Assets of INR 2.61 crore generating annual revenue of INR 14,09,452</t>
  </si>
  <si>
    <t xml:space="preserve">WellFin-F-04</t>
  </si>
  <si>
    <t xml:space="preserve">FIN-040 - Asset turnover and revenue per employee extreme against sector peers</t>
  </si>
  <si>
    <t xml:space="preserve">Direct match: an explicitly computed asset turnover of 0.05 against near-nil payroll is FIN-040's extreme-asset-turnover-and-revenue-per-employee trigger.</t>
  </si>
  <si>
    <t xml:space="preserve">WellFin-C-01</t>
  </si>
  <si>
    <t xml:space="preserve">A public company with only two directors on the register</t>
  </si>
  <si>
    <t xml:space="preserve">WellFin-C-02</t>
  </si>
  <si>
    <t xml:space="preserve">No rule specifically addresses a public company falling below the statutory minimum of three directors; the closest rule (OWN-002) covers a board frozen AT the minimum, not one constituted below it.</t>
  </si>
  <si>
    <t xml:space="preserve">An Additional Director appointed almost three years after the last recorded AGM has never been regularised</t>
  </si>
  <si>
    <t xml:space="preserve">WellFin-C-03</t>
  </si>
  <si>
    <t xml:space="preserve">Form AOC-4 and Form MGT-7 both filed 23 December 2017 for 2016-17; Form MGT-7 filed 02 April 2021 for 2019-20</t>
  </si>
  <si>
    <t xml:space="preserve">Annual filings for 2016-17 were made after their due dates</t>
  </si>
  <si>
    <t xml:space="preserve">WellFin-C-04</t>
  </si>
  <si>
    <t xml:space="preserve">Late filing recorded in two separate years (2016-17 annual filings, and the 2019-20 annual return) is consistent with CMP-009's filing-behaviour-pattern trigger, though not established as comprehensive across every year on record.</t>
  </si>
  <si>
    <t xml:space="preserve">Form AOC-4 filed 23 December 2017 for 2016-17, current and previous year columns</t>
  </si>
  <si>
    <t xml:space="preserve">Paid-up capital increased by INR 50,00,000 at par with no allotment document in the records examined</t>
  </si>
  <si>
    <t xml:space="preserve">WellFin-F-05</t>
  </si>
  <si>
    <t xml:space="preserve">Same undocumented-capital-increase gap (capital raised at par with no PAS-3 in the record examined) not tested by the library's capital rules in this form.</t>
  </si>
  <si>
    <t xml:space="preserve">Form MGT-7 filed 02 April 2021 for 2019-20; Form MGT-7 filed 12 September 2019 for 2018-19</t>
  </si>
  <si>
    <t xml:space="preserve">Exactly 375,000 shares moved from Indian individuals to a foreign holder in 2019-20, matching three recorded transfers to the share</t>
  </si>
  <si>
    <t xml:space="preserve">WellFin-S-01</t>
  </si>
  <si>
    <t xml:space="preserve">A domestic-to-foreign share transfer reconciling to three recorded transfers does not match OWN-032, which targets missing FC-GPR reporting for a fresh foreign share issue — a different filing regime and a different transaction type (transfer, not issue).</t>
  </si>
  <si>
    <t xml:space="preserve">MCA master data extract dated 26 January 2026; Form AOC-4 for 2016-17 and 2018-19, governance signatory fields</t>
  </si>
  <si>
    <t xml:space="preserve">Four directors were appointed within sixteen months and three of them ceased within seven months of each other</t>
  </si>
  <si>
    <t xml:space="preserve">WellFin-S-02</t>
  </si>
  <si>
    <t xml:space="preserve">Four directors appointed within sixteen months and three ceasing within seven months of each other, with the earlier signatories entirely absent from the current board, matches OWN-004's above-norm director-turnover trigger.</t>
  </si>
  <si>
    <t xml:space="preserve">MCA master data extract dated 26 January 2026; extraction records for Balbir Holdings, Efan Gold and Digivolution Consultancy at E:\claude_analysis\raw</t>
  </si>
  <si>
    <t xml:space="preserve">A director of this company appears in three further companies in the same repository</t>
  </si>
  <si>
    <t xml:space="preserve">WellFin-S-03</t>
  </si>
  <si>
    <t xml:space="preserve">MCA master data extract dated 26 January 2026; extraction record for Efan Gold Private Limited</t>
  </si>
  <si>
    <t xml:space="preserve">The books of account are kept in Gurugram while the registered office is in Ahmedabad, in the same industrial estate as a connected company</t>
  </si>
  <si>
    <t xml:space="preserve">WellFin-S-04</t>
  </si>
  <si>
    <t xml:space="preserve">No rule addresses books of account being maintained at a location other than the registered office (an AOC-5 compliance gap), even combined with proximity to a connected company's registered address.</t>
  </si>
  <si>
    <t xml:space="preserve">PARAMETERS PLAYBOOK — context before conclusion</t>
  </si>
  <si>
    <t xml:space="preserve">A pattern that is damning in one business model is normal in another. Check the entity against these tables before firing a rule. This is the single biggest lever on false positives.</t>
  </si>
  <si>
    <t xml:space="preserve">TABLE 1 — Expected operating shape by business model</t>
  </si>
  <si>
    <t xml:space="preserve">Business Model</t>
  </si>
  <si>
    <t xml:space="preserve">Payroll as % of Turnover</t>
  </si>
  <si>
    <t xml:space="preserve">Fixed Assets as % of Turnover</t>
  </si>
  <si>
    <t xml:space="preserve">Inventory Held</t>
  </si>
  <si>
    <t xml:space="preserve">Typical Gross Margin</t>
  </si>
  <si>
    <t xml:space="preserve">Rules to SUPPRESS or relax</t>
  </si>
  <si>
    <t xml:space="preserve">Rules to TIGHTEN</t>
  </si>
  <si>
    <t xml:space="preserve">Manufacturing</t>
  </si>
  <si>
    <t xml:space="preserve">8% – 25%</t>
  </si>
  <si>
    <t xml:space="preserve">25% – 80%</t>
  </si>
  <si>
    <t xml:space="preserve">High — raw material, WIP, finished goods</t>
  </si>
  <si>
    <t xml:space="preserve">12% – 35%</t>
  </si>
  <si>
    <t xml:space="preserve">Revenue seasonality rules; lumpy month-end rules</t>
  </si>
  <si>
    <t xml:space="preserve">Zero fixed assets; nil power; nil freight; nil inventory; nil insurance</t>
  </si>
  <si>
    <t xml:space="preserve">Wholesale / commodity trading</t>
  </si>
  <si>
    <t xml:space="preserve">0.3% – 3%</t>
  </si>
  <si>
    <t xml:space="preserve">1% – 8%</t>
  </si>
  <si>
    <t xml:space="preserve">Low to moderate, fast turning</t>
  </si>
  <si>
    <t xml:space="preserve">1% – 6%</t>
  </si>
  <si>
    <t xml:space="preserve">Low to moderate</t>
  </si>
  <si>
    <t xml:space="preserve">Low payroll ratio; zero fixed assets; thin margin; high velocity banking</t>
  </si>
  <si>
    <t xml:space="preserve">Circular trading; ITC chains; e-way bill absence; counterparty overlap</t>
  </si>
  <si>
    <t xml:space="preserve">Retail / F&amp;B</t>
  </si>
  <si>
    <t xml:space="preserve">6% – 18%</t>
  </si>
  <si>
    <t xml:space="preserve">15% – 45%</t>
  </si>
  <si>
    <t xml:space="preserve">Moderate, high turnover</t>
  </si>
  <si>
    <t xml:space="preserve">25% – 60%</t>
  </si>
  <si>
    <t xml:space="preserve">Cash deposit ratio; many small counterparties</t>
  </si>
  <si>
    <t xml:space="preserve">Unrecorded sales; GST turnover vs bank credits</t>
  </si>
  <si>
    <t xml:space="preserve">IT / software services</t>
  </si>
  <si>
    <t xml:space="preserve">45% – 75%</t>
  </si>
  <si>
    <t xml:space="preserve">2% – 12%</t>
  </si>
  <si>
    <t xml:space="preserve">35% – 65%</t>
  </si>
  <si>
    <t xml:space="preserve">Very low</t>
  </si>
  <si>
    <t xml:space="preserve">Zero inventory; zero freight; no plant; small premises; remote-first no-office</t>
  </si>
  <si>
    <t xml:space="preserve">Payroll vs EPFO member count; revenue per employee; export realisation (EDPMS)</t>
  </si>
  <si>
    <t xml:space="preserve">Professional / consulting</t>
  </si>
  <si>
    <t xml:space="preserve">40% – 70%</t>
  </si>
  <si>
    <t xml:space="preserve">Zero inventory; zero fixed assets; home-office premises</t>
  </si>
  <si>
    <t xml:space="preserve">Revenue per employee; single-client concentration; RPT share</t>
  </si>
  <si>
    <t xml:space="preserve">Pure holding / investment co</t>
  </si>
  <si>
    <t xml:space="preserve">0% – 2%</t>
  </si>
  <si>
    <t xml:space="preserve">0% – 5%</t>
  </si>
  <si>
    <t xml:space="preserve">n/a</t>
  </si>
  <si>
    <t xml:space="preserve">Nil payroll; nil power; nil rent; no employees; zero turnover; no EPFO</t>
  </si>
  <si>
    <t xml:space="preserve">Layer depth; circular holding; investments written off; SBO disclosure; loans to group</t>
  </si>
  <si>
    <t xml:space="preserve">NBFC / lending</t>
  </si>
  <si>
    <t xml:space="preserve">2% – 10%</t>
  </si>
  <si>
    <t xml:space="preserve">n/a — spread based</t>
  </si>
  <si>
    <t xml:space="preserve">Loans and advances dominating assets (this IS the business); high bank velocity</t>
  </si>
  <si>
    <t xml:space="preserve">RBI registration validity; NPA disclosure; related-party lending; end-use of funds</t>
  </si>
  <si>
    <t xml:space="preserve">Construction / EPC / project</t>
  </si>
  <si>
    <t xml:space="preserve">10% – 30%</t>
  </si>
  <si>
    <t xml:space="preserve">20% – 60%</t>
  </si>
  <si>
    <t xml:space="preserve">High — WIP and materials</t>
  </si>
  <si>
    <t xml:space="preserve">8% – 18%</t>
  </si>
  <si>
    <t xml:space="preserve">Moderate</t>
  </si>
  <si>
    <t xml:space="preserve">Lumpy revenue; long receivable days; negative operating cash flow in build years</t>
  </si>
  <si>
    <t xml:space="preserve">Subcontractor authenticity; advance to suppliers; retention money; site existence</t>
  </si>
  <si>
    <t xml:space="preserve">Logistics / transport</t>
  </si>
  <si>
    <t xml:space="preserve">15% – 40%</t>
  </si>
  <si>
    <t xml:space="preserve">30% – 90% (owned fleet)</t>
  </si>
  <si>
    <t xml:space="preserve">10% – 25%</t>
  </si>
  <si>
    <t xml:space="preserve">Nil inventory; asset-light aggregator model owning no vehicles</t>
  </si>
  <si>
    <t xml:space="preserve">E-way bill and vehicle consistency; driver payroll; fuel spend</t>
  </si>
  <si>
    <t xml:space="preserve">E-commerce / marketplace</t>
  </si>
  <si>
    <t xml:space="preserve">20% – 45%</t>
  </si>
  <si>
    <t xml:space="preserve">3% – 15%</t>
  </si>
  <si>
    <t xml:space="preserve">Varies by model</t>
  </si>
  <si>
    <t xml:space="preserve">n/a — take rate</t>
  </si>
  <si>
    <t xml:space="preserve">Multi-state GST registrations; many small counterparties</t>
  </si>
  <si>
    <t xml:space="preserve">GMV vs net revenue; return and refund rate; seller concentration</t>
  </si>
  <si>
    <t xml:space="preserve">Export-oriented / SEZ / EOU</t>
  </si>
  <si>
    <t xml:space="preserve">15% – 60%</t>
  </si>
  <si>
    <t xml:space="preserve">Moderate to high</t>
  </si>
  <si>
    <t xml:space="preserve">Nil GST output tax; large ITC accumulation and refund claims; zero-rated supply</t>
  </si>
  <si>
    <t xml:space="preserve">Realisation of proceeds (EDPMS); unit price vs customs reference; incentive claims</t>
  </si>
  <si>
    <t xml:space="preserve">Agency / commission</t>
  </si>
  <si>
    <t xml:space="preserve">5% – 20%</t>
  </si>
  <si>
    <t xml:space="preserve">Commission only, revenue = net</t>
  </si>
  <si>
    <t xml:space="preserve">Thin margin; funds passing through client accounts</t>
  </si>
  <si>
    <t xml:space="preserve">Segregation of principal funds; commission % consistency</t>
  </si>
  <si>
    <t xml:space="preserve">Startup, pre-revenue (recognised)</t>
  </si>
  <si>
    <t xml:space="preserve">Varies, often high vs nil revenue</t>
  </si>
  <si>
    <t xml:space="preserve">n/a — loss making</t>
  </si>
  <si>
    <t xml:space="preserve">Zero revenue; negative net worth; share premium; going concern; no filing history</t>
  </si>
  <si>
    <t xml:space="preserve">Source of funds; investor authenticity; utilisation of raised capital</t>
  </si>
  <si>
    <t xml:space="preserve">First-year entity (any model)</t>
  </si>
  <si>
    <t xml:space="preserve">Not meaningful</t>
  </si>
  <si>
    <t xml:space="preserve">All year-on-year, trend and filing-history rules</t>
  </si>
  <si>
    <t xml:space="preserve">Incorporation-to-first-invoice gap; capital vs turnover; INC-20A</t>
  </si>
  <si>
    <t xml:space="preserve">Special purpose vehicle (infra)</t>
  </si>
  <si>
    <t xml:space="preserve">60% – 95%</t>
  </si>
  <si>
    <t xml:space="preserve">No employees; single contract; single counterparty</t>
  </si>
  <si>
    <t xml:space="preserve">Parent guarantee; end-use of borrowing; charge registration</t>
  </si>
  <si>
    <t xml:space="preserve">TABLE 2 — Global tuning parameters</t>
  </si>
  <si>
    <t xml:space="preserve">Set these once for your population. Values in yellow are yours to change; every rule threshold in the library should be expressed relative to them.</t>
  </si>
  <si>
    <t xml:space="preserve">Parameter</t>
  </si>
  <si>
    <t xml:space="preserve">Default</t>
  </si>
  <si>
    <t xml:space="preserve">What it controls</t>
  </si>
  <si>
    <t xml:space="preserve">Why it matters</t>
  </si>
  <si>
    <t xml:space="preserve">Materiality floor — turnover</t>
  </si>
  <si>
    <t xml:space="preserve">INR 1 crore</t>
  </si>
  <si>
    <t xml:space="preserve">Rules do not fire below this turnover</t>
  </si>
  <si>
    <t xml:space="preserve">Stops dormant micro-entities flooding the queue</t>
  </si>
  <si>
    <t xml:space="preserve">Materiality floor — transaction</t>
  </si>
  <si>
    <t xml:space="preserve">INR 10 lakh</t>
  </si>
  <si>
    <t xml:space="preserve">Minimum single transaction size for banking rules</t>
  </si>
  <si>
    <t xml:space="preserve">Aligns with the CTR reporting threshold under PMLA</t>
  </si>
  <si>
    <t xml:space="preserve">Minimum entity age for trend rules</t>
  </si>
  <si>
    <t xml:space="preserve">2 completed financial years</t>
  </si>
  <si>
    <t xml:space="preserve">Year-on-year and trend tests</t>
  </si>
  <si>
    <t xml:space="preserve">A first-year entity has no trend and will always look anomalous</t>
  </si>
  <si>
    <t xml:space="preserve">Peer group definition</t>
  </si>
  <si>
    <t xml:space="preserve">NIC 4-digit + turnover decile + state</t>
  </si>
  <si>
    <t xml:space="preserve">How Statistical rules build a comparison set</t>
  </si>
  <si>
    <t xml:space="preserve">A peer group that is too broad makes every outlier meaningless</t>
  </si>
  <si>
    <t xml:space="preserve">Peer outlier cut-off</t>
  </si>
  <si>
    <t xml:space="preserve">z-score beyond ±2.5, or outside the 5th–95th percentile</t>
  </si>
  <si>
    <t xml:space="preserve">Statistical rule firing point</t>
  </si>
  <si>
    <t xml:space="preserve">Tighter cut-offs raise precision and lower recall</t>
  </si>
  <si>
    <t xml:space="preserve">Address concentration threshold</t>
  </si>
  <si>
    <t xml:space="preserve">More than 20 active entities at one address</t>
  </si>
  <si>
    <t xml:space="preserve">Mass-address rules</t>
  </si>
  <si>
    <t xml:space="preserve">Must exclude co-working operators, CA firms and business parks or it flags everyone</t>
  </si>
  <si>
    <t xml:space="preserve">Directorship count threshold</t>
  </si>
  <si>
    <t xml:space="preserve">More than 10 active directorships</t>
  </si>
  <si>
    <t xml:space="preserve">Director overload rules</t>
  </si>
  <si>
    <t xml:space="preserve">The Companies Act caps at 20 (10 public); professionals legitimately hold several</t>
  </si>
  <si>
    <t xml:space="preserve">Graph degrees of separation</t>
  </si>
  <si>
    <t xml:space="preserve">2 hops, with risk decayed by 50% per hop</t>
  </si>
  <si>
    <t xml:space="preserve">Risk propagation from known-bad entities</t>
  </si>
  <si>
    <t xml:space="preserve">Without decay every entity is within a few hops of something bad</t>
  </si>
  <si>
    <t xml:space="preserve">Cluster rule for escalation</t>
  </si>
  <si>
    <t xml:space="preserve">Flags in 3 or more distinct categories</t>
  </si>
  <si>
    <t xml:space="preserve">When a case leaves the queue</t>
  </si>
  <si>
    <t xml:space="preserve">A single category firing is usually a data-quality artefact</t>
  </si>
  <si>
    <t xml:space="preserve">Critical override</t>
  </si>
  <si>
    <t xml:space="preserve">Any 1 Critical flag routes to manual review</t>
  </si>
  <si>
    <t xml:space="preserve">Bypasses the score</t>
  </si>
  <si>
    <t xml:space="preserve">Some flags are conclusive on their own and must not be averaged away</t>
  </si>
  <si>
    <t xml:space="preserve">Score recalibration cycle</t>
  </si>
  <si>
    <t xml:space="preserve">Every 6 months on labelled outcomes</t>
  </si>
  <si>
    <t xml:space="preserve">Weight tuning</t>
  </si>
  <si>
    <t xml:space="preserve">Detected patterns get designed around; static weights decay</t>
  </si>
  <si>
    <t xml:space="preserve">Document staleness limit</t>
  </si>
  <si>
    <t xml:space="preserve">Filings older than 18 months treated as stale</t>
  </si>
  <si>
    <t xml:space="preserve">Data freshness</t>
  </si>
  <si>
    <t xml:space="preserve">MCA financials lag by up to a year; do not read absence as evidence</t>
  </si>
  <si>
    <t xml:space="preserve">TABLE 3 — Dependency logic worth encoding</t>
  </si>
  <si>
    <t xml:space="preserve">Field-on-field dependencies. The left column is the observation; the right column is what must be true before it counts as a flag.</t>
  </si>
  <si>
    <t xml:space="preserve">Observation</t>
  </si>
  <si>
    <t xml:space="preserve">Only a flag when ...</t>
  </si>
  <si>
    <t xml:space="preserve">Otherwise it is normal because ...</t>
  </si>
  <si>
    <t xml:space="preserve">Payroll expense near zero</t>
  </si>
  <si>
    <t xml:space="preserve">Entity claims manufacturing, construction, logistics, retail or IT services</t>
  </si>
  <si>
    <t xml:space="preserve">Trading, holding and agency entities legitimately run on 1-2 people</t>
  </si>
  <si>
    <t xml:space="preserve">No fixed assets</t>
  </si>
  <si>
    <t xml:space="preserve">Turnover is large AND the model needs plant, premises or fleet</t>
  </si>
  <si>
    <t xml:space="preserve">Asset-light services and aggregators own nothing by design</t>
  </si>
  <si>
    <t xml:space="preserve">No inventory</t>
  </si>
  <si>
    <t xml:space="preserve">Entity declares trading or manufacturing of goods</t>
  </si>
  <si>
    <t xml:space="preserve">Services, agency and drop-ship models never hold stock</t>
  </si>
  <si>
    <t xml:space="preserve">Nil power and rent expense</t>
  </si>
  <si>
    <t xml:space="preserve">Entity has no owned premises AND claims physical operations</t>
  </si>
  <si>
    <t xml:space="preserve">A remote-first or shared-services entity has the cost sitting in a group company</t>
  </si>
  <si>
    <t xml:space="preserve">Thin gross margin</t>
  </si>
  <si>
    <t xml:space="preserve">Margin is thin AND turnover is high AND counterparties are few and linked</t>
  </si>
  <si>
    <t xml:space="preserve">Commodity distribution genuinely runs on 1-3% margin</t>
  </si>
  <si>
    <t xml:space="preserve">High bank velocity, low balance</t>
  </si>
  <si>
    <t xml:space="preserve">Counterparties are unrelated to the declared business</t>
  </si>
  <si>
    <t xml:space="preserve">Payroll processors, travel agents and freight forwarders pass funds through legitimately</t>
  </si>
  <si>
    <t xml:space="preserve">Large ITC accumulation</t>
  </si>
  <si>
    <t xml:space="preserve">Entity is not an exporter and has no inverted duty structure</t>
  </si>
  <si>
    <t xml:space="preserve">Exporters and inverted-duty sectors accumulate credit as a matter of course</t>
  </si>
  <si>
    <t xml:space="preserve">Multi-state GST registrations</t>
  </si>
  <si>
    <t xml:space="preserve">No premises, payroll or utility footprint in those states</t>
  </si>
  <si>
    <t xml:space="preserve">E-commerce sellers must register wherever they warehouse</t>
  </si>
  <si>
    <t xml:space="preserve">Related-party transactions dominate</t>
  </si>
  <si>
    <t xml:space="preserve">Pricing is off-market OR the counterparty lacks substance</t>
  </si>
  <si>
    <t xml:space="preserve">Group shared-services and captive structures transact internally by design</t>
  </si>
  <si>
    <t xml:space="preserve">Losses carried forward, nil tax</t>
  </si>
  <si>
    <t xml:space="preserve">Shareholding changed materially in the same window</t>
  </si>
  <si>
    <t xml:space="preserve">A genuine loss-making business pays no tax and that is not evasion</t>
  </si>
  <si>
    <t xml:space="preserve">Negative net worth</t>
  </si>
  <si>
    <t xml:space="preserve">Operations continue at scale with no visible funding source</t>
  </si>
  <si>
    <t xml:space="preserve">Funded startups and turnaround cases operate with negative net worth openly</t>
  </si>
  <si>
    <t xml:space="preserve">Registered office is a small address</t>
  </si>
  <si>
    <t xml:space="preserve">Claimed scale requires physical space</t>
  </si>
  <si>
    <t xml:space="preserve">Consultancies and IT firms work from small or home offices</t>
  </si>
  <si>
    <t xml:space="preserve">Same auditor across entities</t>
  </si>
  <si>
    <t xml:space="preserve">The entities claim to be independent counterparties</t>
  </si>
  <si>
    <t xml:space="preserve">A group legitimately appoints one audit firm across its companies</t>
  </si>
  <si>
    <t xml:space="preserve">Documents share metadata</t>
  </si>
  <si>
    <t xml:space="preserve">Parties claim to be at arm's length</t>
  </si>
  <si>
    <t xml:space="preserve">A shared accountant produces documents for many clients from one machine</t>
  </si>
  <si>
    <t xml:space="preserve">Sudden turnover jump</t>
  </si>
  <si>
    <t xml:space="preserve">No matching increase in assets, payroll, power or e-way bills</t>
  </si>
  <si>
    <t xml:space="preserve">A genuine large contract lifts turnover, and the inputs move with it</t>
  </si>
  <si>
    <t xml:space="preserve">SCORING MODEL — working sheet</t>
  </si>
  <si>
    <t xml:space="preserve">CASE RESULT</t>
  </si>
  <si>
    <t xml:space="preserve">Enter Y in the yellow Triggered column for every rule that fired. Everything else calculates itself. Clear the column to start a new case.</t>
  </si>
  <si>
    <t xml:space="preserve">Triggered (Y/N)</t>
  </si>
  <si>
    <t xml:space="preserve">Points</t>
  </si>
  <si>
    <t xml:space="preserve">Weighted points scored</t>
  </si>
  <si>
    <t xml:space="preserve">N</t>
  </si>
  <si>
    <t xml:space="preserve">Maximum possible points</t>
  </si>
  <si>
    <t xml:space="preserve">Score as % of maximum</t>
  </si>
  <si>
    <t xml:space="preserve">Rules triggered</t>
  </si>
  <si>
    <t xml:space="preserve">Critical flags</t>
  </si>
  <si>
    <t xml:space="preserve">High flags</t>
  </si>
  <si>
    <t xml:space="preserve">Medium flags</t>
  </si>
  <si>
    <t xml:space="preserve">Low flags</t>
  </si>
  <si>
    <t xml:space="preserve">Distinct categories triggered</t>
  </si>
  <si>
    <t xml:space="preserve">Decision band</t>
  </si>
  <si>
    <t xml:space="preserve">Band logic</t>
  </si>
  <si>
    <t xml:space="preserve">•  HIGH RISK — at least 1 Critical flag AND flags in 3 or more distinct categories.</t>
  </si>
  <si>
    <t xml:space="preserve">•  ELEVATED — any Critical flag, or 60+ weighted points.</t>
  </si>
  <si>
    <t xml:space="preserve">•  WATCH — 25 to 59 weighted points.</t>
  </si>
  <si>
    <t xml:space="preserve">•  LOW — some points but below 25.</t>
  </si>
  <si>
    <t xml:space="preserve">•  Recalibrate these cut-offs on your own labelled data before going live.</t>
  </si>
  <si>
    <t xml:space="preserve">CATEGORY SUMMARY</t>
  </si>
  <si>
    <t xml:space="preserve">Live counts. Columns H to J update as the Scoring Model is filled in.</t>
  </si>
  <si>
    <t xml:space="preserve">Rules</t>
  </si>
  <si>
    <t xml:space="preserve">Total Weight</t>
  </si>
  <si>
    <t xml:space="preserve">Flags Triggered</t>
  </si>
  <si>
    <t xml:space="preserve">Points Earned</t>
  </si>
  <si>
    <t xml:space="preserve">Coverage %</t>
  </si>
  <si>
    <t xml:space="preserve">TOTAL</t>
  </si>
  <si>
    <t xml:space="preserve">Computability mix — what each rule needs to run</t>
  </si>
  <si>
    <t xml:space="preserve">Share</t>
  </si>
  <si>
    <t xml:space="preserve">What it needs</t>
  </si>
  <si>
    <t xml:space="preserve">A hard rule on one entity's own data. Implement first.</t>
  </si>
  <si>
    <t xml:space="preserve">Needs a peer group or a distribution. Build the peer model before enabling.</t>
  </si>
  <si>
    <t xml:space="preserve">Needs a population of entities and a link graph. Highest build cost, highest catch rate.</t>
  </si>
  <si>
    <t xml:space="preserve">Needs a human to read or observe. Route to the analyst queue, do not automate.</t>
  </si>
</sst>
</file>

<file path=xl/styles.xml><?xml version="1.0" encoding="utf-8"?>
<styleSheet xmlns="http://schemas.openxmlformats.org/spreadsheetml/2006/main">
  <numFmts count="4">
    <numFmt numFmtId="164" formatCode="General"/>
    <numFmt numFmtId="165" formatCode="0"/>
    <numFmt numFmtId="166" formatCode="0.0%"/>
    <numFmt numFmtId="167" formatCode="General"/>
  </numFmts>
  <fonts count="18">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55555"/>
      <name val="Arial"/>
      <family val="0"/>
      <charset val="1"/>
    </font>
    <font>
      <b val="true"/>
      <sz val="11"/>
      <color rgb="FFFFFFFF"/>
      <name val="Arial"/>
      <family val="0"/>
      <charset val="1"/>
    </font>
    <font>
      <sz val="9"/>
      <name val="Arial"/>
      <family val="0"/>
      <charset val="1"/>
    </font>
    <font>
      <b val="true"/>
      <sz val="9"/>
      <name val="Arial"/>
      <family val="0"/>
      <charset val="1"/>
    </font>
    <font>
      <b val="true"/>
      <sz val="14"/>
      <color rgb="FF1F3864"/>
      <name val="Arial"/>
      <family val="0"/>
      <charset val="1"/>
    </font>
    <font>
      <b val="true"/>
      <sz val="10"/>
      <color rgb="FFFFFFFF"/>
      <name val="Arial"/>
      <family val="0"/>
      <charset val="1"/>
    </font>
    <font>
      <b val="true"/>
      <sz val="10"/>
      <color rgb="FF1F3864"/>
      <name val="Arial"/>
      <family val="0"/>
      <charset val="1"/>
    </font>
    <font>
      <b val="true"/>
      <sz val="11"/>
      <color rgb="FF1F3864"/>
      <name val="Arial"/>
      <family val="0"/>
      <charset val="1"/>
    </font>
    <font>
      <sz val="9"/>
      <color rgb="FF0000FF"/>
      <name val="Arial"/>
      <family val="0"/>
      <charset val="1"/>
    </font>
    <font>
      <b val="true"/>
      <sz val="12"/>
      <color rgb="FF1F3864"/>
      <name val="Arial"/>
      <family val="0"/>
      <charset val="1"/>
    </font>
    <font>
      <b val="true"/>
      <sz val="10"/>
      <name val="Arial"/>
      <family val="0"/>
      <charset val="1"/>
    </font>
    <font>
      <b val="true"/>
      <sz val="9"/>
      <color rgb="FF0000FF"/>
      <name val="Arial"/>
      <family val="0"/>
      <charset val="1"/>
    </font>
    <font>
      <b val="true"/>
      <sz val="10"/>
      <color rgb="FFC00000"/>
      <name val="Arial"/>
      <family val="0"/>
      <charset val="1"/>
    </font>
  </fonts>
  <fills count="10">
    <fill>
      <patternFill patternType="none"/>
    </fill>
    <fill>
      <patternFill patternType="gray125"/>
    </fill>
    <fill>
      <patternFill patternType="solid">
        <fgColor rgb="FF2E5C8A"/>
        <bgColor rgb="FF555555"/>
      </patternFill>
    </fill>
    <fill>
      <patternFill patternType="solid">
        <fgColor rgb="FFFFC7CE"/>
        <bgColor rgb="FFFFE0B2"/>
      </patternFill>
    </fill>
    <fill>
      <patternFill patternType="solid">
        <fgColor rgb="FFFFE0B2"/>
        <bgColor rgb="FFFFF2CC"/>
      </patternFill>
    </fill>
    <fill>
      <patternFill patternType="solid">
        <fgColor rgb="FFE2EFDA"/>
        <bgColor rgb="FFDDEBF7"/>
      </patternFill>
    </fill>
    <fill>
      <patternFill patternType="solid">
        <fgColor rgb="FFFFF2CC"/>
        <bgColor rgb="FFF2F2F2"/>
      </patternFill>
    </fill>
    <fill>
      <patternFill patternType="solid">
        <fgColor rgb="FFDCE6F1"/>
        <bgColor rgb="FFDDEBF7"/>
      </patternFill>
    </fill>
    <fill>
      <patternFill patternType="solid">
        <fgColor rgb="FFDDEBF7"/>
        <bgColor rgb="FFDCE6F1"/>
      </patternFill>
    </fill>
    <fill>
      <patternFill patternType="solid">
        <fgColor rgb="FFF2F2F2"/>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0" fillId="2" borderId="2"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7" fillId="8"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9"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7" fontId="8" fillId="7" borderId="1" xfId="0" applyFont="true" applyBorder="true" applyAlignment="true" applyProtection="false">
      <alignment horizontal="center" vertical="center" textRotation="0" wrapText="true" indent="0" shrinkToFit="false"/>
      <protection locked="true" hidden="false"/>
    </xf>
    <xf numFmtId="166" fontId="0" fillId="7"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E5C8A"/>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FC7CE"/>
          <bgColor rgb="FF000000"/>
        </patternFill>
      </fill>
    </dxf>
    <dxf>
      <fill>
        <patternFill patternType="solid">
          <fgColor rgb="FFFFE0B2"/>
          <bgColor rgb="FF000000"/>
        </patternFill>
      </fill>
    </dxf>
    <dxf>
      <fill>
        <patternFill patternType="solid">
          <fgColor rgb="FFFFF2CC"/>
          <bgColor rgb="FF000000"/>
        </patternFill>
      </fill>
    </dxf>
    <dxf>
      <fill>
        <patternFill patternType="solid">
          <fgColor rgb="FFDCE6F1"/>
          <bgColor rgb="FF000000"/>
        </patternFill>
      </fill>
    </dxf>
    <dxf>
      <fill>
        <patternFill patternType="solid">
          <fgColor rgb="FFDDEBF7"/>
          <bgColor rgb="FF000000"/>
        </patternFill>
      </fill>
    </dxf>
    <dxf>
      <fill>
        <patternFill patternType="solid">
          <fgColor rgb="FFF2F2F2"/>
          <bgColor rgb="FF000000"/>
        </patternFill>
      </fill>
    </dxf>
    <dxf>
      <fill>
        <patternFill patternType="solid">
          <fgColor rgb="FF0000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6F1"/>
      <rgbColor rgb="FFE2EFDA"/>
      <rgbColor rgb="FFF2F2F2"/>
      <rgbColor rgb="FF99CCFF"/>
      <rgbColor rgb="FFFFC7CE"/>
      <rgbColor rgb="FFCC99FF"/>
      <rgbColor rgb="FFFFE0B2"/>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34"/>
    <col collapsed="false" customWidth="true" hidden="false" outlineLevel="0" max="2" min="2" style="1" width="95"/>
  </cols>
  <sheetData>
    <row r="1" customFormat="false" ht="20.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row>
    <row r="5" customFormat="false" ht="36" hidden="false" customHeight="true" outlineLevel="0" collapsed="false">
      <c r="A5" s="5" t="s">
        <v>3</v>
      </c>
    </row>
    <row r="6" customFormat="false" ht="36" hidden="false" customHeight="true" outlineLevel="0" collapsed="false">
      <c r="A6" s="5" t="s">
        <v>4</v>
      </c>
    </row>
    <row r="8" customFormat="false" ht="15" hidden="false" customHeight="true" outlineLevel="0" collapsed="false">
      <c r="A8" s="4" t="s">
        <v>5</v>
      </c>
      <c r="B8" s="4"/>
    </row>
    <row r="9" customFormat="false" ht="13.5" hidden="false" customHeight="true" outlineLevel="0" collapsed="false">
      <c r="A9" s="5" t="s">
        <v>6</v>
      </c>
    </row>
    <row r="10" customFormat="false" ht="24" hidden="false" customHeight="true" outlineLevel="0" collapsed="false">
      <c r="A10" s="5" t="s">
        <v>7</v>
      </c>
    </row>
    <row r="11" customFormat="false" ht="24" hidden="false" customHeight="true" outlineLevel="0" collapsed="false">
      <c r="A11" s="5" t="s">
        <v>8</v>
      </c>
    </row>
    <row r="12" customFormat="false" ht="24" hidden="false" customHeight="true" outlineLevel="0" collapsed="false">
      <c r="A12" s="5" t="s">
        <v>9</v>
      </c>
    </row>
    <row r="13" customFormat="false" ht="24" hidden="false" customHeight="true" outlineLevel="0" collapsed="false">
      <c r="A13" s="5" t="s">
        <v>10</v>
      </c>
    </row>
    <row r="14" customFormat="false" ht="13.5" hidden="false" customHeight="true" outlineLevel="0" collapsed="false">
      <c r="A14" s="5" t="s">
        <v>11</v>
      </c>
    </row>
    <row r="16" customFormat="false" ht="15" hidden="false" customHeight="true" outlineLevel="0" collapsed="false">
      <c r="A16" s="4" t="s">
        <v>12</v>
      </c>
      <c r="B16" s="4"/>
    </row>
    <row r="17" customFormat="false" ht="13.5" hidden="false" customHeight="true" outlineLevel="0" collapsed="false">
      <c r="A17" s="6" t="s">
        <v>13</v>
      </c>
      <c r="B17" s="5" t="s">
        <v>14</v>
      </c>
    </row>
    <row r="18" customFormat="false" ht="24" hidden="false" customHeight="true" outlineLevel="0" collapsed="false">
      <c r="A18" s="6" t="s">
        <v>15</v>
      </c>
      <c r="B18" s="5" t="s">
        <v>16</v>
      </c>
    </row>
    <row r="19" customFormat="false" ht="13.5" hidden="false" customHeight="true" outlineLevel="0" collapsed="false">
      <c r="A19" s="6" t="s">
        <v>17</v>
      </c>
      <c r="B19" s="5" t="s">
        <v>18</v>
      </c>
    </row>
    <row r="20" customFormat="false" ht="36" hidden="false" customHeight="true" outlineLevel="0" collapsed="false">
      <c r="A20" s="6" t="s">
        <v>19</v>
      </c>
      <c r="B20" s="5" t="s">
        <v>20</v>
      </c>
    </row>
    <row r="21" customFormat="false" ht="24" hidden="false" customHeight="true" outlineLevel="0" collapsed="false">
      <c r="A21" s="6" t="s">
        <v>21</v>
      </c>
      <c r="B21" s="5" t="s">
        <v>22</v>
      </c>
    </row>
    <row r="22" customFormat="false" ht="24" hidden="false" customHeight="true" outlineLevel="0" collapsed="false">
      <c r="A22" s="6" t="s">
        <v>23</v>
      </c>
      <c r="B22" s="5" t="s">
        <v>24</v>
      </c>
    </row>
    <row r="23" customFormat="false" ht="13.5" hidden="false" customHeight="true" outlineLevel="0" collapsed="false">
      <c r="A23" s="6" t="s">
        <v>25</v>
      </c>
      <c r="B23" s="5" t="s">
        <v>26</v>
      </c>
    </row>
    <row r="24" customFormat="false" ht="24" hidden="false" customHeight="true" outlineLevel="0" collapsed="false">
      <c r="A24" s="6" t="s">
        <v>27</v>
      </c>
      <c r="B24" s="5" t="s">
        <v>28</v>
      </c>
    </row>
    <row r="26" customFormat="false" ht="15" hidden="false" customHeight="true" outlineLevel="0" collapsed="false">
      <c r="A26" s="4" t="s">
        <v>29</v>
      </c>
      <c r="B26" s="4"/>
    </row>
    <row r="27" customFormat="false" ht="24" hidden="false" customHeight="true" outlineLevel="0" collapsed="false">
      <c r="A27" s="5" t="s">
        <v>30</v>
      </c>
    </row>
    <row r="28" customFormat="false" ht="24" hidden="false" customHeight="true" outlineLevel="0" collapsed="false">
      <c r="A28" s="5" t="s">
        <v>31</v>
      </c>
    </row>
    <row r="29" customFormat="false" ht="24" hidden="false" customHeight="true" outlineLevel="0" collapsed="false">
      <c r="A29" s="5" t="s">
        <v>32</v>
      </c>
    </row>
    <row r="30" customFormat="false" ht="13.5" hidden="false" customHeight="true" outlineLevel="0" collapsed="false">
      <c r="A30" s="5" t="s">
        <v>33</v>
      </c>
    </row>
    <row r="32" customFormat="false" ht="15" hidden="false" customHeight="true" outlineLevel="0" collapsed="false">
      <c r="A32" s="4" t="s">
        <v>34</v>
      </c>
      <c r="B32" s="4"/>
    </row>
    <row r="33" customFormat="false" ht="24" hidden="false" customHeight="true" outlineLevel="0" collapsed="false">
      <c r="A33" s="5" t="s">
        <v>35</v>
      </c>
    </row>
    <row r="34" customFormat="false" ht="24" hidden="false" customHeight="true" outlineLevel="0" collapsed="false">
      <c r="A34" s="5" t="s">
        <v>36</v>
      </c>
    </row>
    <row r="36" customFormat="false" ht="24" hidden="false" customHeight="true" outlineLevel="0" collapsed="false">
      <c r="A36" s="5" t="s">
        <v>37</v>
      </c>
    </row>
  </sheetData>
  <mergeCells count="5">
    <mergeCell ref="A4:B4"/>
    <mergeCell ref="A8:B8"/>
    <mergeCell ref="A16:B16"/>
    <mergeCell ref="A26:B26"/>
    <mergeCell ref="A32:B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U41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3" ySplit="3" topLeftCell="K5" activePane="bottomRight" state="frozen"/>
      <selection pane="topLeft" activeCell="A1" activeCellId="0" sqref="A1"/>
      <selection pane="topRight" activeCell="K1" activeCellId="0" sqref="K1"/>
      <selection pane="bottomLeft" activeCell="A5" activeCellId="0" sqref="A5"/>
      <selection pane="bottomRight" activeCell="M6" activeCellId="0" sqref="M6"/>
    </sheetView>
  </sheetViews>
  <sheetFormatPr defaultColWidth="8.714843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20"/>
    <col collapsed="false" customWidth="true" hidden="false" outlineLevel="0" max="4" min="4" style="1" width="44"/>
    <col collapsed="false" customWidth="true" hidden="false" outlineLevel="0" max="5" min="5" style="1" width="46"/>
    <col collapsed="false" customWidth="true" hidden="false" outlineLevel="0" max="6" min="6" style="1" width="52"/>
    <col collapsed="false" customWidth="true" hidden="false" outlineLevel="0" max="7" min="7" style="1" width="30"/>
    <col collapsed="false" customWidth="true" hidden="false" outlineLevel="0" max="8" min="8" style="1" width="14"/>
    <col collapsed="false" customWidth="true" hidden="false" outlineLevel="0" max="9" min="9" style="1" width="40"/>
    <col collapsed="false" customWidth="true" hidden="false" outlineLevel="0" max="10" min="10" style="1" width="62"/>
    <col collapsed="false" customWidth="true" hidden="false" outlineLevel="0" max="11" min="11" style="1" width="32"/>
    <col collapsed="false" customWidth="true" hidden="false" outlineLevel="0" max="12" min="12" style="1" width="28"/>
    <col collapsed="false" customWidth="true" hidden="false" outlineLevel="0" max="13" min="13" style="1" width="15"/>
    <col collapsed="false" customWidth="true" hidden="false" outlineLevel="0" max="14" min="14" style="1" width="14"/>
    <col collapsed="false" customWidth="true" hidden="false" outlineLevel="0" max="15" min="15" style="1" width="20"/>
    <col collapsed="false" customWidth="true" hidden="false" outlineLevel="0" max="16" min="16" style="1" width="10"/>
    <col collapsed="false" customWidth="true" hidden="false" outlineLevel="0" max="17" min="17" style="1" width="8"/>
    <col collapsed="false" customWidth="true" hidden="false" outlineLevel="0" max="18" min="18" style="1" width="9"/>
    <col collapsed="false" customWidth="true" hidden="false" outlineLevel="0" max="19" min="19" style="1" width="38"/>
    <col collapsed="false" customWidth="true" hidden="false" outlineLevel="0" max="20" min="20" style="1" width="26"/>
    <col collapsed="false" customWidth="true" hidden="false" outlineLevel="0" max="21" min="21" style="1" width="24"/>
  </cols>
  <sheetData>
    <row r="1" customFormat="false" ht="18" hidden="false" customHeight="true" outlineLevel="0" collapsed="false">
      <c r="A1" s="7" t="s">
        <v>38</v>
      </c>
    </row>
    <row r="2" customFormat="false" ht="15" hidden="false" customHeight="true" outlineLevel="0" collapsed="false">
      <c r="A2" s="3" t="s">
        <v>39</v>
      </c>
    </row>
    <row r="3" customFormat="false" ht="15" hidden="false" customHeight="true" outlineLevel="0" collapsed="false">
      <c r="A3" s="8" t="s">
        <v>40</v>
      </c>
      <c r="B3" s="8" t="s">
        <v>41</v>
      </c>
      <c r="C3" s="8" t="s">
        <v>42</v>
      </c>
      <c r="D3" s="8" t="s">
        <v>13</v>
      </c>
      <c r="E3" s="8" t="s">
        <v>43</v>
      </c>
      <c r="F3" s="8" t="s">
        <v>44</v>
      </c>
      <c r="G3" s="8" t="s">
        <v>45</v>
      </c>
      <c r="H3" s="8" t="s">
        <v>46</v>
      </c>
      <c r="I3" s="8" t="s">
        <v>47</v>
      </c>
      <c r="J3" s="8" t="s">
        <v>19</v>
      </c>
      <c r="K3" s="8" t="s">
        <v>48</v>
      </c>
      <c r="L3" s="8" t="s">
        <v>49</v>
      </c>
      <c r="M3" s="8" t="s">
        <v>50</v>
      </c>
      <c r="N3" s="8" t="s">
        <v>23</v>
      </c>
      <c r="O3" s="8" t="s">
        <v>51</v>
      </c>
      <c r="P3" s="8" t="s">
        <v>52</v>
      </c>
      <c r="Q3" s="8" t="s">
        <v>53</v>
      </c>
      <c r="R3" s="8" t="s">
        <v>54</v>
      </c>
      <c r="S3" s="8" t="s">
        <v>55</v>
      </c>
      <c r="T3" s="8" t="s">
        <v>56</v>
      </c>
      <c r="U3" s="8" t="s">
        <v>57</v>
      </c>
    </row>
    <row r="4" customFormat="false" ht="108" hidden="true" customHeight="true" outlineLevel="0" collapsed="false">
      <c r="A4" s="9" t="s">
        <v>58</v>
      </c>
      <c r="B4" s="10" t="s">
        <v>59</v>
      </c>
      <c r="C4" s="10" t="s">
        <v>60</v>
      </c>
      <c r="D4" s="10" t="s">
        <v>61</v>
      </c>
      <c r="E4" s="10" t="s">
        <v>62</v>
      </c>
      <c r="F4" s="10" t="s">
        <v>63</v>
      </c>
      <c r="G4" s="10" t="s">
        <v>64</v>
      </c>
      <c r="H4" s="9" t="s">
        <v>65</v>
      </c>
      <c r="I4" s="10" t="s">
        <v>66</v>
      </c>
      <c r="J4" s="10" t="s">
        <v>67</v>
      </c>
      <c r="K4" s="10" t="s">
        <v>68</v>
      </c>
      <c r="L4" s="10" t="s">
        <v>69</v>
      </c>
      <c r="M4" s="9" t="s">
        <v>70</v>
      </c>
      <c r="N4" s="9" t="s">
        <v>71</v>
      </c>
      <c r="O4" s="10" t="s">
        <v>72</v>
      </c>
      <c r="P4" s="11" t="s">
        <v>73</v>
      </c>
      <c r="Q4" s="9" t="n">
        <v>9</v>
      </c>
      <c r="R4" s="9" t="s">
        <v>74</v>
      </c>
      <c r="S4" s="10" t="s">
        <v>75</v>
      </c>
      <c r="T4" s="10" t="s">
        <v>76</v>
      </c>
      <c r="U4" s="10" t="s">
        <v>77</v>
      </c>
    </row>
    <row r="5" customFormat="false" ht="108" hidden="false" customHeight="true" outlineLevel="0" collapsed="false">
      <c r="A5" s="9" t="s">
        <v>78</v>
      </c>
      <c r="B5" s="10" t="s">
        <v>59</v>
      </c>
      <c r="C5" s="10" t="s">
        <v>79</v>
      </c>
      <c r="D5" s="10" t="s">
        <v>80</v>
      </c>
      <c r="E5" s="10" t="s">
        <v>81</v>
      </c>
      <c r="F5" s="10" t="s">
        <v>82</v>
      </c>
      <c r="G5" s="10" t="s">
        <v>83</v>
      </c>
      <c r="H5" s="9" t="s">
        <v>84</v>
      </c>
      <c r="I5" s="10" t="s">
        <v>85</v>
      </c>
      <c r="J5" s="10" t="s">
        <v>86</v>
      </c>
      <c r="K5" s="10" t="s">
        <v>87</v>
      </c>
      <c r="L5" s="10" t="s">
        <v>88</v>
      </c>
      <c r="M5" s="9" t="s">
        <v>70</v>
      </c>
      <c r="N5" s="9" t="s">
        <v>71</v>
      </c>
      <c r="O5" s="10" t="s">
        <v>89</v>
      </c>
      <c r="P5" s="12" t="s">
        <v>90</v>
      </c>
      <c r="Q5" s="9" t="n">
        <v>7</v>
      </c>
      <c r="R5" s="9" t="s">
        <v>74</v>
      </c>
      <c r="S5" s="10" t="s">
        <v>91</v>
      </c>
      <c r="T5" s="10" t="s">
        <v>92</v>
      </c>
      <c r="U5" s="10" t="s">
        <v>93</v>
      </c>
    </row>
    <row r="6" customFormat="false" ht="108" hidden="false" customHeight="true" outlineLevel="0" collapsed="false">
      <c r="A6" s="9" t="s">
        <v>94</v>
      </c>
      <c r="B6" s="10" t="s">
        <v>59</v>
      </c>
      <c r="C6" s="10" t="s">
        <v>79</v>
      </c>
      <c r="D6" s="10" t="s">
        <v>95</v>
      </c>
      <c r="E6" s="10" t="s">
        <v>96</v>
      </c>
      <c r="F6" s="10" t="s">
        <v>97</v>
      </c>
      <c r="G6" s="10" t="s">
        <v>98</v>
      </c>
      <c r="H6" s="9" t="s">
        <v>65</v>
      </c>
      <c r="I6" s="10" t="s">
        <v>99</v>
      </c>
      <c r="J6" s="10" t="s">
        <v>100</v>
      </c>
      <c r="K6" s="10" t="s">
        <v>101</v>
      </c>
      <c r="L6" s="10" t="s">
        <v>102</v>
      </c>
      <c r="M6" s="9" t="s">
        <v>70</v>
      </c>
      <c r="N6" s="9" t="s">
        <v>71</v>
      </c>
      <c r="O6" s="10" t="s">
        <v>72</v>
      </c>
      <c r="P6" s="12" t="s">
        <v>90</v>
      </c>
      <c r="Q6" s="9" t="n">
        <v>8</v>
      </c>
      <c r="R6" s="9" t="s">
        <v>74</v>
      </c>
      <c r="S6" s="10" t="s">
        <v>103</v>
      </c>
      <c r="T6" s="10" t="s">
        <v>104</v>
      </c>
      <c r="U6" s="10" t="s">
        <v>105</v>
      </c>
    </row>
    <row r="7" customFormat="false" ht="108" hidden="true" customHeight="true" outlineLevel="0" collapsed="false">
      <c r="A7" s="9" t="s">
        <v>106</v>
      </c>
      <c r="B7" s="10" t="s">
        <v>59</v>
      </c>
      <c r="C7" s="10" t="s">
        <v>107</v>
      </c>
      <c r="D7" s="10" t="s">
        <v>108</v>
      </c>
      <c r="E7" s="10" t="s">
        <v>109</v>
      </c>
      <c r="F7" s="10" t="s">
        <v>110</v>
      </c>
      <c r="G7" s="10" t="s">
        <v>111</v>
      </c>
      <c r="H7" s="9" t="s">
        <v>112</v>
      </c>
      <c r="I7" s="10" t="s">
        <v>113</v>
      </c>
      <c r="J7" s="10" t="s">
        <v>114</v>
      </c>
      <c r="K7" s="10" t="s">
        <v>115</v>
      </c>
      <c r="L7" s="10" t="s">
        <v>116</v>
      </c>
      <c r="M7" s="9" t="s">
        <v>70</v>
      </c>
      <c r="N7" s="9" t="s">
        <v>117</v>
      </c>
      <c r="O7" s="10" t="s">
        <v>118</v>
      </c>
      <c r="P7" s="13" t="s">
        <v>119</v>
      </c>
      <c r="Q7" s="9" t="n">
        <v>2</v>
      </c>
      <c r="R7" s="9" t="s">
        <v>90</v>
      </c>
      <c r="S7" s="10" t="s">
        <v>120</v>
      </c>
      <c r="T7" s="10" t="s">
        <v>121</v>
      </c>
      <c r="U7" s="10" t="s">
        <v>122</v>
      </c>
    </row>
    <row r="8" customFormat="false" ht="108" hidden="true" customHeight="true" outlineLevel="0" collapsed="false">
      <c r="A8" s="9" t="s">
        <v>123</v>
      </c>
      <c r="B8" s="10" t="s">
        <v>59</v>
      </c>
      <c r="C8" s="10" t="s">
        <v>124</v>
      </c>
      <c r="D8" s="10" t="s">
        <v>125</v>
      </c>
      <c r="E8" s="10" t="s">
        <v>126</v>
      </c>
      <c r="F8" s="10" t="s">
        <v>127</v>
      </c>
      <c r="G8" s="10" t="s">
        <v>128</v>
      </c>
      <c r="H8" s="9" t="s">
        <v>112</v>
      </c>
      <c r="I8" s="10" t="s">
        <v>129</v>
      </c>
      <c r="J8" s="10" t="s">
        <v>130</v>
      </c>
      <c r="K8" s="10" t="s">
        <v>131</v>
      </c>
      <c r="L8" s="10" t="s">
        <v>132</v>
      </c>
      <c r="M8" s="9" t="s">
        <v>133</v>
      </c>
      <c r="N8" s="9" t="s">
        <v>71</v>
      </c>
      <c r="O8" s="10" t="s">
        <v>118</v>
      </c>
      <c r="P8" s="11" t="s">
        <v>73</v>
      </c>
      <c r="Q8" s="9" t="n">
        <v>9</v>
      </c>
      <c r="R8" s="9" t="s">
        <v>74</v>
      </c>
      <c r="S8" s="10" t="s">
        <v>134</v>
      </c>
      <c r="T8" s="10" t="s">
        <v>135</v>
      </c>
      <c r="U8" s="10" t="s">
        <v>136</v>
      </c>
    </row>
    <row r="9" customFormat="false" ht="108" hidden="false" customHeight="true" outlineLevel="0" collapsed="false">
      <c r="A9" s="9" t="s">
        <v>137</v>
      </c>
      <c r="B9" s="10" t="s">
        <v>59</v>
      </c>
      <c r="C9" s="10" t="s">
        <v>138</v>
      </c>
      <c r="D9" s="10" t="s">
        <v>139</v>
      </c>
      <c r="E9" s="10" t="s">
        <v>140</v>
      </c>
      <c r="F9" s="10" t="s">
        <v>141</v>
      </c>
      <c r="G9" s="10" t="s">
        <v>142</v>
      </c>
      <c r="H9" s="9" t="s">
        <v>143</v>
      </c>
      <c r="I9" s="10" t="s">
        <v>144</v>
      </c>
      <c r="J9" s="10" t="s">
        <v>145</v>
      </c>
      <c r="K9" s="10" t="s">
        <v>146</v>
      </c>
      <c r="L9" s="10" t="s">
        <v>87</v>
      </c>
      <c r="M9" s="9" t="s">
        <v>70</v>
      </c>
      <c r="N9" s="9" t="s">
        <v>117</v>
      </c>
      <c r="O9" s="10" t="s">
        <v>118</v>
      </c>
      <c r="P9" s="12" t="s">
        <v>90</v>
      </c>
      <c r="Q9" s="9" t="n">
        <v>6</v>
      </c>
      <c r="R9" s="9" t="s">
        <v>74</v>
      </c>
      <c r="S9" s="10" t="s">
        <v>147</v>
      </c>
      <c r="T9" s="10" t="s">
        <v>148</v>
      </c>
      <c r="U9" s="10" t="s">
        <v>149</v>
      </c>
    </row>
    <row r="10" customFormat="false" ht="108" hidden="false" customHeight="true" outlineLevel="0" collapsed="false">
      <c r="A10" s="9" t="s">
        <v>150</v>
      </c>
      <c r="B10" s="10" t="s">
        <v>59</v>
      </c>
      <c r="C10" s="10" t="s">
        <v>151</v>
      </c>
      <c r="D10" s="10" t="s">
        <v>152</v>
      </c>
      <c r="E10" s="10" t="s">
        <v>153</v>
      </c>
      <c r="F10" s="10" t="s">
        <v>154</v>
      </c>
      <c r="G10" s="10" t="s">
        <v>155</v>
      </c>
      <c r="H10" s="9" t="s">
        <v>156</v>
      </c>
      <c r="I10" s="10" t="s">
        <v>157</v>
      </c>
      <c r="J10" s="10" t="s">
        <v>158</v>
      </c>
      <c r="K10" s="10" t="s">
        <v>159</v>
      </c>
      <c r="L10" s="10" t="s">
        <v>160</v>
      </c>
      <c r="M10" s="9" t="s">
        <v>70</v>
      </c>
      <c r="N10" s="9" t="s">
        <v>71</v>
      </c>
      <c r="O10" s="10" t="s">
        <v>89</v>
      </c>
      <c r="P10" s="12" t="s">
        <v>90</v>
      </c>
      <c r="Q10" s="9" t="n">
        <v>8</v>
      </c>
      <c r="R10" s="9" t="s">
        <v>74</v>
      </c>
      <c r="S10" s="10" t="s">
        <v>161</v>
      </c>
      <c r="T10" s="10" t="s">
        <v>162</v>
      </c>
      <c r="U10" s="10" t="s">
        <v>163</v>
      </c>
    </row>
    <row r="11" customFormat="false" ht="108" hidden="false" customHeight="true" outlineLevel="0" collapsed="false">
      <c r="A11" s="9" t="s">
        <v>164</v>
      </c>
      <c r="B11" s="10" t="s">
        <v>59</v>
      </c>
      <c r="C11" s="10" t="s">
        <v>151</v>
      </c>
      <c r="D11" s="10" t="s">
        <v>165</v>
      </c>
      <c r="E11" s="10" t="s">
        <v>166</v>
      </c>
      <c r="F11" s="10" t="s">
        <v>167</v>
      </c>
      <c r="G11" s="10" t="s">
        <v>168</v>
      </c>
      <c r="H11" s="9" t="s">
        <v>112</v>
      </c>
      <c r="I11" s="10" t="s">
        <v>169</v>
      </c>
      <c r="J11" s="10" t="s">
        <v>170</v>
      </c>
      <c r="K11" s="10" t="s">
        <v>171</v>
      </c>
      <c r="L11" s="10" t="s">
        <v>172</v>
      </c>
      <c r="M11" s="9" t="s">
        <v>133</v>
      </c>
      <c r="N11" s="9" t="s">
        <v>71</v>
      </c>
      <c r="O11" s="10" t="s">
        <v>89</v>
      </c>
      <c r="P11" s="12" t="s">
        <v>90</v>
      </c>
      <c r="Q11" s="9" t="n">
        <v>7</v>
      </c>
      <c r="R11" s="9" t="s">
        <v>74</v>
      </c>
      <c r="S11" s="10" t="s">
        <v>173</v>
      </c>
      <c r="T11" s="10" t="s">
        <v>174</v>
      </c>
      <c r="U11" s="10" t="s">
        <v>175</v>
      </c>
    </row>
    <row r="12" customFormat="false" ht="108" hidden="true" customHeight="true" outlineLevel="0" collapsed="false">
      <c r="A12" s="9" t="s">
        <v>176</v>
      </c>
      <c r="B12" s="10" t="s">
        <v>59</v>
      </c>
      <c r="C12" s="10" t="s">
        <v>151</v>
      </c>
      <c r="D12" s="10" t="s">
        <v>177</v>
      </c>
      <c r="E12" s="10" t="s">
        <v>178</v>
      </c>
      <c r="F12" s="10" t="s">
        <v>179</v>
      </c>
      <c r="G12" s="10" t="s">
        <v>180</v>
      </c>
      <c r="H12" s="9" t="s">
        <v>112</v>
      </c>
      <c r="I12" s="10" t="s">
        <v>181</v>
      </c>
      <c r="J12" s="10" t="s">
        <v>182</v>
      </c>
      <c r="K12" s="10" t="s">
        <v>183</v>
      </c>
      <c r="L12" s="10" t="s">
        <v>184</v>
      </c>
      <c r="M12" s="9" t="s">
        <v>70</v>
      </c>
      <c r="N12" s="9" t="s">
        <v>71</v>
      </c>
      <c r="O12" s="10" t="s">
        <v>185</v>
      </c>
      <c r="P12" s="14" t="s">
        <v>74</v>
      </c>
      <c r="Q12" s="9" t="n">
        <v>5</v>
      </c>
      <c r="R12" s="9" t="s">
        <v>74</v>
      </c>
      <c r="S12" s="10" t="s">
        <v>186</v>
      </c>
      <c r="T12" s="10" t="s">
        <v>187</v>
      </c>
      <c r="U12" s="10" t="s">
        <v>188</v>
      </c>
    </row>
    <row r="13" customFormat="false" ht="108" hidden="true" customHeight="true" outlineLevel="0" collapsed="false">
      <c r="A13" s="9" t="s">
        <v>189</v>
      </c>
      <c r="B13" s="10" t="s">
        <v>59</v>
      </c>
      <c r="C13" s="10" t="s">
        <v>151</v>
      </c>
      <c r="D13" s="10" t="s">
        <v>190</v>
      </c>
      <c r="E13" s="10" t="s">
        <v>191</v>
      </c>
      <c r="F13" s="10" t="s">
        <v>192</v>
      </c>
      <c r="G13" s="10" t="s">
        <v>193</v>
      </c>
      <c r="H13" s="9" t="s">
        <v>112</v>
      </c>
      <c r="I13" s="10" t="s">
        <v>194</v>
      </c>
      <c r="J13" s="10" t="s">
        <v>195</v>
      </c>
      <c r="K13" s="10" t="s">
        <v>196</v>
      </c>
      <c r="L13" s="10" t="s">
        <v>197</v>
      </c>
      <c r="M13" s="9" t="s">
        <v>133</v>
      </c>
      <c r="N13" s="9" t="s">
        <v>71</v>
      </c>
      <c r="O13" s="10" t="s">
        <v>89</v>
      </c>
      <c r="P13" s="13" t="s">
        <v>119</v>
      </c>
      <c r="Q13" s="9" t="n">
        <v>2</v>
      </c>
      <c r="R13" s="9" t="s">
        <v>90</v>
      </c>
      <c r="S13" s="10" t="s">
        <v>198</v>
      </c>
      <c r="T13" s="10" t="s">
        <v>199</v>
      </c>
      <c r="U13" s="10" t="s">
        <v>200</v>
      </c>
    </row>
    <row r="14" customFormat="false" ht="108" hidden="true" customHeight="true" outlineLevel="0" collapsed="false">
      <c r="A14" s="9" t="s">
        <v>201</v>
      </c>
      <c r="B14" s="10" t="s">
        <v>59</v>
      </c>
      <c r="C14" s="10" t="s">
        <v>151</v>
      </c>
      <c r="D14" s="10" t="s">
        <v>202</v>
      </c>
      <c r="E14" s="10" t="s">
        <v>203</v>
      </c>
      <c r="F14" s="10" t="s">
        <v>204</v>
      </c>
      <c r="G14" s="10" t="s">
        <v>205</v>
      </c>
      <c r="H14" s="9" t="s">
        <v>112</v>
      </c>
      <c r="I14" s="10" t="s">
        <v>206</v>
      </c>
      <c r="J14" s="10" t="s">
        <v>207</v>
      </c>
      <c r="K14" s="10" t="s">
        <v>208</v>
      </c>
      <c r="L14" s="10" t="s">
        <v>209</v>
      </c>
      <c r="M14" s="9" t="s">
        <v>70</v>
      </c>
      <c r="N14" s="9" t="s">
        <v>71</v>
      </c>
      <c r="O14" s="10" t="s">
        <v>118</v>
      </c>
      <c r="P14" s="13" t="s">
        <v>119</v>
      </c>
      <c r="Q14" s="9" t="n">
        <v>2</v>
      </c>
      <c r="R14" s="9" t="s">
        <v>90</v>
      </c>
      <c r="S14" s="10" t="s">
        <v>210</v>
      </c>
      <c r="T14" s="10" t="s">
        <v>211</v>
      </c>
      <c r="U14" s="10" t="s">
        <v>212</v>
      </c>
    </row>
    <row r="15" customFormat="false" ht="108" hidden="true" customHeight="true" outlineLevel="0" collapsed="false">
      <c r="A15" s="9" t="s">
        <v>213</v>
      </c>
      <c r="B15" s="10" t="s">
        <v>59</v>
      </c>
      <c r="C15" s="10" t="s">
        <v>214</v>
      </c>
      <c r="D15" s="10" t="s">
        <v>215</v>
      </c>
      <c r="E15" s="10" t="s">
        <v>216</v>
      </c>
      <c r="F15" s="10" t="s">
        <v>217</v>
      </c>
      <c r="G15" s="10" t="s">
        <v>218</v>
      </c>
      <c r="H15" s="9" t="s">
        <v>219</v>
      </c>
      <c r="I15" s="10" t="s">
        <v>220</v>
      </c>
      <c r="J15" s="10" t="s">
        <v>221</v>
      </c>
      <c r="K15" s="10" t="s">
        <v>222</v>
      </c>
      <c r="L15" s="10" t="s">
        <v>223</v>
      </c>
      <c r="M15" s="9" t="s">
        <v>133</v>
      </c>
      <c r="N15" s="9" t="s">
        <v>71</v>
      </c>
      <c r="O15" s="10" t="s">
        <v>185</v>
      </c>
      <c r="P15" s="11" t="s">
        <v>73</v>
      </c>
      <c r="Q15" s="9" t="n">
        <v>9</v>
      </c>
      <c r="R15" s="9" t="s">
        <v>119</v>
      </c>
      <c r="S15" s="10" t="s">
        <v>224</v>
      </c>
      <c r="T15" s="10" t="s">
        <v>225</v>
      </c>
      <c r="U15" s="10" t="s">
        <v>226</v>
      </c>
    </row>
    <row r="16" customFormat="false" ht="108" hidden="false" customHeight="true" outlineLevel="0" collapsed="false">
      <c r="A16" s="9" t="s">
        <v>227</v>
      </c>
      <c r="B16" s="10" t="s">
        <v>59</v>
      </c>
      <c r="C16" s="10" t="s">
        <v>228</v>
      </c>
      <c r="D16" s="10" t="s">
        <v>229</v>
      </c>
      <c r="E16" s="10" t="s">
        <v>230</v>
      </c>
      <c r="F16" s="10" t="s">
        <v>231</v>
      </c>
      <c r="G16" s="10" t="s">
        <v>232</v>
      </c>
      <c r="H16" s="9" t="s">
        <v>112</v>
      </c>
      <c r="I16" s="10" t="s">
        <v>233</v>
      </c>
      <c r="J16" s="10" t="s">
        <v>234</v>
      </c>
      <c r="K16" s="10" t="s">
        <v>235</v>
      </c>
      <c r="L16" s="10" t="s">
        <v>236</v>
      </c>
      <c r="M16" s="9" t="s">
        <v>70</v>
      </c>
      <c r="N16" s="9" t="s">
        <v>71</v>
      </c>
      <c r="O16" s="10" t="s">
        <v>89</v>
      </c>
      <c r="P16" s="12" t="s">
        <v>90</v>
      </c>
      <c r="Q16" s="9" t="n">
        <v>7</v>
      </c>
      <c r="R16" s="9" t="s">
        <v>74</v>
      </c>
      <c r="S16" s="10" t="s">
        <v>237</v>
      </c>
      <c r="T16" s="10" t="s">
        <v>238</v>
      </c>
      <c r="U16" s="10" t="s">
        <v>239</v>
      </c>
    </row>
    <row r="17" customFormat="false" ht="108" hidden="true" customHeight="true" outlineLevel="0" collapsed="false">
      <c r="A17" s="9" t="s">
        <v>240</v>
      </c>
      <c r="B17" s="10" t="s">
        <v>59</v>
      </c>
      <c r="C17" s="10" t="s">
        <v>228</v>
      </c>
      <c r="D17" s="10" t="s">
        <v>241</v>
      </c>
      <c r="E17" s="10" t="s">
        <v>242</v>
      </c>
      <c r="F17" s="10" t="s">
        <v>243</v>
      </c>
      <c r="G17" s="10" t="s">
        <v>244</v>
      </c>
      <c r="H17" s="9" t="s">
        <v>84</v>
      </c>
      <c r="I17" s="10" t="s">
        <v>245</v>
      </c>
      <c r="J17" s="10" t="s">
        <v>246</v>
      </c>
      <c r="K17" s="10" t="s">
        <v>247</v>
      </c>
      <c r="L17" s="10" t="s">
        <v>248</v>
      </c>
      <c r="M17" s="9" t="s">
        <v>133</v>
      </c>
      <c r="N17" s="9" t="s">
        <v>71</v>
      </c>
      <c r="O17" s="10" t="s">
        <v>185</v>
      </c>
      <c r="P17" s="14" t="s">
        <v>74</v>
      </c>
      <c r="Q17" s="9" t="n">
        <v>5</v>
      </c>
      <c r="R17" s="9" t="s">
        <v>74</v>
      </c>
      <c r="S17" s="10" t="s">
        <v>249</v>
      </c>
      <c r="T17" s="10" t="s">
        <v>250</v>
      </c>
      <c r="U17" s="10" t="s">
        <v>200</v>
      </c>
    </row>
    <row r="18" customFormat="false" ht="108" hidden="false" customHeight="true" outlineLevel="0" collapsed="false">
      <c r="A18" s="9" t="s">
        <v>251</v>
      </c>
      <c r="B18" s="10" t="s">
        <v>59</v>
      </c>
      <c r="C18" s="10" t="s">
        <v>252</v>
      </c>
      <c r="D18" s="10" t="s">
        <v>253</v>
      </c>
      <c r="E18" s="10" t="s">
        <v>254</v>
      </c>
      <c r="F18" s="10" t="s">
        <v>255</v>
      </c>
      <c r="G18" s="10" t="s">
        <v>256</v>
      </c>
      <c r="H18" s="9" t="s">
        <v>65</v>
      </c>
      <c r="I18" s="10" t="s">
        <v>257</v>
      </c>
      <c r="J18" s="10" t="s">
        <v>258</v>
      </c>
      <c r="K18" s="10" t="s">
        <v>259</v>
      </c>
      <c r="L18" s="10" t="s">
        <v>260</v>
      </c>
      <c r="M18" s="9" t="s">
        <v>70</v>
      </c>
      <c r="N18" s="9" t="s">
        <v>71</v>
      </c>
      <c r="O18" s="10" t="s">
        <v>72</v>
      </c>
      <c r="P18" s="12" t="s">
        <v>90</v>
      </c>
      <c r="Q18" s="9" t="n">
        <v>8</v>
      </c>
      <c r="R18" s="9" t="s">
        <v>74</v>
      </c>
      <c r="S18" s="10" t="s">
        <v>261</v>
      </c>
      <c r="T18" s="10" t="s">
        <v>262</v>
      </c>
      <c r="U18" s="10" t="s">
        <v>263</v>
      </c>
    </row>
    <row r="19" customFormat="false" ht="108" hidden="false" customHeight="true" outlineLevel="0" collapsed="false">
      <c r="A19" s="9" t="s">
        <v>264</v>
      </c>
      <c r="B19" s="10" t="s">
        <v>59</v>
      </c>
      <c r="C19" s="10" t="s">
        <v>265</v>
      </c>
      <c r="D19" s="10" t="s">
        <v>266</v>
      </c>
      <c r="E19" s="10" t="s">
        <v>267</v>
      </c>
      <c r="F19" s="10" t="s">
        <v>268</v>
      </c>
      <c r="G19" s="10" t="s">
        <v>269</v>
      </c>
      <c r="H19" s="9" t="s">
        <v>84</v>
      </c>
      <c r="I19" s="10" t="s">
        <v>270</v>
      </c>
      <c r="J19" s="10" t="s">
        <v>271</v>
      </c>
      <c r="K19" s="10" t="s">
        <v>272</v>
      </c>
      <c r="L19" s="10" t="s">
        <v>273</v>
      </c>
      <c r="M19" s="9" t="s">
        <v>70</v>
      </c>
      <c r="N19" s="9" t="s">
        <v>274</v>
      </c>
      <c r="O19" s="10" t="s">
        <v>275</v>
      </c>
      <c r="P19" s="12" t="s">
        <v>90</v>
      </c>
      <c r="Q19" s="9" t="n">
        <v>7</v>
      </c>
      <c r="R19" s="9" t="s">
        <v>74</v>
      </c>
      <c r="S19" s="10" t="s">
        <v>276</v>
      </c>
      <c r="T19" s="10" t="s">
        <v>277</v>
      </c>
      <c r="U19" s="10" t="s">
        <v>278</v>
      </c>
    </row>
    <row r="20" customFormat="false" ht="108" hidden="false" customHeight="true" outlineLevel="0" collapsed="false">
      <c r="A20" s="9" t="s">
        <v>279</v>
      </c>
      <c r="B20" s="10" t="s">
        <v>59</v>
      </c>
      <c r="C20" s="10" t="s">
        <v>280</v>
      </c>
      <c r="D20" s="10" t="s">
        <v>281</v>
      </c>
      <c r="E20" s="10" t="s">
        <v>282</v>
      </c>
      <c r="F20" s="10" t="s">
        <v>283</v>
      </c>
      <c r="G20" s="10" t="s">
        <v>284</v>
      </c>
      <c r="H20" s="9" t="s">
        <v>84</v>
      </c>
      <c r="I20" s="10" t="s">
        <v>285</v>
      </c>
      <c r="J20" s="10" t="s">
        <v>286</v>
      </c>
      <c r="K20" s="10" t="s">
        <v>247</v>
      </c>
      <c r="L20" s="10" t="s">
        <v>287</v>
      </c>
      <c r="M20" s="9" t="s">
        <v>133</v>
      </c>
      <c r="N20" s="9" t="s">
        <v>71</v>
      </c>
      <c r="O20" s="10" t="s">
        <v>275</v>
      </c>
      <c r="P20" s="12" t="s">
        <v>90</v>
      </c>
      <c r="Q20" s="9" t="n">
        <v>7</v>
      </c>
      <c r="R20" s="9" t="s">
        <v>74</v>
      </c>
      <c r="S20" s="10" t="s">
        <v>288</v>
      </c>
      <c r="T20" s="10" t="s">
        <v>289</v>
      </c>
      <c r="U20" s="10" t="s">
        <v>290</v>
      </c>
    </row>
    <row r="21" customFormat="false" ht="108" hidden="false" customHeight="true" outlineLevel="0" collapsed="false">
      <c r="A21" s="9" t="s">
        <v>291</v>
      </c>
      <c r="B21" s="10" t="s">
        <v>59</v>
      </c>
      <c r="C21" s="10" t="s">
        <v>292</v>
      </c>
      <c r="D21" s="10" t="s">
        <v>293</v>
      </c>
      <c r="E21" s="10" t="s">
        <v>294</v>
      </c>
      <c r="F21" s="10" t="s">
        <v>295</v>
      </c>
      <c r="G21" s="10" t="s">
        <v>296</v>
      </c>
      <c r="H21" s="9" t="s">
        <v>84</v>
      </c>
      <c r="I21" s="10" t="s">
        <v>297</v>
      </c>
      <c r="J21" s="10" t="s">
        <v>298</v>
      </c>
      <c r="K21" s="10" t="s">
        <v>247</v>
      </c>
      <c r="L21" s="10" t="s">
        <v>299</v>
      </c>
      <c r="M21" s="9" t="s">
        <v>133</v>
      </c>
      <c r="N21" s="9" t="s">
        <v>71</v>
      </c>
      <c r="O21" s="10" t="s">
        <v>300</v>
      </c>
      <c r="P21" s="12" t="s">
        <v>90</v>
      </c>
      <c r="Q21" s="9" t="n">
        <v>7</v>
      </c>
      <c r="R21" s="9" t="s">
        <v>119</v>
      </c>
      <c r="S21" s="10" t="s">
        <v>301</v>
      </c>
      <c r="T21" s="10" t="s">
        <v>302</v>
      </c>
      <c r="U21" s="10" t="s">
        <v>303</v>
      </c>
    </row>
    <row r="22" customFormat="false" ht="108" hidden="true" customHeight="true" outlineLevel="0" collapsed="false">
      <c r="A22" s="9" t="s">
        <v>304</v>
      </c>
      <c r="B22" s="10" t="s">
        <v>59</v>
      </c>
      <c r="C22" s="10" t="s">
        <v>305</v>
      </c>
      <c r="D22" s="10" t="s">
        <v>306</v>
      </c>
      <c r="E22" s="10" t="s">
        <v>307</v>
      </c>
      <c r="F22" s="10" t="s">
        <v>308</v>
      </c>
      <c r="G22" s="10" t="s">
        <v>309</v>
      </c>
      <c r="H22" s="9" t="s">
        <v>65</v>
      </c>
      <c r="I22" s="10" t="s">
        <v>310</v>
      </c>
      <c r="J22" s="10" t="s">
        <v>311</v>
      </c>
      <c r="K22" s="10" t="s">
        <v>87</v>
      </c>
      <c r="L22" s="10" t="s">
        <v>312</v>
      </c>
      <c r="M22" s="9" t="s">
        <v>70</v>
      </c>
      <c r="N22" s="9" t="s">
        <v>71</v>
      </c>
      <c r="O22" s="10" t="s">
        <v>89</v>
      </c>
      <c r="P22" s="14" t="s">
        <v>74</v>
      </c>
      <c r="Q22" s="9" t="n">
        <v>5</v>
      </c>
      <c r="R22" s="9" t="s">
        <v>74</v>
      </c>
      <c r="S22" s="10" t="s">
        <v>313</v>
      </c>
      <c r="T22" s="10" t="s">
        <v>314</v>
      </c>
      <c r="U22" s="10" t="s">
        <v>315</v>
      </c>
    </row>
    <row r="23" customFormat="false" ht="108" hidden="true" customHeight="true" outlineLevel="0" collapsed="false">
      <c r="A23" s="9" t="s">
        <v>316</v>
      </c>
      <c r="B23" s="10" t="s">
        <v>59</v>
      </c>
      <c r="C23" s="10" t="s">
        <v>317</v>
      </c>
      <c r="D23" s="10" t="s">
        <v>318</v>
      </c>
      <c r="E23" s="10" t="s">
        <v>319</v>
      </c>
      <c r="F23" s="10" t="s">
        <v>320</v>
      </c>
      <c r="G23" s="10" t="s">
        <v>321</v>
      </c>
      <c r="H23" s="9" t="s">
        <v>112</v>
      </c>
      <c r="I23" s="10" t="s">
        <v>322</v>
      </c>
      <c r="J23" s="10" t="s">
        <v>323</v>
      </c>
      <c r="K23" s="10" t="s">
        <v>87</v>
      </c>
      <c r="L23" s="10" t="s">
        <v>324</v>
      </c>
      <c r="M23" s="9" t="s">
        <v>133</v>
      </c>
      <c r="N23" s="9" t="s">
        <v>71</v>
      </c>
      <c r="O23" s="10" t="s">
        <v>89</v>
      </c>
      <c r="P23" s="14" t="s">
        <v>74</v>
      </c>
      <c r="Q23" s="9" t="n">
        <v>5</v>
      </c>
      <c r="R23" s="9" t="s">
        <v>74</v>
      </c>
      <c r="S23" s="10" t="s">
        <v>325</v>
      </c>
      <c r="T23" s="10" t="s">
        <v>326</v>
      </c>
      <c r="U23" s="10" t="s">
        <v>327</v>
      </c>
    </row>
    <row r="24" customFormat="false" ht="108" hidden="false" customHeight="true" outlineLevel="0" collapsed="false">
      <c r="A24" s="9" t="s">
        <v>328</v>
      </c>
      <c r="B24" s="10" t="s">
        <v>59</v>
      </c>
      <c r="C24" s="10" t="s">
        <v>329</v>
      </c>
      <c r="D24" s="10" t="s">
        <v>330</v>
      </c>
      <c r="E24" s="10" t="s">
        <v>331</v>
      </c>
      <c r="F24" s="10" t="s">
        <v>332</v>
      </c>
      <c r="G24" s="10" t="s">
        <v>333</v>
      </c>
      <c r="H24" s="9" t="s">
        <v>84</v>
      </c>
      <c r="I24" s="10" t="s">
        <v>334</v>
      </c>
      <c r="J24" s="10" t="s">
        <v>335</v>
      </c>
      <c r="K24" s="10" t="s">
        <v>336</v>
      </c>
      <c r="L24" s="10" t="s">
        <v>337</v>
      </c>
      <c r="M24" s="9" t="s">
        <v>70</v>
      </c>
      <c r="N24" s="9" t="s">
        <v>71</v>
      </c>
      <c r="O24" s="10" t="s">
        <v>185</v>
      </c>
      <c r="P24" s="12" t="s">
        <v>90</v>
      </c>
      <c r="Q24" s="9" t="n">
        <v>7</v>
      </c>
      <c r="R24" s="9" t="s">
        <v>74</v>
      </c>
      <c r="S24" s="10" t="s">
        <v>338</v>
      </c>
      <c r="T24" s="10" t="s">
        <v>339</v>
      </c>
      <c r="U24" s="10" t="s">
        <v>340</v>
      </c>
    </row>
    <row r="25" customFormat="false" ht="108" hidden="true" customHeight="true" outlineLevel="0" collapsed="false">
      <c r="A25" s="9" t="s">
        <v>341</v>
      </c>
      <c r="B25" s="10" t="s">
        <v>59</v>
      </c>
      <c r="C25" s="10" t="s">
        <v>329</v>
      </c>
      <c r="D25" s="10" t="s">
        <v>342</v>
      </c>
      <c r="E25" s="10" t="s">
        <v>343</v>
      </c>
      <c r="F25" s="10" t="s">
        <v>344</v>
      </c>
      <c r="G25" s="10" t="s">
        <v>345</v>
      </c>
      <c r="H25" s="9" t="s">
        <v>346</v>
      </c>
      <c r="I25" s="10" t="s">
        <v>347</v>
      </c>
      <c r="J25" s="10" t="s">
        <v>348</v>
      </c>
      <c r="K25" s="10" t="s">
        <v>349</v>
      </c>
      <c r="L25" s="10" t="s">
        <v>350</v>
      </c>
      <c r="M25" s="9" t="s">
        <v>70</v>
      </c>
      <c r="N25" s="9" t="s">
        <v>117</v>
      </c>
      <c r="O25" s="10" t="s">
        <v>185</v>
      </c>
      <c r="P25" s="14" t="s">
        <v>74</v>
      </c>
      <c r="Q25" s="9" t="n">
        <v>5</v>
      </c>
      <c r="R25" s="9" t="s">
        <v>74</v>
      </c>
      <c r="S25" s="10" t="s">
        <v>351</v>
      </c>
      <c r="T25" s="10" t="s">
        <v>352</v>
      </c>
      <c r="U25" s="10" t="s">
        <v>353</v>
      </c>
    </row>
    <row r="26" customFormat="false" ht="108" hidden="true" customHeight="true" outlineLevel="0" collapsed="false">
      <c r="A26" s="9" t="s">
        <v>354</v>
      </c>
      <c r="B26" s="10" t="s">
        <v>59</v>
      </c>
      <c r="C26" s="10" t="s">
        <v>329</v>
      </c>
      <c r="D26" s="10" t="s">
        <v>355</v>
      </c>
      <c r="E26" s="10" t="s">
        <v>356</v>
      </c>
      <c r="F26" s="10" t="s">
        <v>357</v>
      </c>
      <c r="G26" s="10" t="s">
        <v>358</v>
      </c>
      <c r="H26" s="9" t="s">
        <v>65</v>
      </c>
      <c r="I26" s="10" t="s">
        <v>359</v>
      </c>
      <c r="J26" s="10" t="s">
        <v>360</v>
      </c>
      <c r="K26" s="10" t="s">
        <v>235</v>
      </c>
      <c r="L26" s="10" t="s">
        <v>361</v>
      </c>
      <c r="M26" s="9" t="s">
        <v>70</v>
      </c>
      <c r="N26" s="9" t="s">
        <v>117</v>
      </c>
      <c r="O26" s="10" t="s">
        <v>185</v>
      </c>
      <c r="P26" s="14" t="s">
        <v>74</v>
      </c>
      <c r="Q26" s="9" t="n">
        <v>5</v>
      </c>
      <c r="R26" s="9" t="s">
        <v>74</v>
      </c>
      <c r="S26" s="10" t="s">
        <v>362</v>
      </c>
      <c r="T26" s="10" t="s">
        <v>363</v>
      </c>
      <c r="U26" s="10" t="s">
        <v>364</v>
      </c>
    </row>
    <row r="27" customFormat="false" ht="108" hidden="false" customHeight="true" outlineLevel="0" collapsed="false">
      <c r="A27" s="9" t="s">
        <v>365</v>
      </c>
      <c r="B27" s="10" t="s">
        <v>59</v>
      </c>
      <c r="C27" s="10" t="s">
        <v>366</v>
      </c>
      <c r="D27" s="10" t="s">
        <v>367</v>
      </c>
      <c r="E27" s="10" t="s">
        <v>368</v>
      </c>
      <c r="F27" s="10" t="s">
        <v>369</v>
      </c>
      <c r="G27" s="10" t="s">
        <v>370</v>
      </c>
      <c r="H27" s="9" t="s">
        <v>371</v>
      </c>
      <c r="I27" s="10" t="s">
        <v>372</v>
      </c>
      <c r="J27" s="10" t="s">
        <v>373</v>
      </c>
      <c r="K27" s="10" t="s">
        <v>374</v>
      </c>
      <c r="L27" s="10" t="s">
        <v>375</v>
      </c>
      <c r="M27" s="9" t="s">
        <v>70</v>
      </c>
      <c r="N27" s="9" t="s">
        <v>71</v>
      </c>
      <c r="O27" s="10" t="s">
        <v>118</v>
      </c>
      <c r="P27" s="12" t="s">
        <v>90</v>
      </c>
      <c r="Q27" s="9" t="n">
        <v>7</v>
      </c>
      <c r="R27" s="9" t="s">
        <v>74</v>
      </c>
      <c r="S27" s="10" t="s">
        <v>376</v>
      </c>
      <c r="T27" s="10" t="s">
        <v>377</v>
      </c>
      <c r="U27" s="10" t="s">
        <v>378</v>
      </c>
    </row>
    <row r="28" customFormat="false" ht="108" hidden="false" customHeight="true" outlineLevel="0" collapsed="false">
      <c r="A28" s="9" t="s">
        <v>379</v>
      </c>
      <c r="B28" s="10" t="s">
        <v>59</v>
      </c>
      <c r="C28" s="10" t="s">
        <v>366</v>
      </c>
      <c r="D28" s="10" t="s">
        <v>380</v>
      </c>
      <c r="E28" s="10" t="s">
        <v>381</v>
      </c>
      <c r="F28" s="10" t="s">
        <v>382</v>
      </c>
      <c r="G28" s="10" t="s">
        <v>383</v>
      </c>
      <c r="H28" s="9" t="s">
        <v>384</v>
      </c>
      <c r="I28" s="10" t="s">
        <v>385</v>
      </c>
      <c r="J28" s="10" t="s">
        <v>386</v>
      </c>
      <c r="K28" s="10" t="s">
        <v>374</v>
      </c>
      <c r="L28" s="10" t="s">
        <v>387</v>
      </c>
      <c r="M28" s="9" t="s">
        <v>133</v>
      </c>
      <c r="N28" s="9" t="s">
        <v>71</v>
      </c>
      <c r="O28" s="10" t="s">
        <v>118</v>
      </c>
      <c r="P28" s="12" t="s">
        <v>90</v>
      </c>
      <c r="Q28" s="9" t="n">
        <v>6</v>
      </c>
      <c r="R28" s="9" t="s">
        <v>74</v>
      </c>
      <c r="S28" s="10" t="s">
        <v>388</v>
      </c>
      <c r="T28" s="10" t="s">
        <v>389</v>
      </c>
      <c r="U28" s="10" t="s">
        <v>390</v>
      </c>
    </row>
    <row r="29" customFormat="false" ht="108" hidden="false" customHeight="true" outlineLevel="0" collapsed="false">
      <c r="A29" s="9" t="s">
        <v>391</v>
      </c>
      <c r="B29" s="10" t="s">
        <v>59</v>
      </c>
      <c r="C29" s="10" t="s">
        <v>392</v>
      </c>
      <c r="D29" s="10" t="s">
        <v>393</v>
      </c>
      <c r="E29" s="10" t="s">
        <v>394</v>
      </c>
      <c r="F29" s="10" t="s">
        <v>395</v>
      </c>
      <c r="G29" s="10" t="s">
        <v>396</v>
      </c>
      <c r="H29" s="9" t="s">
        <v>84</v>
      </c>
      <c r="I29" s="10" t="s">
        <v>397</v>
      </c>
      <c r="J29" s="10" t="s">
        <v>398</v>
      </c>
      <c r="K29" s="10" t="s">
        <v>399</v>
      </c>
      <c r="L29" s="10" t="s">
        <v>400</v>
      </c>
      <c r="M29" s="9" t="s">
        <v>133</v>
      </c>
      <c r="N29" s="9" t="s">
        <v>71</v>
      </c>
      <c r="O29" s="10" t="s">
        <v>89</v>
      </c>
      <c r="P29" s="12" t="s">
        <v>90</v>
      </c>
      <c r="Q29" s="9" t="n">
        <v>7</v>
      </c>
      <c r="R29" s="9" t="s">
        <v>119</v>
      </c>
      <c r="S29" s="10" t="s">
        <v>401</v>
      </c>
      <c r="T29" s="10" t="s">
        <v>402</v>
      </c>
      <c r="U29" s="10" t="s">
        <v>403</v>
      </c>
    </row>
    <row r="30" customFormat="false" ht="108" hidden="true" customHeight="true" outlineLevel="0" collapsed="false">
      <c r="A30" s="9" t="s">
        <v>404</v>
      </c>
      <c r="B30" s="10" t="s">
        <v>59</v>
      </c>
      <c r="C30" s="10" t="s">
        <v>405</v>
      </c>
      <c r="D30" s="10" t="s">
        <v>406</v>
      </c>
      <c r="E30" s="10" t="s">
        <v>407</v>
      </c>
      <c r="F30" s="10" t="s">
        <v>408</v>
      </c>
      <c r="G30" s="10" t="s">
        <v>409</v>
      </c>
      <c r="H30" s="9" t="s">
        <v>410</v>
      </c>
      <c r="I30" s="10" t="s">
        <v>411</v>
      </c>
      <c r="J30" s="10" t="s">
        <v>412</v>
      </c>
      <c r="K30" s="10" t="s">
        <v>272</v>
      </c>
      <c r="L30" s="10" t="s">
        <v>413</v>
      </c>
      <c r="M30" s="9" t="s">
        <v>133</v>
      </c>
      <c r="N30" s="9" t="s">
        <v>71</v>
      </c>
      <c r="O30" s="10" t="s">
        <v>72</v>
      </c>
      <c r="P30" s="14" t="s">
        <v>74</v>
      </c>
      <c r="Q30" s="9" t="n">
        <v>5</v>
      </c>
      <c r="R30" s="9" t="s">
        <v>74</v>
      </c>
      <c r="S30" s="10" t="s">
        <v>414</v>
      </c>
      <c r="T30" s="10" t="s">
        <v>415</v>
      </c>
      <c r="U30" s="10" t="s">
        <v>416</v>
      </c>
    </row>
    <row r="31" customFormat="false" ht="108" hidden="false" customHeight="true" outlineLevel="0" collapsed="false">
      <c r="A31" s="9" t="s">
        <v>417</v>
      </c>
      <c r="B31" s="10" t="s">
        <v>59</v>
      </c>
      <c r="C31" s="10" t="s">
        <v>418</v>
      </c>
      <c r="D31" s="10" t="s">
        <v>419</v>
      </c>
      <c r="E31" s="10" t="s">
        <v>420</v>
      </c>
      <c r="F31" s="10" t="s">
        <v>421</v>
      </c>
      <c r="G31" s="10" t="s">
        <v>422</v>
      </c>
      <c r="H31" s="9" t="s">
        <v>65</v>
      </c>
      <c r="I31" s="10" t="s">
        <v>423</v>
      </c>
      <c r="J31" s="10" t="s">
        <v>424</v>
      </c>
      <c r="K31" s="10" t="s">
        <v>247</v>
      </c>
      <c r="L31" s="10" t="s">
        <v>425</v>
      </c>
      <c r="M31" s="9" t="s">
        <v>70</v>
      </c>
      <c r="N31" s="9" t="s">
        <v>117</v>
      </c>
      <c r="O31" s="10" t="s">
        <v>185</v>
      </c>
      <c r="P31" s="12" t="s">
        <v>90</v>
      </c>
      <c r="Q31" s="9" t="n">
        <v>6</v>
      </c>
      <c r="R31" s="9" t="s">
        <v>74</v>
      </c>
      <c r="S31" s="10" t="s">
        <v>426</v>
      </c>
      <c r="T31" s="10" t="s">
        <v>427</v>
      </c>
      <c r="U31" s="10" t="s">
        <v>428</v>
      </c>
    </row>
    <row r="32" customFormat="false" ht="108" hidden="true" customHeight="true" outlineLevel="0" collapsed="false">
      <c r="A32" s="9" t="s">
        <v>429</v>
      </c>
      <c r="B32" s="10" t="s">
        <v>59</v>
      </c>
      <c r="C32" s="10" t="s">
        <v>430</v>
      </c>
      <c r="D32" s="10" t="s">
        <v>431</v>
      </c>
      <c r="E32" s="10" t="s">
        <v>432</v>
      </c>
      <c r="F32" s="10" t="s">
        <v>433</v>
      </c>
      <c r="G32" s="10" t="s">
        <v>434</v>
      </c>
      <c r="H32" s="9" t="s">
        <v>84</v>
      </c>
      <c r="I32" s="10" t="s">
        <v>435</v>
      </c>
      <c r="J32" s="10" t="s">
        <v>436</v>
      </c>
      <c r="K32" s="10" t="s">
        <v>87</v>
      </c>
      <c r="L32" s="10" t="s">
        <v>437</v>
      </c>
      <c r="M32" s="9" t="s">
        <v>133</v>
      </c>
      <c r="N32" s="9" t="s">
        <v>71</v>
      </c>
      <c r="O32" s="10" t="s">
        <v>89</v>
      </c>
      <c r="P32" s="14" t="s">
        <v>74</v>
      </c>
      <c r="Q32" s="9" t="n">
        <v>4</v>
      </c>
      <c r="R32" s="9" t="s">
        <v>74</v>
      </c>
      <c r="S32" s="10" t="s">
        <v>438</v>
      </c>
      <c r="T32" s="10" t="s">
        <v>439</v>
      </c>
      <c r="U32" s="10" t="s">
        <v>440</v>
      </c>
    </row>
    <row r="33" customFormat="false" ht="108" hidden="true" customHeight="true" outlineLevel="0" collapsed="false">
      <c r="A33" s="9" t="s">
        <v>441</v>
      </c>
      <c r="B33" s="10" t="s">
        <v>59</v>
      </c>
      <c r="C33" s="10" t="s">
        <v>442</v>
      </c>
      <c r="D33" s="10" t="s">
        <v>443</v>
      </c>
      <c r="E33" s="10" t="s">
        <v>444</v>
      </c>
      <c r="F33" s="10" t="s">
        <v>445</v>
      </c>
      <c r="G33" s="10" t="s">
        <v>446</v>
      </c>
      <c r="H33" s="9" t="s">
        <v>65</v>
      </c>
      <c r="I33" s="10" t="s">
        <v>447</v>
      </c>
      <c r="J33" s="10" t="s">
        <v>448</v>
      </c>
      <c r="K33" s="10" t="s">
        <v>247</v>
      </c>
      <c r="L33" s="10" t="s">
        <v>449</v>
      </c>
      <c r="M33" s="9" t="s">
        <v>70</v>
      </c>
      <c r="N33" s="9" t="s">
        <v>71</v>
      </c>
      <c r="O33" s="10" t="s">
        <v>72</v>
      </c>
      <c r="P33" s="11" t="s">
        <v>73</v>
      </c>
      <c r="Q33" s="9" t="n">
        <v>9</v>
      </c>
      <c r="R33" s="9" t="s">
        <v>119</v>
      </c>
      <c r="S33" s="10" t="s">
        <v>450</v>
      </c>
      <c r="T33" s="10" t="s">
        <v>451</v>
      </c>
      <c r="U33" s="10" t="s">
        <v>452</v>
      </c>
    </row>
    <row r="34" customFormat="false" ht="108" hidden="false" customHeight="true" outlineLevel="0" collapsed="false">
      <c r="A34" s="9" t="s">
        <v>453</v>
      </c>
      <c r="B34" s="10" t="s">
        <v>59</v>
      </c>
      <c r="C34" s="10" t="s">
        <v>454</v>
      </c>
      <c r="D34" s="10" t="s">
        <v>455</v>
      </c>
      <c r="E34" s="10" t="s">
        <v>456</v>
      </c>
      <c r="F34" s="10" t="s">
        <v>457</v>
      </c>
      <c r="G34" s="10" t="s">
        <v>458</v>
      </c>
      <c r="H34" s="9" t="s">
        <v>459</v>
      </c>
      <c r="I34" s="10" t="s">
        <v>460</v>
      </c>
      <c r="J34" s="10" t="s">
        <v>461</v>
      </c>
      <c r="K34" s="10" t="s">
        <v>235</v>
      </c>
      <c r="L34" s="10" t="s">
        <v>462</v>
      </c>
      <c r="M34" s="9" t="s">
        <v>70</v>
      </c>
      <c r="N34" s="9" t="s">
        <v>117</v>
      </c>
      <c r="O34" s="10" t="s">
        <v>275</v>
      </c>
      <c r="P34" s="12" t="s">
        <v>90</v>
      </c>
      <c r="Q34" s="9" t="n">
        <v>7</v>
      </c>
      <c r="R34" s="9" t="s">
        <v>74</v>
      </c>
      <c r="S34" s="10" t="s">
        <v>463</v>
      </c>
      <c r="T34" s="10" t="s">
        <v>464</v>
      </c>
      <c r="U34" s="10" t="s">
        <v>465</v>
      </c>
    </row>
    <row r="35" customFormat="false" ht="108" hidden="false" customHeight="true" outlineLevel="0" collapsed="false">
      <c r="A35" s="9" t="s">
        <v>466</v>
      </c>
      <c r="B35" s="10" t="s">
        <v>59</v>
      </c>
      <c r="C35" s="10" t="s">
        <v>467</v>
      </c>
      <c r="D35" s="10" t="s">
        <v>468</v>
      </c>
      <c r="E35" s="10" t="s">
        <v>469</v>
      </c>
      <c r="F35" s="10" t="s">
        <v>470</v>
      </c>
      <c r="G35" s="10" t="s">
        <v>471</v>
      </c>
      <c r="H35" s="9" t="s">
        <v>84</v>
      </c>
      <c r="I35" s="10" t="s">
        <v>472</v>
      </c>
      <c r="J35" s="10" t="s">
        <v>473</v>
      </c>
      <c r="K35" s="10" t="s">
        <v>235</v>
      </c>
      <c r="L35" s="10" t="s">
        <v>474</v>
      </c>
      <c r="M35" s="9" t="s">
        <v>133</v>
      </c>
      <c r="N35" s="9" t="s">
        <v>71</v>
      </c>
      <c r="O35" s="10" t="s">
        <v>275</v>
      </c>
      <c r="P35" s="12" t="s">
        <v>90</v>
      </c>
      <c r="Q35" s="9" t="n">
        <v>8</v>
      </c>
      <c r="R35" s="9" t="s">
        <v>74</v>
      </c>
      <c r="S35" s="10" t="s">
        <v>475</v>
      </c>
      <c r="T35" s="10" t="s">
        <v>476</v>
      </c>
      <c r="U35" s="10" t="s">
        <v>477</v>
      </c>
    </row>
    <row r="36" customFormat="false" ht="108" hidden="false" customHeight="true" outlineLevel="0" collapsed="false">
      <c r="A36" s="9" t="s">
        <v>478</v>
      </c>
      <c r="B36" s="10" t="s">
        <v>59</v>
      </c>
      <c r="C36" s="10" t="s">
        <v>479</v>
      </c>
      <c r="D36" s="10" t="s">
        <v>480</v>
      </c>
      <c r="E36" s="10" t="s">
        <v>481</v>
      </c>
      <c r="F36" s="10" t="s">
        <v>482</v>
      </c>
      <c r="G36" s="10" t="s">
        <v>483</v>
      </c>
      <c r="H36" s="9" t="s">
        <v>484</v>
      </c>
      <c r="I36" s="10" t="s">
        <v>485</v>
      </c>
      <c r="J36" s="10" t="s">
        <v>486</v>
      </c>
      <c r="K36" s="10" t="s">
        <v>235</v>
      </c>
      <c r="L36" s="10" t="s">
        <v>487</v>
      </c>
      <c r="M36" s="9" t="s">
        <v>70</v>
      </c>
      <c r="N36" s="9" t="s">
        <v>117</v>
      </c>
      <c r="O36" s="10" t="s">
        <v>275</v>
      </c>
      <c r="P36" s="12" t="s">
        <v>90</v>
      </c>
      <c r="Q36" s="9" t="n">
        <v>7</v>
      </c>
      <c r="R36" s="9" t="s">
        <v>90</v>
      </c>
      <c r="S36" s="10" t="s">
        <v>488</v>
      </c>
      <c r="T36" s="10" t="s">
        <v>489</v>
      </c>
      <c r="U36" s="10" t="s">
        <v>490</v>
      </c>
    </row>
    <row r="37" customFormat="false" ht="108" hidden="true" customHeight="true" outlineLevel="0" collapsed="false">
      <c r="A37" s="9" t="s">
        <v>491</v>
      </c>
      <c r="B37" s="10" t="s">
        <v>59</v>
      </c>
      <c r="C37" s="10" t="s">
        <v>479</v>
      </c>
      <c r="D37" s="10" t="s">
        <v>492</v>
      </c>
      <c r="E37" s="10" t="s">
        <v>493</v>
      </c>
      <c r="F37" s="10" t="s">
        <v>494</v>
      </c>
      <c r="G37" s="10" t="s">
        <v>495</v>
      </c>
      <c r="H37" s="9" t="s">
        <v>84</v>
      </c>
      <c r="I37" s="10" t="s">
        <v>496</v>
      </c>
      <c r="J37" s="10" t="s">
        <v>497</v>
      </c>
      <c r="K37" s="10" t="s">
        <v>336</v>
      </c>
      <c r="L37" s="10" t="s">
        <v>223</v>
      </c>
      <c r="M37" s="9" t="s">
        <v>70</v>
      </c>
      <c r="N37" s="9" t="s">
        <v>117</v>
      </c>
      <c r="O37" s="10" t="s">
        <v>89</v>
      </c>
      <c r="P37" s="14" t="s">
        <v>74</v>
      </c>
      <c r="Q37" s="9" t="n">
        <v>5</v>
      </c>
      <c r="R37" s="9" t="s">
        <v>74</v>
      </c>
      <c r="S37" s="10" t="s">
        <v>498</v>
      </c>
      <c r="T37" s="10" t="s">
        <v>499</v>
      </c>
      <c r="U37" s="10" t="s">
        <v>500</v>
      </c>
    </row>
    <row r="38" customFormat="false" ht="108" hidden="true" customHeight="true" outlineLevel="0" collapsed="false">
      <c r="A38" s="9" t="s">
        <v>501</v>
      </c>
      <c r="B38" s="10" t="s">
        <v>59</v>
      </c>
      <c r="C38" s="10" t="s">
        <v>479</v>
      </c>
      <c r="D38" s="10" t="s">
        <v>502</v>
      </c>
      <c r="E38" s="10" t="s">
        <v>503</v>
      </c>
      <c r="F38" s="10" t="s">
        <v>504</v>
      </c>
      <c r="G38" s="10" t="s">
        <v>505</v>
      </c>
      <c r="H38" s="9" t="s">
        <v>65</v>
      </c>
      <c r="I38" s="10" t="s">
        <v>506</v>
      </c>
      <c r="J38" s="10" t="s">
        <v>507</v>
      </c>
      <c r="K38" s="10" t="s">
        <v>235</v>
      </c>
      <c r="L38" s="10" t="s">
        <v>508</v>
      </c>
      <c r="M38" s="9" t="s">
        <v>70</v>
      </c>
      <c r="N38" s="9" t="s">
        <v>117</v>
      </c>
      <c r="O38" s="10" t="s">
        <v>275</v>
      </c>
      <c r="P38" s="14" t="s">
        <v>74</v>
      </c>
      <c r="Q38" s="9" t="n">
        <v>5</v>
      </c>
      <c r="R38" s="9" t="s">
        <v>74</v>
      </c>
      <c r="S38" s="10" t="s">
        <v>509</v>
      </c>
      <c r="T38" s="10" t="s">
        <v>510</v>
      </c>
      <c r="U38" s="10" t="s">
        <v>511</v>
      </c>
    </row>
    <row r="39" customFormat="false" ht="108" hidden="true" customHeight="true" outlineLevel="0" collapsed="false">
      <c r="A39" s="9" t="s">
        <v>512</v>
      </c>
      <c r="B39" s="10" t="s">
        <v>59</v>
      </c>
      <c r="C39" s="10" t="s">
        <v>479</v>
      </c>
      <c r="D39" s="10" t="s">
        <v>513</v>
      </c>
      <c r="E39" s="10" t="s">
        <v>514</v>
      </c>
      <c r="F39" s="10" t="s">
        <v>515</v>
      </c>
      <c r="G39" s="10" t="s">
        <v>516</v>
      </c>
      <c r="H39" s="9" t="s">
        <v>517</v>
      </c>
      <c r="I39" s="10" t="s">
        <v>518</v>
      </c>
      <c r="J39" s="10" t="s">
        <v>519</v>
      </c>
      <c r="K39" s="10" t="s">
        <v>159</v>
      </c>
      <c r="L39" s="10" t="s">
        <v>520</v>
      </c>
      <c r="M39" s="9" t="s">
        <v>70</v>
      </c>
      <c r="N39" s="9" t="s">
        <v>117</v>
      </c>
      <c r="O39" s="10" t="s">
        <v>185</v>
      </c>
      <c r="P39" s="13" t="s">
        <v>119</v>
      </c>
      <c r="Q39" s="9" t="n">
        <v>2</v>
      </c>
      <c r="R39" s="9" t="s">
        <v>90</v>
      </c>
      <c r="S39" s="10" t="s">
        <v>521</v>
      </c>
      <c r="T39" s="10" t="s">
        <v>522</v>
      </c>
      <c r="U39" s="10" t="s">
        <v>523</v>
      </c>
    </row>
    <row r="40" customFormat="false" ht="108" hidden="true" customHeight="true" outlineLevel="0" collapsed="false">
      <c r="A40" s="9" t="s">
        <v>524</v>
      </c>
      <c r="B40" s="10" t="s">
        <v>59</v>
      </c>
      <c r="C40" s="10" t="s">
        <v>479</v>
      </c>
      <c r="D40" s="10" t="s">
        <v>525</v>
      </c>
      <c r="E40" s="10" t="s">
        <v>526</v>
      </c>
      <c r="F40" s="10" t="s">
        <v>527</v>
      </c>
      <c r="G40" s="10" t="s">
        <v>528</v>
      </c>
      <c r="H40" s="9" t="s">
        <v>65</v>
      </c>
      <c r="I40" s="10" t="s">
        <v>529</v>
      </c>
      <c r="J40" s="10" t="s">
        <v>530</v>
      </c>
      <c r="K40" s="10" t="s">
        <v>235</v>
      </c>
      <c r="L40" s="10" t="s">
        <v>531</v>
      </c>
      <c r="M40" s="9" t="s">
        <v>70</v>
      </c>
      <c r="N40" s="9" t="s">
        <v>117</v>
      </c>
      <c r="O40" s="10" t="s">
        <v>275</v>
      </c>
      <c r="P40" s="13" t="s">
        <v>119</v>
      </c>
      <c r="Q40" s="9" t="n">
        <v>2</v>
      </c>
      <c r="R40" s="9" t="s">
        <v>90</v>
      </c>
      <c r="S40" s="10" t="s">
        <v>532</v>
      </c>
      <c r="T40" s="10" t="s">
        <v>533</v>
      </c>
      <c r="U40" s="10" t="s">
        <v>534</v>
      </c>
    </row>
    <row r="41" customFormat="false" ht="108" hidden="true" customHeight="true" outlineLevel="0" collapsed="false">
      <c r="A41" s="9" t="s">
        <v>535</v>
      </c>
      <c r="B41" s="10" t="s">
        <v>59</v>
      </c>
      <c r="C41" s="10" t="s">
        <v>536</v>
      </c>
      <c r="D41" s="10" t="s">
        <v>537</v>
      </c>
      <c r="E41" s="10" t="s">
        <v>538</v>
      </c>
      <c r="F41" s="10" t="s">
        <v>539</v>
      </c>
      <c r="G41" s="10" t="s">
        <v>540</v>
      </c>
      <c r="H41" s="9" t="s">
        <v>65</v>
      </c>
      <c r="I41" s="10" t="s">
        <v>541</v>
      </c>
      <c r="J41" s="10" t="s">
        <v>542</v>
      </c>
      <c r="K41" s="10" t="s">
        <v>235</v>
      </c>
      <c r="L41" s="10" t="s">
        <v>543</v>
      </c>
      <c r="M41" s="9" t="s">
        <v>70</v>
      </c>
      <c r="N41" s="9" t="s">
        <v>117</v>
      </c>
      <c r="O41" s="10" t="s">
        <v>275</v>
      </c>
      <c r="P41" s="14" t="s">
        <v>74</v>
      </c>
      <c r="Q41" s="9" t="n">
        <v>5</v>
      </c>
      <c r="R41" s="9" t="s">
        <v>74</v>
      </c>
      <c r="S41" s="10" t="s">
        <v>544</v>
      </c>
      <c r="T41" s="10" t="s">
        <v>545</v>
      </c>
      <c r="U41" s="10" t="s">
        <v>546</v>
      </c>
    </row>
    <row r="42" customFormat="false" ht="108" hidden="true" customHeight="true" outlineLevel="0" collapsed="false">
      <c r="A42" s="9" t="s">
        <v>547</v>
      </c>
      <c r="B42" s="10" t="s">
        <v>59</v>
      </c>
      <c r="C42" s="10" t="s">
        <v>548</v>
      </c>
      <c r="D42" s="10" t="s">
        <v>549</v>
      </c>
      <c r="E42" s="10" t="s">
        <v>550</v>
      </c>
      <c r="F42" s="10" t="s">
        <v>551</v>
      </c>
      <c r="G42" s="10" t="s">
        <v>552</v>
      </c>
      <c r="H42" s="9" t="s">
        <v>84</v>
      </c>
      <c r="I42" s="10" t="s">
        <v>553</v>
      </c>
      <c r="J42" s="10" t="s">
        <v>554</v>
      </c>
      <c r="K42" s="10" t="s">
        <v>555</v>
      </c>
      <c r="L42" s="10" t="s">
        <v>556</v>
      </c>
      <c r="M42" s="9" t="s">
        <v>70</v>
      </c>
      <c r="N42" s="9" t="s">
        <v>117</v>
      </c>
      <c r="O42" s="10" t="s">
        <v>89</v>
      </c>
      <c r="P42" s="14" t="s">
        <v>74</v>
      </c>
      <c r="Q42" s="9" t="n">
        <v>5</v>
      </c>
      <c r="R42" s="9" t="s">
        <v>74</v>
      </c>
      <c r="S42" s="10" t="s">
        <v>557</v>
      </c>
      <c r="T42" s="10" t="s">
        <v>558</v>
      </c>
      <c r="U42" s="10" t="s">
        <v>559</v>
      </c>
    </row>
    <row r="43" customFormat="false" ht="108" hidden="true" customHeight="true" outlineLevel="0" collapsed="false">
      <c r="A43" s="9" t="s">
        <v>560</v>
      </c>
      <c r="B43" s="10" t="s">
        <v>59</v>
      </c>
      <c r="C43" s="10" t="s">
        <v>561</v>
      </c>
      <c r="D43" s="10" t="s">
        <v>562</v>
      </c>
      <c r="E43" s="10" t="s">
        <v>563</v>
      </c>
      <c r="F43" s="10" t="s">
        <v>564</v>
      </c>
      <c r="G43" s="10" t="s">
        <v>565</v>
      </c>
      <c r="H43" s="9" t="s">
        <v>566</v>
      </c>
      <c r="I43" s="10" t="s">
        <v>567</v>
      </c>
      <c r="J43" s="10" t="s">
        <v>568</v>
      </c>
      <c r="K43" s="10" t="s">
        <v>159</v>
      </c>
      <c r="L43" s="10" t="s">
        <v>569</v>
      </c>
      <c r="M43" s="9" t="s">
        <v>70</v>
      </c>
      <c r="N43" s="9" t="s">
        <v>117</v>
      </c>
      <c r="O43" s="10" t="s">
        <v>185</v>
      </c>
      <c r="P43" s="13" t="s">
        <v>119</v>
      </c>
      <c r="Q43" s="9" t="n">
        <v>2</v>
      </c>
      <c r="R43" s="9" t="s">
        <v>90</v>
      </c>
      <c r="S43" s="10" t="s">
        <v>570</v>
      </c>
      <c r="T43" s="10" t="s">
        <v>571</v>
      </c>
      <c r="U43" s="10" t="s">
        <v>572</v>
      </c>
    </row>
    <row r="44" customFormat="false" ht="108" hidden="true" customHeight="true" outlineLevel="0" collapsed="false">
      <c r="A44" s="9" t="s">
        <v>573</v>
      </c>
      <c r="B44" s="10" t="s">
        <v>59</v>
      </c>
      <c r="C44" s="10" t="s">
        <v>574</v>
      </c>
      <c r="D44" s="10" t="s">
        <v>575</v>
      </c>
      <c r="E44" s="10" t="s">
        <v>576</v>
      </c>
      <c r="F44" s="10" t="s">
        <v>577</v>
      </c>
      <c r="G44" s="10" t="s">
        <v>578</v>
      </c>
      <c r="H44" s="9" t="s">
        <v>65</v>
      </c>
      <c r="I44" s="10" t="s">
        <v>579</v>
      </c>
      <c r="J44" s="10" t="s">
        <v>580</v>
      </c>
      <c r="K44" s="10" t="s">
        <v>581</v>
      </c>
      <c r="L44" s="10" t="s">
        <v>582</v>
      </c>
      <c r="M44" s="9" t="s">
        <v>70</v>
      </c>
      <c r="N44" s="9" t="s">
        <v>71</v>
      </c>
      <c r="O44" s="10" t="s">
        <v>89</v>
      </c>
      <c r="P44" s="11" t="s">
        <v>73</v>
      </c>
      <c r="Q44" s="9" t="n">
        <v>9</v>
      </c>
      <c r="R44" s="9" t="s">
        <v>119</v>
      </c>
      <c r="S44" s="10" t="s">
        <v>583</v>
      </c>
      <c r="T44" s="10" t="s">
        <v>584</v>
      </c>
      <c r="U44" s="10" t="s">
        <v>585</v>
      </c>
    </row>
    <row r="45" customFormat="false" ht="108" hidden="true" customHeight="true" outlineLevel="0" collapsed="false">
      <c r="A45" s="9" t="s">
        <v>586</v>
      </c>
      <c r="B45" s="10" t="s">
        <v>59</v>
      </c>
      <c r="C45" s="10" t="s">
        <v>587</v>
      </c>
      <c r="D45" s="10" t="s">
        <v>588</v>
      </c>
      <c r="E45" s="10" t="s">
        <v>589</v>
      </c>
      <c r="F45" s="10" t="s">
        <v>590</v>
      </c>
      <c r="G45" s="10" t="s">
        <v>591</v>
      </c>
      <c r="H45" s="9" t="s">
        <v>592</v>
      </c>
      <c r="I45" s="10" t="s">
        <v>593</v>
      </c>
      <c r="J45" s="10" t="s">
        <v>594</v>
      </c>
      <c r="K45" s="10" t="s">
        <v>595</v>
      </c>
      <c r="L45" s="10" t="s">
        <v>596</v>
      </c>
      <c r="M45" s="9" t="s">
        <v>70</v>
      </c>
      <c r="N45" s="9" t="s">
        <v>117</v>
      </c>
      <c r="O45" s="10" t="s">
        <v>118</v>
      </c>
      <c r="P45" s="14" t="s">
        <v>74</v>
      </c>
      <c r="Q45" s="9" t="n">
        <v>5</v>
      </c>
      <c r="R45" s="9" t="s">
        <v>74</v>
      </c>
      <c r="S45" s="10" t="s">
        <v>597</v>
      </c>
      <c r="T45" s="10" t="s">
        <v>598</v>
      </c>
      <c r="U45" s="10" t="s">
        <v>599</v>
      </c>
    </row>
    <row r="46" customFormat="false" ht="108" hidden="true" customHeight="true" outlineLevel="0" collapsed="false">
      <c r="A46" s="9" t="s">
        <v>600</v>
      </c>
      <c r="B46" s="10" t="s">
        <v>59</v>
      </c>
      <c r="C46" s="10" t="s">
        <v>587</v>
      </c>
      <c r="D46" s="10" t="s">
        <v>601</v>
      </c>
      <c r="E46" s="10" t="s">
        <v>602</v>
      </c>
      <c r="F46" s="10" t="s">
        <v>603</v>
      </c>
      <c r="G46" s="10" t="s">
        <v>604</v>
      </c>
      <c r="H46" s="9" t="s">
        <v>605</v>
      </c>
      <c r="I46" s="10" t="s">
        <v>606</v>
      </c>
      <c r="J46" s="10" t="s">
        <v>607</v>
      </c>
      <c r="K46" s="10" t="s">
        <v>146</v>
      </c>
      <c r="L46" s="10" t="s">
        <v>608</v>
      </c>
      <c r="M46" s="9" t="s">
        <v>70</v>
      </c>
      <c r="N46" s="9" t="s">
        <v>117</v>
      </c>
      <c r="O46" s="10" t="s">
        <v>118</v>
      </c>
      <c r="P46" s="14" t="s">
        <v>74</v>
      </c>
      <c r="Q46" s="9" t="n">
        <v>5</v>
      </c>
      <c r="R46" s="9" t="s">
        <v>74</v>
      </c>
      <c r="S46" s="10" t="s">
        <v>609</v>
      </c>
      <c r="T46" s="10" t="s">
        <v>610</v>
      </c>
      <c r="U46" s="10" t="s">
        <v>611</v>
      </c>
    </row>
    <row r="47" customFormat="false" ht="108" hidden="true" customHeight="true" outlineLevel="0" collapsed="false">
      <c r="A47" s="9" t="s">
        <v>612</v>
      </c>
      <c r="B47" s="10" t="s">
        <v>59</v>
      </c>
      <c r="C47" s="10" t="s">
        <v>613</v>
      </c>
      <c r="D47" s="10" t="s">
        <v>614</v>
      </c>
      <c r="E47" s="10" t="s">
        <v>615</v>
      </c>
      <c r="F47" s="10" t="s">
        <v>616</v>
      </c>
      <c r="G47" s="10" t="s">
        <v>617</v>
      </c>
      <c r="H47" s="9" t="s">
        <v>618</v>
      </c>
      <c r="I47" s="10" t="s">
        <v>619</v>
      </c>
      <c r="J47" s="10" t="s">
        <v>620</v>
      </c>
      <c r="K47" s="10" t="s">
        <v>621</v>
      </c>
      <c r="L47" s="10" t="s">
        <v>622</v>
      </c>
      <c r="M47" s="9" t="s">
        <v>70</v>
      </c>
      <c r="N47" s="9" t="s">
        <v>117</v>
      </c>
      <c r="O47" s="10" t="s">
        <v>118</v>
      </c>
      <c r="P47" s="14" t="s">
        <v>74</v>
      </c>
      <c r="Q47" s="9" t="n">
        <v>5</v>
      </c>
      <c r="R47" s="9" t="s">
        <v>74</v>
      </c>
      <c r="S47" s="10" t="s">
        <v>623</v>
      </c>
      <c r="T47" s="10" t="s">
        <v>624</v>
      </c>
      <c r="U47" s="10" t="s">
        <v>625</v>
      </c>
    </row>
    <row r="48" customFormat="false" ht="108" hidden="false" customHeight="true" outlineLevel="0" collapsed="false">
      <c r="A48" s="9" t="s">
        <v>626</v>
      </c>
      <c r="B48" s="10" t="s">
        <v>59</v>
      </c>
      <c r="C48" s="10" t="s">
        <v>627</v>
      </c>
      <c r="D48" s="10" t="s">
        <v>628</v>
      </c>
      <c r="E48" s="10" t="s">
        <v>629</v>
      </c>
      <c r="F48" s="10" t="s">
        <v>630</v>
      </c>
      <c r="G48" s="10" t="s">
        <v>631</v>
      </c>
      <c r="H48" s="9" t="s">
        <v>618</v>
      </c>
      <c r="I48" s="10" t="s">
        <v>632</v>
      </c>
      <c r="J48" s="10" t="s">
        <v>633</v>
      </c>
      <c r="K48" s="10" t="s">
        <v>634</v>
      </c>
      <c r="L48" s="10" t="s">
        <v>635</v>
      </c>
      <c r="M48" s="9" t="s">
        <v>70</v>
      </c>
      <c r="N48" s="9" t="s">
        <v>117</v>
      </c>
      <c r="O48" s="10" t="s">
        <v>118</v>
      </c>
      <c r="P48" s="12" t="s">
        <v>90</v>
      </c>
      <c r="Q48" s="9" t="n">
        <v>7</v>
      </c>
      <c r="R48" s="9" t="s">
        <v>74</v>
      </c>
      <c r="S48" s="10" t="s">
        <v>636</v>
      </c>
      <c r="T48" s="10" t="s">
        <v>637</v>
      </c>
      <c r="U48" s="10" t="s">
        <v>638</v>
      </c>
    </row>
    <row r="49" customFormat="false" ht="108" hidden="false" customHeight="true" outlineLevel="0" collapsed="false">
      <c r="A49" s="9" t="s">
        <v>639</v>
      </c>
      <c r="B49" s="10" t="s">
        <v>59</v>
      </c>
      <c r="C49" s="10" t="s">
        <v>640</v>
      </c>
      <c r="D49" s="10" t="s">
        <v>641</v>
      </c>
      <c r="E49" s="10" t="s">
        <v>642</v>
      </c>
      <c r="F49" s="10" t="s">
        <v>643</v>
      </c>
      <c r="G49" s="10" t="s">
        <v>644</v>
      </c>
      <c r="H49" s="9" t="s">
        <v>65</v>
      </c>
      <c r="I49" s="10" t="s">
        <v>645</v>
      </c>
      <c r="J49" s="10" t="s">
        <v>646</v>
      </c>
      <c r="K49" s="10" t="s">
        <v>647</v>
      </c>
      <c r="L49" s="10" t="s">
        <v>648</v>
      </c>
      <c r="M49" s="9" t="s">
        <v>70</v>
      </c>
      <c r="N49" s="9" t="s">
        <v>71</v>
      </c>
      <c r="O49" s="10" t="s">
        <v>72</v>
      </c>
      <c r="P49" s="12" t="s">
        <v>90</v>
      </c>
      <c r="Q49" s="9" t="n">
        <v>7</v>
      </c>
      <c r="R49" s="9" t="s">
        <v>74</v>
      </c>
      <c r="S49" s="10" t="s">
        <v>649</v>
      </c>
      <c r="T49" s="10" t="s">
        <v>650</v>
      </c>
      <c r="U49" s="10" t="s">
        <v>651</v>
      </c>
    </row>
    <row r="50" customFormat="false" ht="108" hidden="true" customHeight="true" outlineLevel="0" collapsed="false">
      <c r="A50" s="9" t="s">
        <v>652</v>
      </c>
      <c r="B50" s="10" t="s">
        <v>59</v>
      </c>
      <c r="C50" s="10" t="s">
        <v>653</v>
      </c>
      <c r="D50" s="10" t="s">
        <v>654</v>
      </c>
      <c r="E50" s="10" t="s">
        <v>655</v>
      </c>
      <c r="F50" s="10" t="s">
        <v>656</v>
      </c>
      <c r="G50" s="10" t="s">
        <v>657</v>
      </c>
      <c r="H50" s="9" t="s">
        <v>618</v>
      </c>
      <c r="I50" s="10" t="s">
        <v>658</v>
      </c>
      <c r="J50" s="10" t="s">
        <v>659</v>
      </c>
      <c r="K50" s="10" t="s">
        <v>621</v>
      </c>
      <c r="L50" s="10" t="s">
        <v>660</v>
      </c>
      <c r="M50" s="9" t="s">
        <v>661</v>
      </c>
      <c r="N50" s="9" t="s">
        <v>662</v>
      </c>
      <c r="O50" s="10" t="s">
        <v>118</v>
      </c>
      <c r="P50" s="11" t="s">
        <v>73</v>
      </c>
      <c r="Q50" s="9" t="n">
        <v>9</v>
      </c>
      <c r="R50" s="9" t="s">
        <v>119</v>
      </c>
      <c r="S50" s="10" t="s">
        <v>663</v>
      </c>
      <c r="T50" s="10" t="s">
        <v>664</v>
      </c>
      <c r="U50" s="10" t="s">
        <v>665</v>
      </c>
    </row>
    <row r="51" customFormat="false" ht="108" hidden="true" customHeight="true" outlineLevel="0" collapsed="false">
      <c r="A51" s="9" t="s">
        <v>666</v>
      </c>
      <c r="B51" s="10" t="s">
        <v>59</v>
      </c>
      <c r="C51" s="10" t="s">
        <v>667</v>
      </c>
      <c r="D51" s="10" t="s">
        <v>668</v>
      </c>
      <c r="E51" s="10" t="s">
        <v>669</v>
      </c>
      <c r="F51" s="10" t="s">
        <v>670</v>
      </c>
      <c r="G51" s="10" t="s">
        <v>671</v>
      </c>
      <c r="H51" s="9" t="s">
        <v>672</v>
      </c>
      <c r="I51" s="10" t="s">
        <v>673</v>
      </c>
      <c r="J51" s="10" t="s">
        <v>674</v>
      </c>
      <c r="K51" s="10" t="s">
        <v>675</v>
      </c>
      <c r="L51" s="10" t="s">
        <v>676</v>
      </c>
      <c r="M51" s="9" t="s">
        <v>677</v>
      </c>
      <c r="N51" s="9" t="s">
        <v>71</v>
      </c>
      <c r="O51" s="10" t="s">
        <v>678</v>
      </c>
      <c r="P51" s="14" t="s">
        <v>74</v>
      </c>
      <c r="Q51" s="9" t="n">
        <v>5</v>
      </c>
      <c r="R51" s="9" t="s">
        <v>119</v>
      </c>
      <c r="S51" s="10" t="s">
        <v>679</v>
      </c>
      <c r="T51" s="10" t="s">
        <v>680</v>
      </c>
      <c r="U51" s="10" t="s">
        <v>681</v>
      </c>
    </row>
    <row r="52" customFormat="false" ht="108" hidden="false" customHeight="true" outlineLevel="0" collapsed="false">
      <c r="A52" s="9" t="s">
        <v>682</v>
      </c>
      <c r="B52" s="10" t="s">
        <v>59</v>
      </c>
      <c r="C52" s="10" t="s">
        <v>683</v>
      </c>
      <c r="D52" s="10" t="s">
        <v>684</v>
      </c>
      <c r="E52" s="10" t="s">
        <v>685</v>
      </c>
      <c r="F52" s="10" t="s">
        <v>686</v>
      </c>
      <c r="G52" s="10" t="s">
        <v>687</v>
      </c>
      <c r="H52" s="9" t="s">
        <v>688</v>
      </c>
      <c r="I52" s="10" t="s">
        <v>689</v>
      </c>
      <c r="J52" s="10" t="s">
        <v>690</v>
      </c>
      <c r="K52" s="10" t="s">
        <v>691</v>
      </c>
      <c r="L52" s="10" t="s">
        <v>692</v>
      </c>
      <c r="M52" s="9" t="s">
        <v>70</v>
      </c>
      <c r="N52" s="9" t="s">
        <v>71</v>
      </c>
      <c r="O52" s="10" t="s">
        <v>275</v>
      </c>
      <c r="P52" s="12" t="s">
        <v>90</v>
      </c>
      <c r="Q52" s="9" t="n">
        <v>8</v>
      </c>
      <c r="R52" s="9" t="s">
        <v>119</v>
      </c>
      <c r="S52" s="10" t="s">
        <v>693</v>
      </c>
      <c r="T52" s="10" t="s">
        <v>694</v>
      </c>
      <c r="U52" s="10" t="s">
        <v>695</v>
      </c>
    </row>
    <row r="53" customFormat="false" ht="108" hidden="true" customHeight="true" outlineLevel="0" collapsed="false">
      <c r="A53" s="9" t="s">
        <v>696</v>
      </c>
      <c r="B53" s="10" t="s">
        <v>59</v>
      </c>
      <c r="C53" s="10" t="s">
        <v>697</v>
      </c>
      <c r="D53" s="10" t="s">
        <v>698</v>
      </c>
      <c r="E53" s="10" t="s">
        <v>699</v>
      </c>
      <c r="F53" s="10" t="s">
        <v>700</v>
      </c>
      <c r="G53" s="10" t="s">
        <v>701</v>
      </c>
      <c r="H53" s="9" t="s">
        <v>84</v>
      </c>
      <c r="I53" s="10" t="s">
        <v>702</v>
      </c>
      <c r="J53" s="10" t="s">
        <v>703</v>
      </c>
      <c r="K53" s="10" t="s">
        <v>272</v>
      </c>
      <c r="L53" s="10" t="s">
        <v>704</v>
      </c>
      <c r="M53" s="9" t="s">
        <v>133</v>
      </c>
      <c r="N53" s="9" t="s">
        <v>71</v>
      </c>
      <c r="O53" s="10" t="s">
        <v>275</v>
      </c>
      <c r="P53" s="11" t="s">
        <v>73</v>
      </c>
      <c r="Q53" s="9" t="n">
        <v>9</v>
      </c>
      <c r="R53" s="9" t="s">
        <v>119</v>
      </c>
      <c r="S53" s="10" t="s">
        <v>705</v>
      </c>
      <c r="T53" s="10" t="s">
        <v>706</v>
      </c>
      <c r="U53" s="10" t="s">
        <v>707</v>
      </c>
    </row>
    <row r="54" customFormat="false" ht="108" hidden="true" customHeight="true" outlineLevel="0" collapsed="false">
      <c r="A54" s="9" t="s">
        <v>708</v>
      </c>
      <c r="B54" s="10" t="s">
        <v>59</v>
      </c>
      <c r="C54" s="10" t="s">
        <v>709</v>
      </c>
      <c r="D54" s="10" t="s">
        <v>710</v>
      </c>
      <c r="E54" s="10" t="s">
        <v>711</v>
      </c>
      <c r="F54" s="10" t="s">
        <v>712</v>
      </c>
      <c r="G54" s="10" t="s">
        <v>713</v>
      </c>
      <c r="H54" s="9" t="s">
        <v>384</v>
      </c>
      <c r="I54" s="10" t="s">
        <v>714</v>
      </c>
      <c r="J54" s="10" t="s">
        <v>715</v>
      </c>
      <c r="K54" s="10" t="s">
        <v>716</v>
      </c>
      <c r="L54" s="10" t="s">
        <v>717</v>
      </c>
      <c r="M54" s="9" t="s">
        <v>133</v>
      </c>
      <c r="N54" s="9" t="s">
        <v>71</v>
      </c>
      <c r="O54" s="10" t="s">
        <v>678</v>
      </c>
      <c r="P54" s="11" t="s">
        <v>73</v>
      </c>
      <c r="Q54" s="9" t="n">
        <v>9</v>
      </c>
      <c r="R54" s="9" t="s">
        <v>74</v>
      </c>
      <c r="S54" s="10" t="s">
        <v>718</v>
      </c>
      <c r="T54" s="10" t="s">
        <v>719</v>
      </c>
      <c r="U54" s="10" t="s">
        <v>720</v>
      </c>
    </row>
    <row r="55" customFormat="false" ht="108" hidden="true" customHeight="true" outlineLevel="0" collapsed="false">
      <c r="A55" s="9" t="s">
        <v>721</v>
      </c>
      <c r="B55" s="10" t="s">
        <v>59</v>
      </c>
      <c r="C55" s="10" t="s">
        <v>709</v>
      </c>
      <c r="D55" s="10" t="s">
        <v>722</v>
      </c>
      <c r="E55" s="10" t="s">
        <v>723</v>
      </c>
      <c r="F55" s="10" t="s">
        <v>724</v>
      </c>
      <c r="G55" s="10" t="s">
        <v>725</v>
      </c>
      <c r="H55" s="9" t="s">
        <v>84</v>
      </c>
      <c r="I55" s="10" t="s">
        <v>726</v>
      </c>
      <c r="J55" s="10" t="s">
        <v>727</v>
      </c>
      <c r="K55" s="10" t="s">
        <v>728</v>
      </c>
      <c r="L55" s="10" t="s">
        <v>729</v>
      </c>
      <c r="M55" s="9" t="s">
        <v>133</v>
      </c>
      <c r="N55" s="9" t="s">
        <v>71</v>
      </c>
      <c r="O55" s="10" t="s">
        <v>678</v>
      </c>
      <c r="P55" s="14" t="s">
        <v>74</v>
      </c>
      <c r="Q55" s="9" t="n">
        <v>5</v>
      </c>
      <c r="R55" s="9" t="s">
        <v>119</v>
      </c>
      <c r="S55" s="10" t="s">
        <v>730</v>
      </c>
      <c r="T55" s="10" t="s">
        <v>731</v>
      </c>
      <c r="U55" s="10" t="s">
        <v>732</v>
      </c>
    </row>
    <row r="56" customFormat="false" ht="108" hidden="true" customHeight="true" outlineLevel="0" collapsed="false">
      <c r="A56" s="9" t="s">
        <v>733</v>
      </c>
      <c r="B56" s="10" t="s">
        <v>59</v>
      </c>
      <c r="C56" s="10" t="s">
        <v>734</v>
      </c>
      <c r="D56" s="10" t="s">
        <v>735</v>
      </c>
      <c r="E56" s="10" t="s">
        <v>736</v>
      </c>
      <c r="F56" s="10" t="s">
        <v>737</v>
      </c>
      <c r="G56" s="10" t="s">
        <v>738</v>
      </c>
      <c r="H56" s="9" t="s">
        <v>84</v>
      </c>
      <c r="I56" s="10" t="s">
        <v>739</v>
      </c>
      <c r="J56" s="10" t="s">
        <v>740</v>
      </c>
      <c r="K56" s="10" t="s">
        <v>741</v>
      </c>
      <c r="L56" s="10" t="s">
        <v>742</v>
      </c>
      <c r="M56" s="9" t="s">
        <v>70</v>
      </c>
      <c r="N56" s="9" t="s">
        <v>71</v>
      </c>
      <c r="O56" s="10" t="s">
        <v>743</v>
      </c>
      <c r="P56" s="14" t="s">
        <v>74</v>
      </c>
      <c r="Q56" s="9" t="n">
        <v>4</v>
      </c>
      <c r="R56" s="9" t="s">
        <v>90</v>
      </c>
      <c r="S56" s="10" t="s">
        <v>744</v>
      </c>
      <c r="T56" s="10" t="s">
        <v>745</v>
      </c>
      <c r="U56" s="10" t="s">
        <v>746</v>
      </c>
    </row>
    <row r="57" customFormat="false" ht="108" hidden="false" customHeight="true" outlineLevel="0" collapsed="false">
      <c r="A57" s="9" t="s">
        <v>747</v>
      </c>
      <c r="B57" s="10" t="s">
        <v>59</v>
      </c>
      <c r="C57" s="10" t="s">
        <v>748</v>
      </c>
      <c r="D57" s="10" t="s">
        <v>749</v>
      </c>
      <c r="E57" s="10" t="s">
        <v>750</v>
      </c>
      <c r="F57" s="10" t="s">
        <v>751</v>
      </c>
      <c r="G57" s="10" t="s">
        <v>752</v>
      </c>
      <c r="H57" s="9" t="s">
        <v>84</v>
      </c>
      <c r="I57" s="10" t="s">
        <v>753</v>
      </c>
      <c r="J57" s="10" t="s">
        <v>754</v>
      </c>
      <c r="K57" s="10" t="s">
        <v>272</v>
      </c>
      <c r="L57" s="10" t="s">
        <v>755</v>
      </c>
      <c r="M57" s="9" t="s">
        <v>133</v>
      </c>
      <c r="N57" s="9" t="s">
        <v>71</v>
      </c>
      <c r="O57" s="10" t="s">
        <v>72</v>
      </c>
      <c r="P57" s="12" t="s">
        <v>90</v>
      </c>
      <c r="Q57" s="9" t="n">
        <v>7</v>
      </c>
      <c r="R57" s="9" t="s">
        <v>74</v>
      </c>
      <c r="S57" s="10" t="s">
        <v>756</v>
      </c>
      <c r="T57" s="10" t="s">
        <v>757</v>
      </c>
      <c r="U57" s="10" t="s">
        <v>758</v>
      </c>
    </row>
    <row r="58" customFormat="false" ht="108" hidden="true" customHeight="true" outlineLevel="0" collapsed="false">
      <c r="A58" s="9" t="s">
        <v>759</v>
      </c>
      <c r="B58" s="10" t="s">
        <v>59</v>
      </c>
      <c r="C58" s="10" t="s">
        <v>760</v>
      </c>
      <c r="D58" s="10" t="s">
        <v>761</v>
      </c>
      <c r="E58" s="10" t="s">
        <v>762</v>
      </c>
      <c r="F58" s="10" t="s">
        <v>763</v>
      </c>
      <c r="G58" s="10" t="s">
        <v>764</v>
      </c>
      <c r="H58" s="9" t="s">
        <v>84</v>
      </c>
      <c r="I58" s="10" t="s">
        <v>765</v>
      </c>
      <c r="J58" s="10" t="s">
        <v>766</v>
      </c>
      <c r="K58" s="10" t="s">
        <v>767</v>
      </c>
      <c r="L58" s="10" t="s">
        <v>768</v>
      </c>
      <c r="M58" s="9" t="s">
        <v>769</v>
      </c>
      <c r="N58" s="9" t="s">
        <v>274</v>
      </c>
      <c r="O58" s="10" t="s">
        <v>72</v>
      </c>
      <c r="P58" s="11" t="s">
        <v>73</v>
      </c>
      <c r="Q58" s="9" t="n">
        <v>9</v>
      </c>
      <c r="R58" s="9" t="s">
        <v>74</v>
      </c>
      <c r="S58" s="10" t="s">
        <v>770</v>
      </c>
      <c r="T58" s="10" t="s">
        <v>771</v>
      </c>
      <c r="U58" s="10" t="s">
        <v>772</v>
      </c>
    </row>
    <row r="59" customFormat="false" ht="108" hidden="true" customHeight="true" outlineLevel="0" collapsed="false">
      <c r="A59" s="9" t="s">
        <v>773</v>
      </c>
      <c r="B59" s="10" t="s">
        <v>59</v>
      </c>
      <c r="C59" s="10" t="s">
        <v>774</v>
      </c>
      <c r="D59" s="10" t="s">
        <v>775</v>
      </c>
      <c r="E59" s="10" t="s">
        <v>776</v>
      </c>
      <c r="F59" s="10" t="s">
        <v>777</v>
      </c>
      <c r="G59" s="10" t="s">
        <v>778</v>
      </c>
      <c r="H59" s="9" t="s">
        <v>84</v>
      </c>
      <c r="I59" s="10" t="s">
        <v>779</v>
      </c>
      <c r="J59" s="10" t="s">
        <v>780</v>
      </c>
      <c r="K59" s="10" t="s">
        <v>781</v>
      </c>
      <c r="L59" s="10" t="s">
        <v>782</v>
      </c>
      <c r="M59" s="9" t="s">
        <v>133</v>
      </c>
      <c r="N59" s="9" t="s">
        <v>71</v>
      </c>
      <c r="O59" s="10" t="s">
        <v>678</v>
      </c>
      <c r="P59" s="14" t="s">
        <v>74</v>
      </c>
      <c r="Q59" s="9" t="n">
        <v>5</v>
      </c>
      <c r="R59" s="9" t="s">
        <v>74</v>
      </c>
      <c r="S59" s="10" t="s">
        <v>783</v>
      </c>
      <c r="T59" s="10" t="s">
        <v>784</v>
      </c>
      <c r="U59" s="10" t="s">
        <v>785</v>
      </c>
    </row>
    <row r="60" customFormat="false" ht="108" hidden="false" customHeight="true" outlineLevel="0" collapsed="false">
      <c r="A60" s="9" t="s">
        <v>786</v>
      </c>
      <c r="B60" s="10" t="s">
        <v>59</v>
      </c>
      <c r="C60" s="10" t="s">
        <v>774</v>
      </c>
      <c r="D60" s="10" t="s">
        <v>787</v>
      </c>
      <c r="E60" s="10" t="s">
        <v>788</v>
      </c>
      <c r="F60" s="10" t="s">
        <v>789</v>
      </c>
      <c r="G60" s="10" t="s">
        <v>790</v>
      </c>
      <c r="H60" s="9" t="s">
        <v>791</v>
      </c>
      <c r="I60" s="10" t="s">
        <v>792</v>
      </c>
      <c r="J60" s="10" t="s">
        <v>793</v>
      </c>
      <c r="K60" s="10" t="s">
        <v>794</v>
      </c>
      <c r="L60" s="10" t="s">
        <v>795</v>
      </c>
      <c r="M60" s="9" t="s">
        <v>677</v>
      </c>
      <c r="N60" s="9" t="s">
        <v>274</v>
      </c>
      <c r="O60" s="10" t="s">
        <v>796</v>
      </c>
      <c r="P60" s="12" t="s">
        <v>90</v>
      </c>
      <c r="Q60" s="9" t="n">
        <v>8</v>
      </c>
      <c r="R60" s="9" t="s">
        <v>119</v>
      </c>
      <c r="S60" s="10" t="s">
        <v>797</v>
      </c>
      <c r="T60" s="10" t="s">
        <v>798</v>
      </c>
      <c r="U60" s="10" t="s">
        <v>799</v>
      </c>
    </row>
    <row r="61" customFormat="false" ht="108" hidden="true" customHeight="true" outlineLevel="0" collapsed="false">
      <c r="A61" s="9" t="s">
        <v>800</v>
      </c>
      <c r="B61" s="10" t="s">
        <v>59</v>
      </c>
      <c r="C61" s="10" t="s">
        <v>774</v>
      </c>
      <c r="D61" s="10" t="s">
        <v>801</v>
      </c>
      <c r="E61" s="10" t="s">
        <v>802</v>
      </c>
      <c r="F61" s="10" t="s">
        <v>803</v>
      </c>
      <c r="G61" s="10" t="s">
        <v>804</v>
      </c>
      <c r="H61" s="9" t="s">
        <v>84</v>
      </c>
      <c r="I61" s="10" t="s">
        <v>805</v>
      </c>
      <c r="J61" s="10" t="s">
        <v>806</v>
      </c>
      <c r="K61" s="10" t="s">
        <v>781</v>
      </c>
      <c r="L61" s="10" t="s">
        <v>807</v>
      </c>
      <c r="M61" s="9" t="s">
        <v>677</v>
      </c>
      <c r="N61" s="9" t="s">
        <v>71</v>
      </c>
      <c r="O61" s="10" t="s">
        <v>678</v>
      </c>
      <c r="P61" s="11" t="s">
        <v>73</v>
      </c>
      <c r="Q61" s="9" t="n">
        <v>10</v>
      </c>
      <c r="R61" s="9" t="s">
        <v>119</v>
      </c>
      <c r="S61" s="10" t="s">
        <v>808</v>
      </c>
      <c r="T61" s="10" t="s">
        <v>809</v>
      </c>
      <c r="U61" s="10" t="s">
        <v>810</v>
      </c>
    </row>
    <row r="62" customFormat="false" ht="108" hidden="true" customHeight="true" outlineLevel="0" collapsed="false">
      <c r="A62" s="9" t="s">
        <v>811</v>
      </c>
      <c r="B62" s="10" t="s">
        <v>59</v>
      </c>
      <c r="C62" s="10" t="s">
        <v>812</v>
      </c>
      <c r="D62" s="10" t="s">
        <v>813</v>
      </c>
      <c r="E62" s="10" t="s">
        <v>814</v>
      </c>
      <c r="F62" s="10" t="s">
        <v>815</v>
      </c>
      <c r="G62" s="10" t="s">
        <v>816</v>
      </c>
      <c r="H62" s="9" t="s">
        <v>791</v>
      </c>
      <c r="I62" s="10" t="s">
        <v>817</v>
      </c>
      <c r="J62" s="10" t="s">
        <v>818</v>
      </c>
      <c r="K62" s="10" t="s">
        <v>819</v>
      </c>
      <c r="L62" s="10" t="s">
        <v>820</v>
      </c>
      <c r="M62" s="9" t="s">
        <v>821</v>
      </c>
      <c r="N62" s="9" t="s">
        <v>274</v>
      </c>
      <c r="O62" s="10" t="s">
        <v>72</v>
      </c>
      <c r="P62" s="13" t="s">
        <v>119</v>
      </c>
      <c r="Q62" s="9" t="n">
        <v>2</v>
      </c>
      <c r="R62" s="9" t="s">
        <v>74</v>
      </c>
      <c r="S62" s="10" t="s">
        <v>822</v>
      </c>
      <c r="T62" s="10" t="s">
        <v>823</v>
      </c>
      <c r="U62" s="10" t="s">
        <v>824</v>
      </c>
    </row>
    <row r="63" customFormat="false" ht="108" hidden="true" customHeight="true" outlineLevel="0" collapsed="false">
      <c r="A63" s="9" t="s">
        <v>825</v>
      </c>
      <c r="B63" s="10" t="s">
        <v>59</v>
      </c>
      <c r="C63" s="10" t="s">
        <v>812</v>
      </c>
      <c r="D63" s="10" t="s">
        <v>826</v>
      </c>
      <c r="E63" s="10" t="s">
        <v>827</v>
      </c>
      <c r="F63" s="10" t="s">
        <v>828</v>
      </c>
      <c r="G63" s="10" t="s">
        <v>829</v>
      </c>
      <c r="H63" s="9" t="s">
        <v>84</v>
      </c>
      <c r="I63" s="10" t="s">
        <v>830</v>
      </c>
      <c r="J63" s="10" t="s">
        <v>831</v>
      </c>
      <c r="K63" s="10" t="s">
        <v>272</v>
      </c>
      <c r="L63" s="10" t="s">
        <v>832</v>
      </c>
      <c r="M63" s="9" t="s">
        <v>821</v>
      </c>
      <c r="N63" s="9" t="s">
        <v>71</v>
      </c>
      <c r="O63" s="10" t="s">
        <v>72</v>
      </c>
      <c r="P63" s="13" t="s">
        <v>119</v>
      </c>
      <c r="Q63" s="9" t="n">
        <v>2</v>
      </c>
      <c r="R63" s="9" t="s">
        <v>74</v>
      </c>
      <c r="S63" s="10" t="s">
        <v>833</v>
      </c>
      <c r="T63" s="10" t="s">
        <v>834</v>
      </c>
      <c r="U63" s="10" t="s">
        <v>835</v>
      </c>
    </row>
    <row r="64" customFormat="false" ht="108" hidden="true" customHeight="true" outlineLevel="0" collapsed="false">
      <c r="A64" s="9" t="s">
        <v>836</v>
      </c>
      <c r="B64" s="10" t="s">
        <v>837</v>
      </c>
      <c r="C64" s="10" t="s">
        <v>838</v>
      </c>
      <c r="D64" s="10" t="s">
        <v>839</v>
      </c>
      <c r="E64" s="10" t="s">
        <v>840</v>
      </c>
      <c r="F64" s="10" t="s">
        <v>841</v>
      </c>
      <c r="G64" s="10" t="s">
        <v>842</v>
      </c>
      <c r="H64" s="9" t="s">
        <v>843</v>
      </c>
      <c r="I64" s="10" t="s">
        <v>844</v>
      </c>
      <c r="J64" s="10" t="s">
        <v>845</v>
      </c>
      <c r="K64" s="10" t="s">
        <v>846</v>
      </c>
      <c r="L64" s="10" t="s">
        <v>847</v>
      </c>
      <c r="M64" s="9" t="s">
        <v>769</v>
      </c>
      <c r="N64" s="9" t="s">
        <v>71</v>
      </c>
      <c r="O64" s="10" t="s">
        <v>72</v>
      </c>
      <c r="P64" s="11" t="s">
        <v>73</v>
      </c>
      <c r="Q64" s="9" t="n">
        <v>9</v>
      </c>
      <c r="R64" s="9" t="s">
        <v>119</v>
      </c>
      <c r="S64" s="10" t="s">
        <v>848</v>
      </c>
      <c r="T64" s="10" t="s">
        <v>849</v>
      </c>
      <c r="U64" s="10" t="s">
        <v>850</v>
      </c>
    </row>
    <row r="65" customFormat="false" ht="108" hidden="false" customHeight="true" outlineLevel="0" collapsed="false">
      <c r="A65" s="9" t="s">
        <v>851</v>
      </c>
      <c r="B65" s="10" t="s">
        <v>837</v>
      </c>
      <c r="C65" s="10" t="s">
        <v>838</v>
      </c>
      <c r="D65" s="10" t="s">
        <v>852</v>
      </c>
      <c r="E65" s="10" t="s">
        <v>853</v>
      </c>
      <c r="F65" s="10" t="s">
        <v>854</v>
      </c>
      <c r="G65" s="10" t="s">
        <v>855</v>
      </c>
      <c r="H65" s="9" t="s">
        <v>856</v>
      </c>
      <c r="I65" s="10" t="s">
        <v>857</v>
      </c>
      <c r="J65" s="10" t="s">
        <v>858</v>
      </c>
      <c r="K65" s="10" t="s">
        <v>859</v>
      </c>
      <c r="L65" s="10" t="s">
        <v>208</v>
      </c>
      <c r="M65" s="9" t="s">
        <v>677</v>
      </c>
      <c r="N65" s="9" t="s">
        <v>71</v>
      </c>
      <c r="O65" s="10" t="s">
        <v>678</v>
      </c>
      <c r="P65" s="12" t="s">
        <v>90</v>
      </c>
      <c r="Q65" s="9" t="n">
        <v>7</v>
      </c>
      <c r="R65" s="9" t="s">
        <v>119</v>
      </c>
      <c r="S65" s="10" t="s">
        <v>860</v>
      </c>
      <c r="T65" s="10" t="s">
        <v>861</v>
      </c>
      <c r="U65" s="10" t="s">
        <v>862</v>
      </c>
    </row>
    <row r="66" customFormat="false" ht="108" hidden="true" customHeight="true" outlineLevel="0" collapsed="false">
      <c r="A66" s="9" t="s">
        <v>863</v>
      </c>
      <c r="B66" s="10" t="s">
        <v>837</v>
      </c>
      <c r="C66" s="10" t="s">
        <v>838</v>
      </c>
      <c r="D66" s="10" t="s">
        <v>864</v>
      </c>
      <c r="E66" s="10" t="s">
        <v>865</v>
      </c>
      <c r="F66" s="10" t="s">
        <v>866</v>
      </c>
      <c r="G66" s="10" t="s">
        <v>867</v>
      </c>
      <c r="H66" s="9" t="s">
        <v>868</v>
      </c>
      <c r="I66" s="10" t="s">
        <v>869</v>
      </c>
      <c r="J66" s="10" t="s">
        <v>870</v>
      </c>
      <c r="K66" s="10" t="s">
        <v>871</v>
      </c>
      <c r="L66" s="10" t="s">
        <v>872</v>
      </c>
      <c r="M66" s="9" t="s">
        <v>769</v>
      </c>
      <c r="N66" s="9" t="s">
        <v>71</v>
      </c>
      <c r="O66" s="10" t="s">
        <v>678</v>
      </c>
      <c r="P66" s="14" t="s">
        <v>74</v>
      </c>
      <c r="Q66" s="9" t="n">
        <v>5</v>
      </c>
      <c r="R66" s="9" t="s">
        <v>74</v>
      </c>
      <c r="S66" s="10" t="s">
        <v>873</v>
      </c>
      <c r="T66" s="10" t="s">
        <v>874</v>
      </c>
      <c r="U66" s="10" t="s">
        <v>875</v>
      </c>
    </row>
    <row r="67" customFormat="false" ht="108" hidden="true" customHeight="true" outlineLevel="0" collapsed="false">
      <c r="A67" s="9" t="s">
        <v>876</v>
      </c>
      <c r="B67" s="10" t="s">
        <v>837</v>
      </c>
      <c r="C67" s="10" t="s">
        <v>838</v>
      </c>
      <c r="D67" s="10" t="s">
        <v>877</v>
      </c>
      <c r="E67" s="10" t="s">
        <v>878</v>
      </c>
      <c r="F67" s="10" t="s">
        <v>879</v>
      </c>
      <c r="G67" s="10" t="s">
        <v>880</v>
      </c>
      <c r="H67" s="9" t="s">
        <v>881</v>
      </c>
      <c r="I67" s="10" t="s">
        <v>882</v>
      </c>
      <c r="J67" s="10" t="s">
        <v>883</v>
      </c>
      <c r="K67" s="10" t="s">
        <v>884</v>
      </c>
      <c r="L67" s="10" t="s">
        <v>885</v>
      </c>
      <c r="M67" s="9" t="s">
        <v>677</v>
      </c>
      <c r="N67" s="9" t="s">
        <v>662</v>
      </c>
      <c r="O67" s="10" t="s">
        <v>118</v>
      </c>
      <c r="P67" s="11" t="s">
        <v>73</v>
      </c>
      <c r="Q67" s="9" t="n">
        <v>10</v>
      </c>
      <c r="R67" s="9" t="s">
        <v>119</v>
      </c>
      <c r="S67" s="10" t="s">
        <v>886</v>
      </c>
      <c r="T67" s="10" t="s">
        <v>887</v>
      </c>
      <c r="U67" s="10" t="s">
        <v>888</v>
      </c>
    </row>
    <row r="68" customFormat="false" ht="108" hidden="false" customHeight="true" outlineLevel="0" collapsed="false">
      <c r="A68" s="9" t="s">
        <v>889</v>
      </c>
      <c r="B68" s="10" t="s">
        <v>837</v>
      </c>
      <c r="C68" s="10" t="s">
        <v>838</v>
      </c>
      <c r="D68" s="10" t="s">
        <v>890</v>
      </c>
      <c r="E68" s="10" t="s">
        <v>891</v>
      </c>
      <c r="F68" s="10" t="s">
        <v>892</v>
      </c>
      <c r="G68" s="10" t="s">
        <v>893</v>
      </c>
      <c r="H68" s="9" t="s">
        <v>894</v>
      </c>
      <c r="I68" s="10" t="s">
        <v>895</v>
      </c>
      <c r="J68" s="10" t="s">
        <v>896</v>
      </c>
      <c r="K68" s="10" t="s">
        <v>897</v>
      </c>
      <c r="L68" s="10" t="s">
        <v>898</v>
      </c>
      <c r="M68" s="9" t="s">
        <v>769</v>
      </c>
      <c r="N68" s="9" t="s">
        <v>71</v>
      </c>
      <c r="O68" s="10" t="s">
        <v>72</v>
      </c>
      <c r="P68" s="12" t="s">
        <v>90</v>
      </c>
      <c r="Q68" s="9" t="n">
        <v>7</v>
      </c>
      <c r="R68" s="9" t="s">
        <v>119</v>
      </c>
      <c r="S68" s="10" t="s">
        <v>899</v>
      </c>
      <c r="T68" s="10" t="s">
        <v>900</v>
      </c>
      <c r="U68" s="10" t="s">
        <v>901</v>
      </c>
    </row>
    <row r="69" customFormat="false" ht="108" hidden="true" customHeight="true" outlineLevel="0" collapsed="false">
      <c r="A69" s="9" t="s">
        <v>902</v>
      </c>
      <c r="B69" s="10" t="s">
        <v>837</v>
      </c>
      <c r="C69" s="10" t="s">
        <v>838</v>
      </c>
      <c r="D69" s="10" t="s">
        <v>903</v>
      </c>
      <c r="E69" s="10" t="s">
        <v>904</v>
      </c>
      <c r="F69" s="10" t="s">
        <v>905</v>
      </c>
      <c r="G69" s="10" t="s">
        <v>906</v>
      </c>
      <c r="H69" s="9" t="s">
        <v>907</v>
      </c>
      <c r="I69" s="10" t="s">
        <v>908</v>
      </c>
      <c r="J69" s="10" t="s">
        <v>909</v>
      </c>
      <c r="K69" s="10" t="s">
        <v>910</v>
      </c>
      <c r="L69" s="10" t="s">
        <v>911</v>
      </c>
      <c r="M69" s="9" t="s">
        <v>912</v>
      </c>
      <c r="N69" s="9" t="s">
        <v>274</v>
      </c>
      <c r="O69" s="10" t="s">
        <v>72</v>
      </c>
      <c r="P69" s="14" t="s">
        <v>74</v>
      </c>
      <c r="Q69" s="9" t="n">
        <v>4</v>
      </c>
      <c r="R69" s="9" t="s">
        <v>74</v>
      </c>
      <c r="S69" s="10" t="s">
        <v>913</v>
      </c>
      <c r="T69" s="10" t="s">
        <v>914</v>
      </c>
      <c r="U69" s="10" t="s">
        <v>915</v>
      </c>
    </row>
    <row r="70" customFormat="false" ht="108" hidden="true" customHeight="true" outlineLevel="0" collapsed="false">
      <c r="A70" s="9" t="s">
        <v>916</v>
      </c>
      <c r="B70" s="10" t="s">
        <v>837</v>
      </c>
      <c r="C70" s="10" t="s">
        <v>917</v>
      </c>
      <c r="D70" s="10" t="s">
        <v>918</v>
      </c>
      <c r="E70" s="10" t="s">
        <v>919</v>
      </c>
      <c r="F70" s="10" t="s">
        <v>920</v>
      </c>
      <c r="G70" s="10" t="s">
        <v>921</v>
      </c>
      <c r="H70" s="9" t="s">
        <v>84</v>
      </c>
      <c r="I70" s="10" t="s">
        <v>922</v>
      </c>
      <c r="J70" s="10" t="s">
        <v>923</v>
      </c>
      <c r="K70" s="10" t="s">
        <v>924</v>
      </c>
      <c r="L70" s="10" t="s">
        <v>925</v>
      </c>
      <c r="M70" s="9" t="s">
        <v>821</v>
      </c>
      <c r="N70" s="9" t="s">
        <v>71</v>
      </c>
      <c r="O70" s="10" t="s">
        <v>678</v>
      </c>
      <c r="P70" s="11" t="s">
        <v>73</v>
      </c>
      <c r="Q70" s="9" t="n">
        <v>9</v>
      </c>
      <c r="R70" s="9" t="s">
        <v>119</v>
      </c>
      <c r="S70" s="10" t="s">
        <v>926</v>
      </c>
      <c r="T70" s="10" t="s">
        <v>927</v>
      </c>
      <c r="U70" s="10" t="s">
        <v>928</v>
      </c>
    </row>
    <row r="71" customFormat="false" ht="108" hidden="false" customHeight="true" outlineLevel="0" collapsed="false">
      <c r="A71" s="9" t="s">
        <v>929</v>
      </c>
      <c r="B71" s="10" t="s">
        <v>837</v>
      </c>
      <c r="C71" s="10" t="s">
        <v>917</v>
      </c>
      <c r="D71" s="10" t="s">
        <v>930</v>
      </c>
      <c r="E71" s="10" t="s">
        <v>931</v>
      </c>
      <c r="F71" s="10" t="s">
        <v>932</v>
      </c>
      <c r="G71" s="10" t="s">
        <v>933</v>
      </c>
      <c r="H71" s="9" t="s">
        <v>84</v>
      </c>
      <c r="I71" s="10" t="s">
        <v>934</v>
      </c>
      <c r="J71" s="10" t="s">
        <v>935</v>
      </c>
      <c r="K71" s="10" t="s">
        <v>936</v>
      </c>
      <c r="L71" s="10" t="s">
        <v>937</v>
      </c>
      <c r="M71" s="9" t="s">
        <v>821</v>
      </c>
      <c r="N71" s="9" t="s">
        <v>71</v>
      </c>
      <c r="O71" s="10" t="s">
        <v>938</v>
      </c>
      <c r="P71" s="12" t="s">
        <v>90</v>
      </c>
      <c r="Q71" s="9" t="n">
        <v>6</v>
      </c>
      <c r="R71" s="9" t="s">
        <v>74</v>
      </c>
      <c r="S71" s="10" t="s">
        <v>939</v>
      </c>
      <c r="T71" s="10" t="s">
        <v>940</v>
      </c>
      <c r="U71" s="10" t="s">
        <v>941</v>
      </c>
    </row>
    <row r="72" customFormat="false" ht="108" hidden="true" customHeight="true" outlineLevel="0" collapsed="false">
      <c r="A72" s="9" t="s">
        <v>942</v>
      </c>
      <c r="B72" s="10" t="s">
        <v>837</v>
      </c>
      <c r="C72" s="10" t="s">
        <v>943</v>
      </c>
      <c r="D72" s="10" t="s">
        <v>944</v>
      </c>
      <c r="E72" s="10" t="s">
        <v>945</v>
      </c>
      <c r="F72" s="10" t="s">
        <v>946</v>
      </c>
      <c r="G72" s="10" t="s">
        <v>947</v>
      </c>
      <c r="H72" s="9" t="s">
        <v>84</v>
      </c>
      <c r="I72" s="10" t="s">
        <v>948</v>
      </c>
      <c r="J72" s="10" t="s">
        <v>949</v>
      </c>
      <c r="K72" s="10" t="s">
        <v>950</v>
      </c>
      <c r="L72" s="10" t="s">
        <v>951</v>
      </c>
      <c r="M72" s="9" t="s">
        <v>70</v>
      </c>
      <c r="N72" s="9" t="s">
        <v>71</v>
      </c>
      <c r="O72" s="10" t="s">
        <v>72</v>
      </c>
      <c r="P72" s="13" t="s">
        <v>119</v>
      </c>
      <c r="Q72" s="9" t="n">
        <v>2</v>
      </c>
      <c r="R72" s="9" t="s">
        <v>90</v>
      </c>
      <c r="S72" s="10" t="s">
        <v>952</v>
      </c>
      <c r="T72" s="10" t="s">
        <v>953</v>
      </c>
      <c r="U72" s="10" t="s">
        <v>954</v>
      </c>
    </row>
    <row r="73" customFormat="false" ht="108" hidden="false" customHeight="true" outlineLevel="0" collapsed="false">
      <c r="A73" s="9" t="s">
        <v>955</v>
      </c>
      <c r="B73" s="10" t="s">
        <v>837</v>
      </c>
      <c r="C73" s="10" t="s">
        <v>943</v>
      </c>
      <c r="D73" s="10" t="s">
        <v>956</v>
      </c>
      <c r="E73" s="10" t="s">
        <v>957</v>
      </c>
      <c r="F73" s="10" t="s">
        <v>958</v>
      </c>
      <c r="G73" s="10" t="s">
        <v>959</v>
      </c>
      <c r="H73" s="9" t="s">
        <v>960</v>
      </c>
      <c r="I73" s="10" t="s">
        <v>961</v>
      </c>
      <c r="J73" s="10" t="s">
        <v>962</v>
      </c>
      <c r="K73" s="10" t="s">
        <v>963</v>
      </c>
      <c r="L73" s="10" t="s">
        <v>964</v>
      </c>
      <c r="M73" s="9" t="s">
        <v>821</v>
      </c>
      <c r="N73" s="9" t="s">
        <v>71</v>
      </c>
      <c r="O73" s="10" t="s">
        <v>72</v>
      </c>
      <c r="P73" s="12" t="s">
        <v>90</v>
      </c>
      <c r="Q73" s="9" t="n">
        <v>6</v>
      </c>
      <c r="R73" s="9" t="s">
        <v>74</v>
      </c>
      <c r="S73" s="10" t="s">
        <v>965</v>
      </c>
      <c r="T73" s="10" t="s">
        <v>966</v>
      </c>
      <c r="U73" s="10" t="s">
        <v>967</v>
      </c>
    </row>
    <row r="74" customFormat="false" ht="108" hidden="true" customHeight="true" outlineLevel="0" collapsed="false">
      <c r="A74" s="9" t="s">
        <v>968</v>
      </c>
      <c r="B74" s="10" t="s">
        <v>837</v>
      </c>
      <c r="C74" s="10" t="s">
        <v>917</v>
      </c>
      <c r="D74" s="10" t="s">
        <v>969</v>
      </c>
      <c r="E74" s="10" t="s">
        <v>970</v>
      </c>
      <c r="F74" s="10" t="s">
        <v>971</v>
      </c>
      <c r="G74" s="10" t="s">
        <v>972</v>
      </c>
      <c r="H74" s="9" t="s">
        <v>973</v>
      </c>
      <c r="I74" s="10" t="s">
        <v>974</v>
      </c>
      <c r="J74" s="10" t="s">
        <v>975</v>
      </c>
      <c r="K74" s="10" t="s">
        <v>976</v>
      </c>
      <c r="L74" s="10" t="s">
        <v>977</v>
      </c>
      <c r="M74" s="9" t="s">
        <v>912</v>
      </c>
      <c r="N74" s="9" t="s">
        <v>71</v>
      </c>
      <c r="O74" s="10" t="s">
        <v>275</v>
      </c>
      <c r="P74" s="14" t="s">
        <v>74</v>
      </c>
      <c r="Q74" s="9" t="n">
        <v>5</v>
      </c>
      <c r="R74" s="9" t="s">
        <v>74</v>
      </c>
      <c r="S74" s="10" t="s">
        <v>978</v>
      </c>
      <c r="T74" s="10" t="s">
        <v>979</v>
      </c>
      <c r="U74" s="10" t="s">
        <v>980</v>
      </c>
    </row>
    <row r="75" customFormat="false" ht="108" hidden="true" customHeight="true" outlineLevel="0" collapsed="false">
      <c r="A75" s="9" t="s">
        <v>981</v>
      </c>
      <c r="B75" s="10" t="s">
        <v>837</v>
      </c>
      <c r="C75" s="10" t="s">
        <v>982</v>
      </c>
      <c r="D75" s="10" t="s">
        <v>983</v>
      </c>
      <c r="E75" s="10" t="s">
        <v>984</v>
      </c>
      <c r="F75" s="10" t="s">
        <v>985</v>
      </c>
      <c r="G75" s="10" t="s">
        <v>986</v>
      </c>
      <c r="H75" s="9" t="s">
        <v>987</v>
      </c>
      <c r="I75" s="10" t="s">
        <v>988</v>
      </c>
      <c r="J75" s="10" t="s">
        <v>989</v>
      </c>
      <c r="K75" s="10" t="s">
        <v>990</v>
      </c>
      <c r="L75" s="10" t="s">
        <v>991</v>
      </c>
      <c r="M75" s="9" t="s">
        <v>677</v>
      </c>
      <c r="N75" s="9" t="s">
        <v>71</v>
      </c>
      <c r="O75" s="10" t="s">
        <v>678</v>
      </c>
      <c r="P75" s="11" t="s">
        <v>73</v>
      </c>
      <c r="Q75" s="9" t="n">
        <v>9</v>
      </c>
      <c r="R75" s="9" t="s">
        <v>119</v>
      </c>
      <c r="S75" s="10" t="s">
        <v>992</v>
      </c>
      <c r="T75" s="10" t="s">
        <v>993</v>
      </c>
      <c r="U75" s="10" t="s">
        <v>994</v>
      </c>
    </row>
    <row r="76" customFormat="false" ht="108" hidden="false" customHeight="true" outlineLevel="0" collapsed="false">
      <c r="A76" s="9" t="s">
        <v>995</v>
      </c>
      <c r="B76" s="10" t="s">
        <v>837</v>
      </c>
      <c r="C76" s="10" t="s">
        <v>982</v>
      </c>
      <c r="D76" s="10" t="s">
        <v>996</v>
      </c>
      <c r="E76" s="10" t="s">
        <v>997</v>
      </c>
      <c r="F76" s="10" t="s">
        <v>998</v>
      </c>
      <c r="G76" s="10" t="s">
        <v>999</v>
      </c>
      <c r="H76" s="9" t="s">
        <v>1000</v>
      </c>
      <c r="I76" s="10" t="s">
        <v>1001</v>
      </c>
      <c r="J76" s="10" t="s">
        <v>1002</v>
      </c>
      <c r="K76" s="10" t="s">
        <v>1003</v>
      </c>
      <c r="L76" s="10" t="s">
        <v>1004</v>
      </c>
      <c r="M76" s="9" t="s">
        <v>133</v>
      </c>
      <c r="N76" s="9" t="s">
        <v>71</v>
      </c>
      <c r="O76" s="10" t="s">
        <v>678</v>
      </c>
      <c r="P76" s="12" t="s">
        <v>90</v>
      </c>
      <c r="Q76" s="9" t="n">
        <v>7</v>
      </c>
      <c r="R76" s="9" t="s">
        <v>74</v>
      </c>
      <c r="S76" s="10" t="s">
        <v>1005</v>
      </c>
      <c r="T76" s="10" t="s">
        <v>1006</v>
      </c>
      <c r="U76" s="10" t="s">
        <v>1007</v>
      </c>
    </row>
    <row r="77" customFormat="false" ht="108" hidden="true" customHeight="true" outlineLevel="0" collapsed="false">
      <c r="A77" s="9" t="s">
        <v>1008</v>
      </c>
      <c r="B77" s="10" t="s">
        <v>837</v>
      </c>
      <c r="C77" s="10" t="s">
        <v>982</v>
      </c>
      <c r="D77" s="10" t="s">
        <v>1009</v>
      </c>
      <c r="E77" s="10" t="s">
        <v>1010</v>
      </c>
      <c r="F77" s="10" t="s">
        <v>1011</v>
      </c>
      <c r="G77" s="10" t="s">
        <v>1012</v>
      </c>
      <c r="H77" s="9" t="s">
        <v>1013</v>
      </c>
      <c r="I77" s="10" t="s">
        <v>1014</v>
      </c>
      <c r="J77" s="10" t="s">
        <v>1015</v>
      </c>
      <c r="K77" s="10" t="s">
        <v>1016</v>
      </c>
      <c r="L77" s="10" t="s">
        <v>1017</v>
      </c>
      <c r="M77" s="9" t="s">
        <v>821</v>
      </c>
      <c r="N77" s="9" t="s">
        <v>71</v>
      </c>
      <c r="O77" s="10" t="s">
        <v>72</v>
      </c>
      <c r="P77" s="13" t="s">
        <v>119</v>
      </c>
      <c r="Q77" s="9" t="n">
        <v>2</v>
      </c>
      <c r="R77" s="9" t="s">
        <v>90</v>
      </c>
      <c r="S77" s="10" t="s">
        <v>1018</v>
      </c>
      <c r="T77" s="10" t="s">
        <v>1019</v>
      </c>
      <c r="U77" s="10" t="s">
        <v>1020</v>
      </c>
    </row>
    <row r="78" customFormat="false" ht="108" hidden="true" customHeight="true" outlineLevel="0" collapsed="false">
      <c r="A78" s="9" t="s">
        <v>1021</v>
      </c>
      <c r="B78" s="10" t="s">
        <v>837</v>
      </c>
      <c r="C78" s="10" t="s">
        <v>982</v>
      </c>
      <c r="D78" s="10" t="s">
        <v>1022</v>
      </c>
      <c r="E78" s="10" t="s">
        <v>1023</v>
      </c>
      <c r="F78" s="10" t="s">
        <v>1024</v>
      </c>
      <c r="G78" s="10" t="s">
        <v>1025</v>
      </c>
      <c r="H78" s="9" t="s">
        <v>1026</v>
      </c>
      <c r="I78" s="10" t="s">
        <v>1027</v>
      </c>
      <c r="J78" s="10" t="s">
        <v>1028</v>
      </c>
      <c r="K78" s="10" t="s">
        <v>1029</v>
      </c>
      <c r="L78" s="10" t="s">
        <v>1030</v>
      </c>
      <c r="M78" s="9" t="s">
        <v>769</v>
      </c>
      <c r="N78" s="9" t="s">
        <v>117</v>
      </c>
      <c r="O78" s="10" t="s">
        <v>72</v>
      </c>
      <c r="P78" s="14" t="s">
        <v>74</v>
      </c>
      <c r="Q78" s="9" t="n">
        <v>4</v>
      </c>
      <c r="R78" s="9" t="s">
        <v>90</v>
      </c>
      <c r="S78" s="10" t="s">
        <v>1031</v>
      </c>
      <c r="T78" s="10" t="s">
        <v>1032</v>
      </c>
      <c r="U78" s="10" t="s">
        <v>1033</v>
      </c>
    </row>
    <row r="79" customFormat="false" ht="108" hidden="true" customHeight="true" outlineLevel="0" collapsed="false">
      <c r="A79" s="9" t="s">
        <v>1034</v>
      </c>
      <c r="B79" s="10" t="s">
        <v>837</v>
      </c>
      <c r="C79" s="10" t="s">
        <v>982</v>
      </c>
      <c r="D79" s="10" t="s">
        <v>1035</v>
      </c>
      <c r="E79" s="10" t="s">
        <v>1036</v>
      </c>
      <c r="F79" s="10" t="s">
        <v>1037</v>
      </c>
      <c r="G79" s="10" t="s">
        <v>1038</v>
      </c>
      <c r="H79" s="9" t="s">
        <v>1039</v>
      </c>
      <c r="I79" s="10" t="s">
        <v>1040</v>
      </c>
      <c r="J79" s="10" t="s">
        <v>1041</v>
      </c>
      <c r="K79" s="10" t="s">
        <v>1042</v>
      </c>
      <c r="L79" s="10" t="s">
        <v>1043</v>
      </c>
      <c r="M79" s="9" t="s">
        <v>821</v>
      </c>
      <c r="N79" s="9" t="s">
        <v>71</v>
      </c>
      <c r="O79" s="10" t="s">
        <v>72</v>
      </c>
      <c r="P79" s="14" t="s">
        <v>74</v>
      </c>
      <c r="Q79" s="9" t="n">
        <v>5</v>
      </c>
      <c r="R79" s="9" t="s">
        <v>74</v>
      </c>
      <c r="S79" s="10" t="s">
        <v>1044</v>
      </c>
      <c r="T79" s="10" t="s">
        <v>1045</v>
      </c>
      <c r="U79" s="10" t="s">
        <v>1046</v>
      </c>
    </row>
    <row r="80" customFormat="false" ht="108" hidden="false" customHeight="true" outlineLevel="0" collapsed="false">
      <c r="A80" s="9" t="s">
        <v>1047</v>
      </c>
      <c r="B80" s="10" t="s">
        <v>837</v>
      </c>
      <c r="C80" s="10" t="s">
        <v>1048</v>
      </c>
      <c r="D80" s="10" t="s">
        <v>1049</v>
      </c>
      <c r="E80" s="10" t="s">
        <v>1050</v>
      </c>
      <c r="F80" s="10" t="s">
        <v>1051</v>
      </c>
      <c r="G80" s="10" t="s">
        <v>1052</v>
      </c>
      <c r="H80" s="9" t="s">
        <v>1053</v>
      </c>
      <c r="I80" s="10" t="s">
        <v>1054</v>
      </c>
      <c r="J80" s="10" t="s">
        <v>1055</v>
      </c>
      <c r="K80" s="10" t="s">
        <v>1056</v>
      </c>
      <c r="L80" s="10" t="s">
        <v>1057</v>
      </c>
      <c r="M80" s="9" t="s">
        <v>70</v>
      </c>
      <c r="N80" s="9" t="s">
        <v>71</v>
      </c>
      <c r="O80" s="10" t="s">
        <v>72</v>
      </c>
      <c r="P80" s="12" t="s">
        <v>90</v>
      </c>
      <c r="Q80" s="9" t="n">
        <v>6</v>
      </c>
      <c r="R80" s="9" t="s">
        <v>74</v>
      </c>
      <c r="S80" s="10" t="s">
        <v>1058</v>
      </c>
      <c r="T80" s="10" t="s">
        <v>1059</v>
      </c>
      <c r="U80" s="10" t="s">
        <v>1060</v>
      </c>
    </row>
    <row r="81" customFormat="false" ht="108" hidden="false" customHeight="true" outlineLevel="0" collapsed="false">
      <c r="A81" s="9" t="s">
        <v>1061</v>
      </c>
      <c r="B81" s="10" t="s">
        <v>837</v>
      </c>
      <c r="C81" s="10" t="s">
        <v>1048</v>
      </c>
      <c r="D81" s="10" t="s">
        <v>1062</v>
      </c>
      <c r="E81" s="10" t="s">
        <v>1063</v>
      </c>
      <c r="F81" s="10" t="s">
        <v>1064</v>
      </c>
      <c r="G81" s="10" t="s">
        <v>1065</v>
      </c>
      <c r="H81" s="9" t="s">
        <v>1066</v>
      </c>
      <c r="I81" s="10" t="s">
        <v>1067</v>
      </c>
      <c r="J81" s="10" t="s">
        <v>1068</v>
      </c>
      <c r="K81" s="10" t="s">
        <v>1069</v>
      </c>
      <c r="L81" s="10" t="s">
        <v>1070</v>
      </c>
      <c r="M81" s="9" t="s">
        <v>677</v>
      </c>
      <c r="N81" s="9" t="s">
        <v>71</v>
      </c>
      <c r="O81" s="10" t="s">
        <v>678</v>
      </c>
      <c r="P81" s="12" t="s">
        <v>90</v>
      </c>
      <c r="Q81" s="9" t="n">
        <v>8</v>
      </c>
      <c r="R81" s="9" t="s">
        <v>119</v>
      </c>
      <c r="S81" s="10" t="s">
        <v>1071</v>
      </c>
      <c r="T81" s="10" t="s">
        <v>1072</v>
      </c>
      <c r="U81" s="10" t="s">
        <v>1073</v>
      </c>
    </row>
    <row r="82" customFormat="false" ht="108" hidden="true" customHeight="true" outlineLevel="0" collapsed="false">
      <c r="A82" s="9" t="s">
        <v>1074</v>
      </c>
      <c r="B82" s="10" t="s">
        <v>837</v>
      </c>
      <c r="C82" s="10" t="s">
        <v>1048</v>
      </c>
      <c r="D82" s="10" t="s">
        <v>1075</v>
      </c>
      <c r="E82" s="10" t="s">
        <v>1076</v>
      </c>
      <c r="F82" s="10" t="s">
        <v>1077</v>
      </c>
      <c r="G82" s="10" t="s">
        <v>1078</v>
      </c>
      <c r="H82" s="9" t="s">
        <v>1053</v>
      </c>
      <c r="I82" s="10" t="s">
        <v>1079</v>
      </c>
      <c r="J82" s="10" t="s">
        <v>1080</v>
      </c>
      <c r="K82" s="10" t="s">
        <v>1081</v>
      </c>
      <c r="L82" s="10" t="s">
        <v>1082</v>
      </c>
      <c r="M82" s="9" t="s">
        <v>677</v>
      </c>
      <c r="N82" s="9" t="s">
        <v>274</v>
      </c>
      <c r="O82" s="10" t="s">
        <v>72</v>
      </c>
      <c r="P82" s="14" t="s">
        <v>74</v>
      </c>
      <c r="Q82" s="9" t="n">
        <v>5</v>
      </c>
      <c r="R82" s="9" t="s">
        <v>74</v>
      </c>
      <c r="S82" s="10" t="s">
        <v>1083</v>
      </c>
      <c r="T82" s="10" t="s">
        <v>1084</v>
      </c>
      <c r="U82" s="10" t="s">
        <v>1085</v>
      </c>
    </row>
    <row r="83" customFormat="false" ht="108" hidden="false" customHeight="true" outlineLevel="0" collapsed="false">
      <c r="A83" s="9" t="s">
        <v>1086</v>
      </c>
      <c r="B83" s="10" t="s">
        <v>837</v>
      </c>
      <c r="C83" s="10" t="s">
        <v>1048</v>
      </c>
      <c r="D83" s="10" t="s">
        <v>1087</v>
      </c>
      <c r="E83" s="10" t="s">
        <v>1088</v>
      </c>
      <c r="F83" s="10" t="s">
        <v>1089</v>
      </c>
      <c r="G83" s="10" t="s">
        <v>1090</v>
      </c>
      <c r="H83" s="9" t="s">
        <v>1091</v>
      </c>
      <c r="I83" s="10" t="s">
        <v>1092</v>
      </c>
      <c r="J83" s="10" t="s">
        <v>1093</v>
      </c>
      <c r="K83" s="10" t="s">
        <v>1094</v>
      </c>
      <c r="L83" s="10" t="s">
        <v>1095</v>
      </c>
      <c r="M83" s="9" t="s">
        <v>821</v>
      </c>
      <c r="N83" s="9" t="s">
        <v>71</v>
      </c>
      <c r="O83" s="10" t="s">
        <v>72</v>
      </c>
      <c r="P83" s="12" t="s">
        <v>90</v>
      </c>
      <c r="Q83" s="9" t="n">
        <v>7</v>
      </c>
      <c r="R83" s="9" t="s">
        <v>119</v>
      </c>
      <c r="S83" s="10" t="s">
        <v>1096</v>
      </c>
      <c r="T83" s="10" t="s">
        <v>1097</v>
      </c>
      <c r="U83" s="10" t="s">
        <v>1098</v>
      </c>
    </row>
    <row r="84" customFormat="false" ht="108" hidden="true" customHeight="true" outlineLevel="0" collapsed="false">
      <c r="A84" s="9" t="s">
        <v>1099</v>
      </c>
      <c r="B84" s="10" t="s">
        <v>837</v>
      </c>
      <c r="C84" s="10" t="s">
        <v>1048</v>
      </c>
      <c r="D84" s="10" t="s">
        <v>1100</v>
      </c>
      <c r="E84" s="10" t="s">
        <v>1101</v>
      </c>
      <c r="F84" s="10" t="s">
        <v>1102</v>
      </c>
      <c r="G84" s="10" t="s">
        <v>1103</v>
      </c>
      <c r="H84" s="9" t="s">
        <v>112</v>
      </c>
      <c r="I84" s="10" t="s">
        <v>1104</v>
      </c>
      <c r="J84" s="10" t="s">
        <v>1105</v>
      </c>
      <c r="K84" s="10" t="s">
        <v>1106</v>
      </c>
      <c r="L84" s="10" t="s">
        <v>1107</v>
      </c>
      <c r="M84" s="9" t="s">
        <v>677</v>
      </c>
      <c r="N84" s="9" t="s">
        <v>71</v>
      </c>
      <c r="O84" s="10" t="s">
        <v>796</v>
      </c>
      <c r="P84" s="13" t="s">
        <v>119</v>
      </c>
      <c r="Q84" s="9" t="n">
        <v>2</v>
      </c>
      <c r="R84" s="9" t="s">
        <v>90</v>
      </c>
      <c r="S84" s="10" t="s">
        <v>1108</v>
      </c>
      <c r="T84" s="10" t="s">
        <v>1109</v>
      </c>
      <c r="U84" s="10" t="s">
        <v>1110</v>
      </c>
    </row>
    <row r="85" customFormat="false" ht="108" hidden="false" customHeight="true" outlineLevel="0" collapsed="false">
      <c r="A85" s="9" t="s">
        <v>1111</v>
      </c>
      <c r="B85" s="10" t="s">
        <v>837</v>
      </c>
      <c r="C85" s="10" t="s">
        <v>1112</v>
      </c>
      <c r="D85" s="10" t="s">
        <v>1113</v>
      </c>
      <c r="E85" s="10" t="s">
        <v>1114</v>
      </c>
      <c r="F85" s="10" t="s">
        <v>1115</v>
      </c>
      <c r="G85" s="10" t="s">
        <v>1116</v>
      </c>
      <c r="H85" s="9" t="s">
        <v>84</v>
      </c>
      <c r="I85" s="10" t="s">
        <v>1117</v>
      </c>
      <c r="J85" s="10" t="s">
        <v>1118</v>
      </c>
      <c r="K85" s="10" t="s">
        <v>1119</v>
      </c>
      <c r="L85" s="10" t="s">
        <v>87</v>
      </c>
      <c r="M85" s="9" t="s">
        <v>677</v>
      </c>
      <c r="N85" s="9" t="s">
        <v>71</v>
      </c>
      <c r="O85" s="10" t="s">
        <v>678</v>
      </c>
      <c r="P85" s="12" t="s">
        <v>90</v>
      </c>
      <c r="Q85" s="9" t="n">
        <v>7</v>
      </c>
      <c r="R85" s="9" t="s">
        <v>119</v>
      </c>
      <c r="S85" s="10" t="s">
        <v>1120</v>
      </c>
      <c r="T85" s="10" t="s">
        <v>1121</v>
      </c>
      <c r="U85" s="10" t="s">
        <v>1122</v>
      </c>
    </row>
    <row r="86" customFormat="false" ht="108" hidden="false" customHeight="true" outlineLevel="0" collapsed="false">
      <c r="A86" s="9" t="s">
        <v>1123</v>
      </c>
      <c r="B86" s="10" t="s">
        <v>837</v>
      </c>
      <c r="C86" s="10" t="s">
        <v>1112</v>
      </c>
      <c r="D86" s="10" t="s">
        <v>1124</v>
      </c>
      <c r="E86" s="10" t="s">
        <v>1125</v>
      </c>
      <c r="F86" s="10" t="s">
        <v>1126</v>
      </c>
      <c r="G86" s="10" t="s">
        <v>1127</v>
      </c>
      <c r="H86" s="9" t="s">
        <v>1013</v>
      </c>
      <c r="I86" s="10" t="s">
        <v>1128</v>
      </c>
      <c r="J86" s="10" t="s">
        <v>1129</v>
      </c>
      <c r="K86" s="10" t="s">
        <v>1130</v>
      </c>
      <c r="L86" s="10" t="s">
        <v>1131</v>
      </c>
      <c r="M86" s="9" t="s">
        <v>821</v>
      </c>
      <c r="N86" s="9" t="s">
        <v>274</v>
      </c>
      <c r="O86" s="10" t="s">
        <v>678</v>
      </c>
      <c r="P86" s="12" t="s">
        <v>90</v>
      </c>
      <c r="Q86" s="9" t="n">
        <v>6</v>
      </c>
      <c r="R86" s="9" t="s">
        <v>74</v>
      </c>
      <c r="S86" s="10" t="s">
        <v>1132</v>
      </c>
      <c r="T86" s="10" t="s">
        <v>1133</v>
      </c>
      <c r="U86" s="10" t="s">
        <v>1134</v>
      </c>
    </row>
    <row r="87" customFormat="false" ht="108" hidden="true" customHeight="true" outlineLevel="0" collapsed="false">
      <c r="A87" s="9" t="s">
        <v>1135</v>
      </c>
      <c r="B87" s="10" t="s">
        <v>837</v>
      </c>
      <c r="C87" s="10" t="s">
        <v>1112</v>
      </c>
      <c r="D87" s="10" t="s">
        <v>1136</v>
      </c>
      <c r="E87" s="10" t="s">
        <v>1137</v>
      </c>
      <c r="F87" s="10" t="s">
        <v>1138</v>
      </c>
      <c r="G87" s="10" t="s">
        <v>1139</v>
      </c>
      <c r="H87" s="9" t="s">
        <v>1140</v>
      </c>
      <c r="I87" s="10" t="s">
        <v>1141</v>
      </c>
      <c r="J87" s="10" t="s">
        <v>1142</v>
      </c>
      <c r="K87" s="10" t="s">
        <v>1143</v>
      </c>
      <c r="L87" s="10" t="s">
        <v>68</v>
      </c>
      <c r="M87" s="9" t="s">
        <v>821</v>
      </c>
      <c r="N87" s="9" t="s">
        <v>71</v>
      </c>
      <c r="O87" s="10" t="s">
        <v>1144</v>
      </c>
      <c r="P87" s="13" t="s">
        <v>119</v>
      </c>
      <c r="Q87" s="9" t="n">
        <v>2</v>
      </c>
      <c r="R87" s="9" t="s">
        <v>74</v>
      </c>
      <c r="S87" s="10" t="s">
        <v>1145</v>
      </c>
      <c r="T87" s="10" t="s">
        <v>1146</v>
      </c>
      <c r="U87" s="10" t="s">
        <v>1147</v>
      </c>
    </row>
    <row r="88" customFormat="false" ht="108" hidden="true" customHeight="true" outlineLevel="0" collapsed="false">
      <c r="A88" s="9" t="s">
        <v>1148</v>
      </c>
      <c r="B88" s="10" t="s">
        <v>837</v>
      </c>
      <c r="C88" s="10" t="s">
        <v>1149</v>
      </c>
      <c r="D88" s="10" t="s">
        <v>1150</v>
      </c>
      <c r="E88" s="10" t="s">
        <v>1151</v>
      </c>
      <c r="F88" s="10" t="s">
        <v>1152</v>
      </c>
      <c r="G88" s="10" t="s">
        <v>1153</v>
      </c>
      <c r="H88" s="9" t="s">
        <v>1154</v>
      </c>
      <c r="I88" s="10" t="s">
        <v>1155</v>
      </c>
      <c r="J88" s="10" t="s">
        <v>1156</v>
      </c>
      <c r="K88" s="10" t="s">
        <v>1157</v>
      </c>
      <c r="L88" s="10" t="s">
        <v>1158</v>
      </c>
      <c r="M88" s="9" t="s">
        <v>677</v>
      </c>
      <c r="N88" s="9" t="s">
        <v>71</v>
      </c>
      <c r="O88" s="10" t="s">
        <v>796</v>
      </c>
      <c r="P88" s="13" t="s">
        <v>119</v>
      </c>
      <c r="Q88" s="9" t="n">
        <v>2</v>
      </c>
      <c r="R88" s="9" t="s">
        <v>74</v>
      </c>
      <c r="S88" s="10" t="s">
        <v>1159</v>
      </c>
      <c r="T88" s="10" t="s">
        <v>1160</v>
      </c>
      <c r="U88" s="10" t="s">
        <v>1161</v>
      </c>
    </row>
    <row r="89" customFormat="false" ht="108" hidden="false" customHeight="true" outlineLevel="0" collapsed="false">
      <c r="A89" s="9" t="s">
        <v>1162</v>
      </c>
      <c r="B89" s="10" t="s">
        <v>837</v>
      </c>
      <c r="C89" s="10" t="s">
        <v>1163</v>
      </c>
      <c r="D89" s="10" t="s">
        <v>1164</v>
      </c>
      <c r="E89" s="10" t="s">
        <v>1165</v>
      </c>
      <c r="F89" s="10" t="s">
        <v>1166</v>
      </c>
      <c r="G89" s="10" t="s">
        <v>1167</v>
      </c>
      <c r="H89" s="9" t="s">
        <v>1168</v>
      </c>
      <c r="I89" s="10" t="s">
        <v>1169</v>
      </c>
      <c r="J89" s="10" t="s">
        <v>1170</v>
      </c>
      <c r="K89" s="10" t="s">
        <v>1171</v>
      </c>
      <c r="L89" s="10" t="s">
        <v>1172</v>
      </c>
      <c r="M89" s="9" t="s">
        <v>677</v>
      </c>
      <c r="N89" s="9" t="s">
        <v>662</v>
      </c>
      <c r="O89" s="10" t="s">
        <v>1173</v>
      </c>
      <c r="P89" s="12" t="s">
        <v>90</v>
      </c>
      <c r="Q89" s="9" t="n">
        <v>7</v>
      </c>
      <c r="R89" s="9" t="s">
        <v>74</v>
      </c>
      <c r="S89" s="10" t="s">
        <v>1174</v>
      </c>
      <c r="T89" s="10" t="s">
        <v>1175</v>
      </c>
      <c r="U89" s="10" t="s">
        <v>1176</v>
      </c>
    </row>
    <row r="90" customFormat="false" ht="108" hidden="true" customHeight="true" outlineLevel="0" collapsed="false">
      <c r="A90" s="9" t="s">
        <v>1177</v>
      </c>
      <c r="B90" s="10" t="s">
        <v>837</v>
      </c>
      <c r="C90" s="10" t="s">
        <v>1178</v>
      </c>
      <c r="D90" s="10" t="s">
        <v>1179</v>
      </c>
      <c r="E90" s="10" t="s">
        <v>1180</v>
      </c>
      <c r="F90" s="10" t="s">
        <v>1181</v>
      </c>
      <c r="G90" s="10" t="s">
        <v>1182</v>
      </c>
      <c r="H90" s="9" t="s">
        <v>1183</v>
      </c>
      <c r="I90" s="10" t="s">
        <v>1184</v>
      </c>
      <c r="J90" s="10" t="s">
        <v>1185</v>
      </c>
      <c r="K90" s="10" t="s">
        <v>1186</v>
      </c>
      <c r="L90" s="10" t="s">
        <v>1187</v>
      </c>
      <c r="M90" s="9" t="s">
        <v>133</v>
      </c>
      <c r="N90" s="9" t="s">
        <v>71</v>
      </c>
      <c r="O90" s="10" t="s">
        <v>678</v>
      </c>
      <c r="P90" s="14" t="s">
        <v>74</v>
      </c>
      <c r="Q90" s="9" t="n">
        <v>4</v>
      </c>
      <c r="R90" s="9" t="s">
        <v>90</v>
      </c>
      <c r="S90" s="10" t="s">
        <v>1188</v>
      </c>
      <c r="T90" s="10" t="s">
        <v>1189</v>
      </c>
      <c r="U90" s="10" t="s">
        <v>1190</v>
      </c>
    </row>
    <row r="91" customFormat="false" ht="108" hidden="true" customHeight="true" outlineLevel="0" collapsed="false">
      <c r="A91" s="9" t="s">
        <v>1191</v>
      </c>
      <c r="B91" s="10" t="s">
        <v>837</v>
      </c>
      <c r="C91" s="10" t="s">
        <v>1178</v>
      </c>
      <c r="D91" s="10" t="s">
        <v>1192</v>
      </c>
      <c r="E91" s="10" t="s">
        <v>1193</v>
      </c>
      <c r="F91" s="10" t="s">
        <v>1194</v>
      </c>
      <c r="G91" s="10" t="s">
        <v>1195</v>
      </c>
      <c r="H91" s="9" t="s">
        <v>1196</v>
      </c>
      <c r="I91" s="10" t="s">
        <v>1197</v>
      </c>
      <c r="J91" s="10" t="s">
        <v>1198</v>
      </c>
      <c r="K91" s="10" t="s">
        <v>1199</v>
      </c>
      <c r="L91" s="10" t="s">
        <v>1200</v>
      </c>
      <c r="M91" s="9" t="s">
        <v>133</v>
      </c>
      <c r="N91" s="9" t="s">
        <v>71</v>
      </c>
      <c r="O91" s="10" t="s">
        <v>678</v>
      </c>
      <c r="P91" s="13" t="s">
        <v>119</v>
      </c>
      <c r="Q91" s="9" t="n">
        <v>2</v>
      </c>
      <c r="R91" s="9" t="s">
        <v>90</v>
      </c>
      <c r="S91" s="10" t="s">
        <v>1201</v>
      </c>
      <c r="T91" s="10" t="s">
        <v>1202</v>
      </c>
      <c r="U91" s="10" t="s">
        <v>1203</v>
      </c>
    </row>
    <row r="92" customFormat="false" ht="108" hidden="true" customHeight="true" outlineLevel="0" collapsed="false">
      <c r="A92" s="9" t="s">
        <v>1204</v>
      </c>
      <c r="B92" s="10" t="s">
        <v>837</v>
      </c>
      <c r="C92" s="10" t="s">
        <v>1205</v>
      </c>
      <c r="D92" s="10" t="s">
        <v>1206</v>
      </c>
      <c r="E92" s="10" t="s">
        <v>1207</v>
      </c>
      <c r="F92" s="10" t="s">
        <v>1208</v>
      </c>
      <c r="G92" s="10" t="s">
        <v>1209</v>
      </c>
      <c r="H92" s="9" t="s">
        <v>1210</v>
      </c>
      <c r="I92" s="10" t="s">
        <v>1211</v>
      </c>
      <c r="J92" s="10" t="s">
        <v>1212</v>
      </c>
      <c r="K92" s="10" t="s">
        <v>1213</v>
      </c>
      <c r="L92" s="10" t="s">
        <v>1214</v>
      </c>
      <c r="M92" s="9" t="s">
        <v>677</v>
      </c>
      <c r="N92" s="9" t="s">
        <v>71</v>
      </c>
      <c r="O92" s="10" t="s">
        <v>1144</v>
      </c>
      <c r="P92" s="14" t="s">
        <v>74</v>
      </c>
      <c r="Q92" s="9" t="n">
        <v>4</v>
      </c>
      <c r="R92" s="9" t="s">
        <v>90</v>
      </c>
      <c r="S92" s="10" t="s">
        <v>1215</v>
      </c>
      <c r="T92" s="10" t="s">
        <v>1216</v>
      </c>
      <c r="U92" s="10" t="s">
        <v>1217</v>
      </c>
    </row>
    <row r="93" customFormat="false" ht="108" hidden="true" customHeight="true" outlineLevel="0" collapsed="false">
      <c r="A93" s="9" t="s">
        <v>1218</v>
      </c>
      <c r="B93" s="10" t="s">
        <v>837</v>
      </c>
      <c r="C93" s="10" t="s">
        <v>1219</v>
      </c>
      <c r="D93" s="10" t="s">
        <v>1220</v>
      </c>
      <c r="E93" s="10" t="s">
        <v>1221</v>
      </c>
      <c r="F93" s="10" t="s">
        <v>1222</v>
      </c>
      <c r="G93" s="10" t="s">
        <v>1223</v>
      </c>
      <c r="H93" s="9" t="s">
        <v>1210</v>
      </c>
      <c r="I93" s="10" t="s">
        <v>1224</v>
      </c>
      <c r="J93" s="10" t="s">
        <v>1225</v>
      </c>
      <c r="K93" s="10" t="s">
        <v>1226</v>
      </c>
      <c r="L93" s="10" t="s">
        <v>1227</v>
      </c>
      <c r="M93" s="9" t="s">
        <v>70</v>
      </c>
      <c r="N93" s="9" t="s">
        <v>71</v>
      </c>
      <c r="O93" s="10" t="s">
        <v>1228</v>
      </c>
      <c r="P93" s="14" t="s">
        <v>74</v>
      </c>
      <c r="Q93" s="9" t="n">
        <v>5</v>
      </c>
      <c r="R93" s="9" t="s">
        <v>74</v>
      </c>
      <c r="S93" s="10" t="s">
        <v>1229</v>
      </c>
      <c r="T93" s="10" t="s">
        <v>1230</v>
      </c>
      <c r="U93" s="10" t="s">
        <v>1231</v>
      </c>
    </row>
    <row r="94" customFormat="false" ht="108" hidden="true" customHeight="true" outlineLevel="0" collapsed="false">
      <c r="A94" s="9" t="s">
        <v>1232</v>
      </c>
      <c r="B94" s="10" t="s">
        <v>837</v>
      </c>
      <c r="C94" s="10" t="s">
        <v>1233</v>
      </c>
      <c r="D94" s="10" t="s">
        <v>1234</v>
      </c>
      <c r="E94" s="10" t="s">
        <v>1235</v>
      </c>
      <c r="F94" s="10" t="s">
        <v>1236</v>
      </c>
      <c r="G94" s="10" t="s">
        <v>1237</v>
      </c>
      <c r="H94" s="9" t="s">
        <v>1238</v>
      </c>
      <c r="I94" s="10" t="s">
        <v>1239</v>
      </c>
      <c r="J94" s="10" t="s">
        <v>1240</v>
      </c>
      <c r="K94" s="10" t="s">
        <v>1241</v>
      </c>
      <c r="L94" s="10" t="s">
        <v>1242</v>
      </c>
      <c r="M94" s="9" t="s">
        <v>912</v>
      </c>
      <c r="N94" s="9" t="s">
        <v>71</v>
      </c>
      <c r="O94" s="10" t="s">
        <v>118</v>
      </c>
      <c r="P94" s="11" t="s">
        <v>73</v>
      </c>
      <c r="Q94" s="9" t="n">
        <v>9</v>
      </c>
      <c r="R94" s="9" t="s">
        <v>119</v>
      </c>
      <c r="S94" s="10" t="s">
        <v>1243</v>
      </c>
      <c r="T94" s="10" t="s">
        <v>1244</v>
      </c>
      <c r="U94" s="10" t="s">
        <v>1245</v>
      </c>
    </row>
    <row r="95" customFormat="false" ht="108" hidden="false" customHeight="true" outlineLevel="0" collapsed="false">
      <c r="A95" s="9" t="s">
        <v>1246</v>
      </c>
      <c r="B95" s="10" t="s">
        <v>837</v>
      </c>
      <c r="C95" s="10" t="s">
        <v>1233</v>
      </c>
      <c r="D95" s="10" t="s">
        <v>1247</v>
      </c>
      <c r="E95" s="10" t="s">
        <v>1248</v>
      </c>
      <c r="F95" s="10" t="s">
        <v>1249</v>
      </c>
      <c r="G95" s="10" t="s">
        <v>1250</v>
      </c>
      <c r="H95" s="9" t="s">
        <v>1053</v>
      </c>
      <c r="I95" s="10" t="s">
        <v>1251</v>
      </c>
      <c r="J95" s="10" t="s">
        <v>1252</v>
      </c>
      <c r="K95" s="10" t="s">
        <v>1253</v>
      </c>
      <c r="L95" s="10" t="s">
        <v>1254</v>
      </c>
      <c r="M95" s="9" t="s">
        <v>769</v>
      </c>
      <c r="N95" s="9" t="s">
        <v>71</v>
      </c>
      <c r="O95" s="10" t="s">
        <v>118</v>
      </c>
      <c r="P95" s="12" t="s">
        <v>90</v>
      </c>
      <c r="Q95" s="9" t="n">
        <v>8</v>
      </c>
      <c r="R95" s="9" t="s">
        <v>119</v>
      </c>
      <c r="S95" s="10" t="s">
        <v>1255</v>
      </c>
      <c r="T95" s="10" t="s">
        <v>1256</v>
      </c>
      <c r="U95" s="10" t="s">
        <v>1257</v>
      </c>
    </row>
    <row r="96" customFormat="false" ht="108" hidden="false" customHeight="true" outlineLevel="0" collapsed="false">
      <c r="A96" s="9" t="s">
        <v>1258</v>
      </c>
      <c r="B96" s="10" t="s">
        <v>837</v>
      </c>
      <c r="C96" s="10" t="s">
        <v>1259</v>
      </c>
      <c r="D96" s="10" t="s">
        <v>1260</v>
      </c>
      <c r="E96" s="10" t="s">
        <v>1261</v>
      </c>
      <c r="F96" s="10" t="s">
        <v>1262</v>
      </c>
      <c r="G96" s="10" t="s">
        <v>1263</v>
      </c>
      <c r="H96" s="9" t="s">
        <v>1264</v>
      </c>
      <c r="I96" s="10" t="s">
        <v>1265</v>
      </c>
      <c r="J96" s="10" t="s">
        <v>1266</v>
      </c>
      <c r="K96" s="10" t="s">
        <v>1267</v>
      </c>
      <c r="L96" s="10" t="s">
        <v>1268</v>
      </c>
      <c r="M96" s="9" t="s">
        <v>70</v>
      </c>
      <c r="N96" s="9" t="s">
        <v>71</v>
      </c>
      <c r="O96" s="10" t="s">
        <v>118</v>
      </c>
      <c r="P96" s="12" t="s">
        <v>90</v>
      </c>
      <c r="Q96" s="9" t="n">
        <v>8</v>
      </c>
      <c r="R96" s="9" t="s">
        <v>74</v>
      </c>
      <c r="S96" s="10" t="s">
        <v>1269</v>
      </c>
      <c r="T96" s="10" t="s">
        <v>1270</v>
      </c>
      <c r="U96" s="10" t="s">
        <v>1271</v>
      </c>
    </row>
    <row r="97" customFormat="false" ht="108" hidden="true" customHeight="true" outlineLevel="0" collapsed="false">
      <c r="A97" s="9" t="s">
        <v>1272</v>
      </c>
      <c r="B97" s="10" t="s">
        <v>837</v>
      </c>
      <c r="C97" s="10" t="s">
        <v>1273</v>
      </c>
      <c r="D97" s="10" t="s">
        <v>1274</v>
      </c>
      <c r="E97" s="10" t="s">
        <v>1275</v>
      </c>
      <c r="F97" s="10" t="s">
        <v>1276</v>
      </c>
      <c r="G97" s="10" t="s">
        <v>1277</v>
      </c>
      <c r="H97" s="9" t="s">
        <v>1278</v>
      </c>
      <c r="I97" s="10" t="s">
        <v>1279</v>
      </c>
      <c r="J97" s="10" t="s">
        <v>1280</v>
      </c>
      <c r="K97" s="10" t="s">
        <v>1281</v>
      </c>
      <c r="L97" s="10" t="s">
        <v>1282</v>
      </c>
      <c r="M97" s="9" t="s">
        <v>821</v>
      </c>
      <c r="N97" s="9" t="s">
        <v>71</v>
      </c>
      <c r="O97" s="10" t="s">
        <v>118</v>
      </c>
      <c r="P97" s="14" t="s">
        <v>74</v>
      </c>
      <c r="Q97" s="9" t="n">
        <v>5</v>
      </c>
      <c r="R97" s="9" t="s">
        <v>74</v>
      </c>
      <c r="S97" s="10" t="s">
        <v>1283</v>
      </c>
      <c r="T97" s="10" t="s">
        <v>1284</v>
      </c>
      <c r="U97" s="10" t="s">
        <v>1285</v>
      </c>
    </row>
    <row r="98" customFormat="false" ht="108" hidden="true" customHeight="true" outlineLevel="0" collapsed="false">
      <c r="A98" s="9" t="s">
        <v>1286</v>
      </c>
      <c r="B98" s="10" t="s">
        <v>837</v>
      </c>
      <c r="C98" s="10" t="s">
        <v>1273</v>
      </c>
      <c r="D98" s="10" t="s">
        <v>1287</v>
      </c>
      <c r="E98" s="10" t="s">
        <v>1288</v>
      </c>
      <c r="F98" s="10" t="s">
        <v>1289</v>
      </c>
      <c r="G98" s="10" t="s">
        <v>1290</v>
      </c>
      <c r="H98" s="9" t="s">
        <v>1053</v>
      </c>
      <c r="I98" s="10" t="s">
        <v>1291</v>
      </c>
      <c r="J98" s="10" t="s">
        <v>1292</v>
      </c>
      <c r="K98" s="10" t="s">
        <v>1293</v>
      </c>
      <c r="L98" s="10" t="s">
        <v>1294</v>
      </c>
      <c r="M98" s="9" t="s">
        <v>821</v>
      </c>
      <c r="N98" s="9" t="s">
        <v>662</v>
      </c>
      <c r="O98" s="10" t="s">
        <v>118</v>
      </c>
      <c r="P98" s="14" t="s">
        <v>74</v>
      </c>
      <c r="Q98" s="9" t="n">
        <v>5</v>
      </c>
      <c r="R98" s="9" t="s">
        <v>90</v>
      </c>
      <c r="S98" s="10" t="s">
        <v>1295</v>
      </c>
      <c r="T98" s="10" t="s">
        <v>1296</v>
      </c>
      <c r="U98" s="10" t="s">
        <v>1297</v>
      </c>
    </row>
    <row r="99" customFormat="false" ht="108" hidden="true" customHeight="true" outlineLevel="0" collapsed="false">
      <c r="A99" s="9" t="s">
        <v>1298</v>
      </c>
      <c r="B99" s="10" t="s">
        <v>837</v>
      </c>
      <c r="C99" s="10" t="s">
        <v>1299</v>
      </c>
      <c r="D99" s="10" t="s">
        <v>1300</v>
      </c>
      <c r="E99" s="10" t="s">
        <v>1301</v>
      </c>
      <c r="F99" s="10" t="s">
        <v>1302</v>
      </c>
      <c r="G99" s="10" t="s">
        <v>1303</v>
      </c>
      <c r="H99" s="9" t="s">
        <v>1304</v>
      </c>
      <c r="I99" s="10" t="s">
        <v>1305</v>
      </c>
      <c r="J99" s="10" t="s">
        <v>1306</v>
      </c>
      <c r="K99" s="10" t="s">
        <v>1307</v>
      </c>
      <c r="L99" s="10" t="s">
        <v>1308</v>
      </c>
      <c r="M99" s="9" t="s">
        <v>133</v>
      </c>
      <c r="N99" s="9" t="s">
        <v>71</v>
      </c>
      <c r="O99" s="10" t="s">
        <v>1309</v>
      </c>
      <c r="P99" s="14" t="s">
        <v>74</v>
      </c>
      <c r="Q99" s="9" t="n">
        <v>4</v>
      </c>
      <c r="R99" s="9" t="s">
        <v>74</v>
      </c>
      <c r="S99" s="10" t="s">
        <v>1310</v>
      </c>
      <c r="T99" s="10" t="s">
        <v>1311</v>
      </c>
      <c r="U99" s="10" t="s">
        <v>1312</v>
      </c>
    </row>
    <row r="100" customFormat="false" ht="108" hidden="true" customHeight="true" outlineLevel="0" collapsed="false">
      <c r="A100" s="9" t="s">
        <v>1313</v>
      </c>
      <c r="B100" s="10" t="s">
        <v>837</v>
      </c>
      <c r="C100" s="10" t="s">
        <v>1314</v>
      </c>
      <c r="D100" s="10" t="s">
        <v>1315</v>
      </c>
      <c r="E100" s="10" t="s">
        <v>1316</v>
      </c>
      <c r="F100" s="10" t="s">
        <v>1317</v>
      </c>
      <c r="G100" s="10" t="s">
        <v>1318</v>
      </c>
      <c r="H100" s="9" t="s">
        <v>1264</v>
      </c>
      <c r="I100" s="10" t="s">
        <v>1319</v>
      </c>
      <c r="J100" s="10" t="s">
        <v>1320</v>
      </c>
      <c r="K100" s="10" t="s">
        <v>1321</v>
      </c>
      <c r="L100" s="10" t="s">
        <v>1322</v>
      </c>
      <c r="M100" s="9" t="s">
        <v>70</v>
      </c>
      <c r="N100" s="9" t="s">
        <v>71</v>
      </c>
      <c r="O100" s="10" t="s">
        <v>118</v>
      </c>
      <c r="P100" s="14" t="s">
        <v>74</v>
      </c>
      <c r="Q100" s="9" t="n">
        <v>5</v>
      </c>
      <c r="R100" s="9" t="s">
        <v>74</v>
      </c>
      <c r="S100" s="10" t="s">
        <v>1323</v>
      </c>
      <c r="T100" s="10" t="s">
        <v>1324</v>
      </c>
      <c r="U100" s="10" t="s">
        <v>1325</v>
      </c>
    </row>
    <row r="101" customFormat="false" ht="108" hidden="false" customHeight="true" outlineLevel="0" collapsed="false">
      <c r="A101" s="9" t="s">
        <v>1326</v>
      </c>
      <c r="B101" s="10" t="s">
        <v>837</v>
      </c>
      <c r="C101" s="10" t="s">
        <v>1327</v>
      </c>
      <c r="D101" s="10" t="s">
        <v>1328</v>
      </c>
      <c r="E101" s="10" t="s">
        <v>1329</v>
      </c>
      <c r="F101" s="10" t="s">
        <v>1330</v>
      </c>
      <c r="G101" s="10" t="s">
        <v>1331</v>
      </c>
      <c r="H101" s="9" t="s">
        <v>1332</v>
      </c>
      <c r="I101" s="10" t="s">
        <v>1333</v>
      </c>
      <c r="J101" s="10" t="s">
        <v>1334</v>
      </c>
      <c r="K101" s="10" t="s">
        <v>1335</v>
      </c>
      <c r="L101" s="10" t="s">
        <v>1336</v>
      </c>
      <c r="M101" s="9" t="s">
        <v>821</v>
      </c>
      <c r="N101" s="9" t="s">
        <v>71</v>
      </c>
      <c r="O101" s="10" t="s">
        <v>118</v>
      </c>
      <c r="P101" s="12" t="s">
        <v>90</v>
      </c>
      <c r="Q101" s="9" t="n">
        <v>7</v>
      </c>
      <c r="R101" s="9" t="s">
        <v>119</v>
      </c>
      <c r="S101" s="10" t="s">
        <v>1337</v>
      </c>
      <c r="T101" s="10" t="s">
        <v>1338</v>
      </c>
      <c r="U101" s="10" t="s">
        <v>1339</v>
      </c>
    </row>
    <row r="102" customFormat="false" ht="108" hidden="false" customHeight="true" outlineLevel="0" collapsed="false">
      <c r="A102" s="9" t="s">
        <v>1340</v>
      </c>
      <c r="B102" s="10" t="s">
        <v>837</v>
      </c>
      <c r="C102" s="10" t="s">
        <v>1341</v>
      </c>
      <c r="D102" s="10" t="s">
        <v>1342</v>
      </c>
      <c r="E102" s="10" t="s">
        <v>1343</v>
      </c>
      <c r="F102" s="10" t="s">
        <v>1344</v>
      </c>
      <c r="G102" s="10" t="s">
        <v>1345</v>
      </c>
      <c r="H102" s="9" t="s">
        <v>1346</v>
      </c>
      <c r="I102" s="10" t="s">
        <v>1347</v>
      </c>
      <c r="J102" s="10" t="s">
        <v>1348</v>
      </c>
      <c r="K102" s="10" t="s">
        <v>1349</v>
      </c>
      <c r="L102" s="10" t="s">
        <v>1350</v>
      </c>
      <c r="M102" s="9" t="s">
        <v>70</v>
      </c>
      <c r="N102" s="9" t="s">
        <v>71</v>
      </c>
      <c r="O102" s="10" t="s">
        <v>118</v>
      </c>
      <c r="P102" s="12" t="s">
        <v>90</v>
      </c>
      <c r="Q102" s="9" t="n">
        <v>7</v>
      </c>
      <c r="R102" s="9" t="s">
        <v>74</v>
      </c>
      <c r="S102" s="10" t="s">
        <v>1351</v>
      </c>
      <c r="T102" s="10" t="s">
        <v>1352</v>
      </c>
      <c r="U102" s="10" t="s">
        <v>1353</v>
      </c>
    </row>
    <row r="103" customFormat="false" ht="108" hidden="true" customHeight="true" outlineLevel="0" collapsed="false">
      <c r="A103" s="9" t="s">
        <v>1354</v>
      </c>
      <c r="B103" s="10" t="s">
        <v>837</v>
      </c>
      <c r="C103" s="10" t="s">
        <v>1355</v>
      </c>
      <c r="D103" s="10" t="s">
        <v>1356</v>
      </c>
      <c r="E103" s="10" t="s">
        <v>1357</v>
      </c>
      <c r="F103" s="10" t="s">
        <v>1358</v>
      </c>
      <c r="G103" s="10" t="s">
        <v>1359</v>
      </c>
      <c r="H103" s="9" t="s">
        <v>1360</v>
      </c>
      <c r="I103" s="10" t="s">
        <v>1361</v>
      </c>
      <c r="J103" s="10" t="s">
        <v>1362</v>
      </c>
      <c r="K103" s="10" t="s">
        <v>1363</v>
      </c>
      <c r="L103" s="10" t="s">
        <v>1364</v>
      </c>
      <c r="M103" s="9" t="s">
        <v>133</v>
      </c>
      <c r="N103" s="9" t="s">
        <v>71</v>
      </c>
      <c r="O103" s="10" t="s">
        <v>118</v>
      </c>
      <c r="P103" s="11" t="s">
        <v>73</v>
      </c>
      <c r="Q103" s="9" t="n">
        <v>9</v>
      </c>
      <c r="R103" s="9" t="s">
        <v>74</v>
      </c>
      <c r="S103" s="10" t="s">
        <v>1365</v>
      </c>
      <c r="T103" s="10" t="s">
        <v>1366</v>
      </c>
      <c r="U103" s="10" t="s">
        <v>1367</v>
      </c>
    </row>
    <row r="104" customFormat="false" ht="108" hidden="true" customHeight="true" outlineLevel="0" collapsed="false">
      <c r="A104" s="9" t="s">
        <v>1368</v>
      </c>
      <c r="B104" s="10" t="s">
        <v>837</v>
      </c>
      <c r="C104" s="10" t="s">
        <v>1369</v>
      </c>
      <c r="D104" s="10" t="s">
        <v>1370</v>
      </c>
      <c r="E104" s="10" t="s">
        <v>1371</v>
      </c>
      <c r="F104" s="10" t="s">
        <v>1372</v>
      </c>
      <c r="G104" s="10" t="s">
        <v>1373</v>
      </c>
      <c r="H104" s="9" t="s">
        <v>1210</v>
      </c>
      <c r="I104" s="10" t="s">
        <v>1374</v>
      </c>
      <c r="J104" s="10" t="s">
        <v>1375</v>
      </c>
      <c r="K104" s="10" t="s">
        <v>1376</v>
      </c>
      <c r="L104" s="10" t="s">
        <v>1377</v>
      </c>
      <c r="M104" s="9" t="s">
        <v>70</v>
      </c>
      <c r="N104" s="9" t="s">
        <v>71</v>
      </c>
      <c r="O104" s="10" t="s">
        <v>118</v>
      </c>
      <c r="P104" s="14" t="s">
        <v>74</v>
      </c>
      <c r="Q104" s="9" t="n">
        <v>5</v>
      </c>
      <c r="R104" s="9" t="s">
        <v>90</v>
      </c>
      <c r="S104" s="10" t="s">
        <v>1378</v>
      </c>
      <c r="T104" s="10" t="s">
        <v>1379</v>
      </c>
      <c r="U104" s="10" t="s">
        <v>1380</v>
      </c>
    </row>
    <row r="105" customFormat="false" ht="108" hidden="true" customHeight="true" outlineLevel="0" collapsed="false">
      <c r="A105" s="9" t="s">
        <v>1381</v>
      </c>
      <c r="B105" s="10" t="s">
        <v>837</v>
      </c>
      <c r="C105" s="10" t="s">
        <v>1327</v>
      </c>
      <c r="D105" s="10" t="s">
        <v>1382</v>
      </c>
      <c r="E105" s="10" t="s">
        <v>1383</v>
      </c>
      <c r="F105" s="10" t="s">
        <v>1384</v>
      </c>
      <c r="G105" s="10" t="s">
        <v>1385</v>
      </c>
      <c r="H105" s="9" t="s">
        <v>1386</v>
      </c>
      <c r="I105" s="10" t="s">
        <v>1387</v>
      </c>
      <c r="J105" s="10" t="s">
        <v>1388</v>
      </c>
      <c r="K105" s="10" t="s">
        <v>1389</v>
      </c>
      <c r="L105" s="10" t="s">
        <v>1390</v>
      </c>
      <c r="M105" s="9" t="s">
        <v>677</v>
      </c>
      <c r="N105" s="9" t="s">
        <v>71</v>
      </c>
      <c r="O105" s="10" t="s">
        <v>1391</v>
      </c>
      <c r="P105" s="14" t="s">
        <v>74</v>
      </c>
      <c r="Q105" s="9" t="n">
        <v>3</v>
      </c>
      <c r="R105" s="9" t="s">
        <v>74</v>
      </c>
      <c r="S105" s="10" t="s">
        <v>1392</v>
      </c>
      <c r="T105" s="10" t="s">
        <v>1393</v>
      </c>
      <c r="U105" s="10" t="s">
        <v>1394</v>
      </c>
    </row>
    <row r="106" customFormat="false" ht="108" hidden="true" customHeight="true" outlineLevel="0" collapsed="false">
      <c r="A106" s="9" t="s">
        <v>1395</v>
      </c>
      <c r="B106" s="10" t="s">
        <v>837</v>
      </c>
      <c r="C106" s="10" t="s">
        <v>1396</v>
      </c>
      <c r="D106" s="10" t="s">
        <v>1397</v>
      </c>
      <c r="E106" s="10" t="s">
        <v>1398</v>
      </c>
      <c r="F106" s="10" t="s">
        <v>1399</v>
      </c>
      <c r="G106" s="10" t="s">
        <v>1400</v>
      </c>
      <c r="H106" s="9" t="s">
        <v>1053</v>
      </c>
      <c r="I106" s="10" t="s">
        <v>1401</v>
      </c>
      <c r="J106" s="10" t="s">
        <v>1402</v>
      </c>
      <c r="K106" s="10" t="s">
        <v>1376</v>
      </c>
      <c r="L106" s="10" t="s">
        <v>1403</v>
      </c>
      <c r="M106" s="9" t="s">
        <v>70</v>
      </c>
      <c r="N106" s="9" t="s">
        <v>71</v>
      </c>
      <c r="O106" s="10" t="s">
        <v>118</v>
      </c>
      <c r="P106" s="14" t="s">
        <v>74</v>
      </c>
      <c r="Q106" s="9" t="n">
        <v>5</v>
      </c>
      <c r="R106" s="9" t="s">
        <v>74</v>
      </c>
      <c r="S106" s="10" t="s">
        <v>1404</v>
      </c>
      <c r="T106" s="10" t="s">
        <v>1405</v>
      </c>
      <c r="U106" s="10" t="s">
        <v>1406</v>
      </c>
    </row>
    <row r="107" customFormat="false" ht="108" hidden="false" customHeight="true" outlineLevel="0" collapsed="false">
      <c r="A107" s="9" t="s">
        <v>1407</v>
      </c>
      <c r="B107" s="10" t="s">
        <v>837</v>
      </c>
      <c r="C107" s="10" t="s">
        <v>1408</v>
      </c>
      <c r="D107" s="10" t="s">
        <v>1409</v>
      </c>
      <c r="E107" s="10" t="s">
        <v>1410</v>
      </c>
      <c r="F107" s="10" t="s">
        <v>1411</v>
      </c>
      <c r="G107" s="10" t="s">
        <v>1412</v>
      </c>
      <c r="H107" s="9" t="s">
        <v>1210</v>
      </c>
      <c r="I107" s="10" t="s">
        <v>1413</v>
      </c>
      <c r="J107" s="10" t="s">
        <v>1414</v>
      </c>
      <c r="K107" s="10" t="s">
        <v>1415</v>
      </c>
      <c r="L107" s="10" t="s">
        <v>1416</v>
      </c>
      <c r="M107" s="9" t="s">
        <v>677</v>
      </c>
      <c r="N107" s="9" t="s">
        <v>71</v>
      </c>
      <c r="O107" s="10" t="s">
        <v>118</v>
      </c>
      <c r="P107" s="12" t="s">
        <v>90</v>
      </c>
      <c r="Q107" s="9" t="n">
        <v>6</v>
      </c>
      <c r="R107" s="9" t="s">
        <v>74</v>
      </c>
      <c r="S107" s="10" t="s">
        <v>1417</v>
      </c>
      <c r="T107" s="10" t="s">
        <v>1418</v>
      </c>
      <c r="U107" s="10" t="s">
        <v>1419</v>
      </c>
    </row>
    <row r="108" customFormat="false" ht="108" hidden="true" customHeight="true" outlineLevel="0" collapsed="false">
      <c r="A108" s="9" t="s">
        <v>1420</v>
      </c>
      <c r="B108" s="10" t="s">
        <v>837</v>
      </c>
      <c r="C108" s="10" t="s">
        <v>1408</v>
      </c>
      <c r="D108" s="10" t="s">
        <v>1421</v>
      </c>
      <c r="E108" s="10" t="s">
        <v>1422</v>
      </c>
      <c r="F108" s="10" t="s">
        <v>1423</v>
      </c>
      <c r="G108" s="10" t="s">
        <v>1424</v>
      </c>
      <c r="H108" s="9" t="s">
        <v>618</v>
      </c>
      <c r="I108" s="10" t="s">
        <v>1425</v>
      </c>
      <c r="J108" s="10" t="s">
        <v>1426</v>
      </c>
      <c r="K108" s="10" t="s">
        <v>1427</v>
      </c>
      <c r="L108" s="10" t="s">
        <v>1428</v>
      </c>
      <c r="M108" s="9" t="s">
        <v>821</v>
      </c>
      <c r="N108" s="9" t="s">
        <v>117</v>
      </c>
      <c r="O108" s="10" t="s">
        <v>118</v>
      </c>
      <c r="P108" s="14" t="s">
        <v>74</v>
      </c>
      <c r="Q108" s="9" t="n">
        <v>4</v>
      </c>
      <c r="R108" s="9" t="s">
        <v>74</v>
      </c>
      <c r="S108" s="10" t="s">
        <v>1429</v>
      </c>
      <c r="T108" s="10" t="s">
        <v>1430</v>
      </c>
      <c r="U108" s="10" t="s">
        <v>1431</v>
      </c>
    </row>
    <row r="109" customFormat="false" ht="108" hidden="true" customHeight="true" outlineLevel="0" collapsed="false">
      <c r="A109" s="9" t="s">
        <v>1432</v>
      </c>
      <c r="B109" s="10" t="s">
        <v>837</v>
      </c>
      <c r="C109" s="10" t="s">
        <v>1433</v>
      </c>
      <c r="D109" s="10" t="s">
        <v>1434</v>
      </c>
      <c r="E109" s="10" t="s">
        <v>1435</v>
      </c>
      <c r="F109" s="10" t="s">
        <v>1436</v>
      </c>
      <c r="G109" s="10" t="s">
        <v>1437</v>
      </c>
      <c r="H109" s="9" t="s">
        <v>1438</v>
      </c>
      <c r="I109" s="10" t="s">
        <v>1439</v>
      </c>
      <c r="J109" s="10" t="s">
        <v>1440</v>
      </c>
      <c r="K109" s="10" t="s">
        <v>1441</v>
      </c>
      <c r="L109" s="10" t="s">
        <v>1442</v>
      </c>
      <c r="M109" s="9" t="s">
        <v>769</v>
      </c>
      <c r="N109" s="9" t="s">
        <v>274</v>
      </c>
      <c r="O109" s="10" t="s">
        <v>118</v>
      </c>
      <c r="P109" s="13" t="s">
        <v>119</v>
      </c>
      <c r="Q109" s="9" t="n">
        <v>2</v>
      </c>
      <c r="R109" s="9" t="s">
        <v>90</v>
      </c>
      <c r="S109" s="10" t="s">
        <v>1443</v>
      </c>
      <c r="T109" s="10" t="s">
        <v>1444</v>
      </c>
      <c r="U109" s="10" t="s">
        <v>1445</v>
      </c>
    </row>
    <row r="110" customFormat="false" ht="108" hidden="false" customHeight="true" outlineLevel="0" collapsed="false">
      <c r="A110" s="9" t="s">
        <v>1446</v>
      </c>
      <c r="B110" s="10" t="s">
        <v>837</v>
      </c>
      <c r="C110" s="10" t="s">
        <v>1447</v>
      </c>
      <c r="D110" s="10" t="s">
        <v>1448</v>
      </c>
      <c r="E110" s="10" t="s">
        <v>1449</v>
      </c>
      <c r="F110" s="10" t="s">
        <v>1450</v>
      </c>
      <c r="G110" s="10" t="s">
        <v>1451</v>
      </c>
      <c r="H110" s="9" t="s">
        <v>1452</v>
      </c>
      <c r="I110" s="10" t="s">
        <v>1453</v>
      </c>
      <c r="J110" s="10" t="s">
        <v>1454</v>
      </c>
      <c r="K110" s="10" t="s">
        <v>1455</v>
      </c>
      <c r="L110" s="10" t="s">
        <v>1456</v>
      </c>
      <c r="M110" s="9" t="s">
        <v>821</v>
      </c>
      <c r="N110" s="9" t="s">
        <v>274</v>
      </c>
      <c r="O110" s="10" t="s">
        <v>72</v>
      </c>
      <c r="P110" s="12" t="s">
        <v>90</v>
      </c>
      <c r="Q110" s="9" t="n">
        <v>7</v>
      </c>
      <c r="R110" s="9" t="s">
        <v>74</v>
      </c>
      <c r="S110" s="10" t="s">
        <v>1457</v>
      </c>
      <c r="T110" s="10" t="s">
        <v>1458</v>
      </c>
      <c r="U110" s="10" t="s">
        <v>1459</v>
      </c>
    </row>
    <row r="111" customFormat="false" ht="108" hidden="true" customHeight="true" outlineLevel="0" collapsed="false">
      <c r="A111" s="9" t="s">
        <v>1460</v>
      </c>
      <c r="B111" s="10" t="s">
        <v>837</v>
      </c>
      <c r="C111" s="10" t="s">
        <v>1447</v>
      </c>
      <c r="D111" s="10" t="s">
        <v>1461</v>
      </c>
      <c r="E111" s="10" t="s">
        <v>1462</v>
      </c>
      <c r="F111" s="10" t="s">
        <v>1463</v>
      </c>
      <c r="G111" s="10" t="s">
        <v>1464</v>
      </c>
      <c r="H111" s="9" t="s">
        <v>1465</v>
      </c>
      <c r="I111" s="10" t="s">
        <v>1466</v>
      </c>
      <c r="J111" s="10" t="s">
        <v>1467</v>
      </c>
      <c r="K111" s="10" t="s">
        <v>1468</v>
      </c>
      <c r="L111" s="10" t="s">
        <v>1469</v>
      </c>
      <c r="M111" s="9" t="s">
        <v>677</v>
      </c>
      <c r="N111" s="9" t="s">
        <v>274</v>
      </c>
      <c r="O111" s="10" t="s">
        <v>118</v>
      </c>
      <c r="P111" s="11" t="s">
        <v>73</v>
      </c>
      <c r="Q111" s="9" t="n">
        <v>10</v>
      </c>
      <c r="R111" s="9" t="s">
        <v>119</v>
      </c>
      <c r="S111" s="10" t="s">
        <v>1470</v>
      </c>
      <c r="T111" s="10" t="s">
        <v>1471</v>
      </c>
      <c r="U111" s="10" t="s">
        <v>1472</v>
      </c>
    </row>
    <row r="112" customFormat="false" ht="108" hidden="false" customHeight="true" outlineLevel="0" collapsed="false">
      <c r="A112" s="9" t="s">
        <v>1473</v>
      </c>
      <c r="B112" s="10" t="s">
        <v>837</v>
      </c>
      <c r="C112" s="10" t="s">
        <v>1447</v>
      </c>
      <c r="D112" s="10" t="s">
        <v>1474</v>
      </c>
      <c r="E112" s="10" t="s">
        <v>1475</v>
      </c>
      <c r="F112" s="10" t="s">
        <v>1476</v>
      </c>
      <c r="G112" s="10" t="s">
        <v>1477</v>
      </c>
      <c r="H112" s="9" t="s">
        <v>1478</v>
      </c>
      <c r="I112" s="10" t="s">
        <v>1479</v>
      </c>
      <c r="J112" s="10" t="s">
        <v>1480</v>
      </c>
      <c r="K112" s="10" t="s">
        <v>1481</v>
      </c>
      <c r="L112" s="10" t="s">
        <v>1482</v>
      </c>
      <c r="M112" s="9" t="s">
        <v>677</v>
      </c>
      <c r="N112" s="9" t="s">
        <v>274</v>
      </c>
      <c r="O112" s="10" t="s">
        <v>1391</v>
      </c>
      <c r="P112" s="12" t="s">
        <v>90</v>
      </c>
      <c r="Q112" s="9" t="n">
        <v>8</v>
      </c>
      <c r="R112" s="9" t="s">
        <v>119</v>
      </c>
      <c r="S112" s="10" t="s">
        <v>1483</v>
      </c>
      <c r="T112" s="10" t="s">
        <v>1484</v>
      </c>
      <c r="U112" s="10" t="s">
        <v>1485</v>
      </c>
    </row>
    <row r="113" customFormat="false" ht="108" hidden="false" customHeight="true" outlineLevel="0" collapsed="false">
      <c r="A113" s="9" t="s">
        <v>1486</v>
      </c>
      <c r="B113" s="10" t="s">
        <v>837</v>
      </c>
      <c r="C113" s="10" t="s">
        <v>1447</v>
      </c>
      <c r="D113" s="10" t="s">
        <v>1487</v>
      </c>
      <c r="E113" s="10" t="s">
        <v>1488</v>
      </c>
      <c r="F113" s="10" t="s">
        <v>1489</v>
      </c>
      <c r="G113" s="10" t="s">
        <v>1490</v>
      </c>
      <c r="H113" s="9" t="s">
        <v>1491</v>
      </c>
      <c r="I113" s="10" t="s">
        <v>1492</v>
      </c>
      <c r="J113" s="10" t="s">
        <v>1493</v>
      </c>
      <c r="K113" s="10" t="s">
        <v>1494</v>
      </c>
      <c r="L113" s="10" t="s">
        <v>1495</v>
      </c>
      <c r="M113" s="9" t="s">
        <v>677</v>
      </c>
      <c r="N113" s="9" t="s">
        <v>71</v>
      </c>
      <c r="O113" s="10" t="s">
        <v>118</v>
      </c>
      <c r="P113" s="12" t="s">
        <v>90</v>
      </c>
      <c r="Q113" s="9" t="n">
        <v>8</v>
      </c>
      <c r="R113" s="9" t="s">
        <v>74</v>
      </c>
      <c r="S113" s="10" t="s">
        <v>1496</v>
      </c>
      <c r="T113" s="10" t="s">
        <v>1497</v>
      </c>
      <c r="U113" s="10" t="s">
        <v>1498</v>
      </c>
    </row>
    <row r="114" customFormat="false" ht="108" hidden="false" customHeight="true" outlineLevel="0" collapsed="false">
      <c r="A114" s="9" t="s">
        <v>1499</v>
      </c>
      <c r="B114" s="10" t="s">
        <v>1500</v>
      </c>
      <c r="C114" s="10" t="s">
        <v>1501</v>
      </c>
      <c r="D114" s="10" t="s">
        <v>1502</v>
      </c>
      <c r="E114" s="10" t="s">
        <v>1503</v>
      </c>
      <c r="F114" s="10" t="s">
        <v>1504</v>
      </c>
      <c r="G114" s="10" t="s">
        <v>1505</v>
      </c>
      <c r="H114" s="9" t="s">
        <v>868</v>
      </c>
      <c r="I114" s="10" t="s">
        <v>1506</v>
      </c>
      <c r="J114" s="10" t="s">
        <v>1507</v>
      </c>
      <c r="K114" s="10" t="s">
        <v>1508</v>
      </c>
      <c r="L114" s="10" t="s">
        <v>1509</v>
      </c>
      <c r="M114" s="9" t="s">
        <v>821</v>
      </c>
      <c r="N114" s="9" t="s">
        <v>71</v>
      </c>
      <c r="O114" s="10" t="s">
        <v>72</v>
      </c>
      <c r="P114" s="12" t="s">
        <v>90</v>
      </c>
      <c r="Q114" s="9" t="n">
        <v>7</v>
      </c>
      <c r="R114" s="9" t="s">
        <v>74</v>
      </c>
      <c r="S114" s="10" t="s">
        <v>1510</v>
      </c>
      <c r="T114" s="10" t="s">
        <v>1511</v>
      </c>
      <c r="U114" s="10" t="s">
        <v>1512</v>
      </c>
    </row>
    <row r="115" customFormat="false" ht="108" hidden="true" customHeight="true" outlineLevel="0" collapsed="false">
      <c r="A115" s="9" t="s">
        <v>1513</v>
      </c>
      <c r="B115" s="10" t="s">
        <v>1500</v>
      </c>
      <c r="C115" s="10" t="s">
        <v>1514</v>
      </c>
      <c r="D115" s="10" t="s">
        <v>1515</v>
      </c>
      <c r="E115" s="10" t="s">
        <v>1516</v>
      </c>
      <c r="F115" s="10" t="s">
        <v>1517</v>
      </c>
      <c r="G115" s="10" t="s">
        <v>1518</v>
      </c>
      <c r="H115" s="9" t="s">
        <v>987</v>
      </c>
      <c r="I115" s="10" t="s">
        <v>1519</v>
      </c>
      <c r="J115" s="10" t="s">
        <v>1520</v>
      </c>
      <c r="K115" s="10" t="s">
        <v>1521</v>
      </c>
      <c r="L115" s="10" t="s">
        <v>1522</v>
      </c>
      <c r="M115" s="9" t="s">
        <v>821</v>
      </c>
      <c r="N115" s="9" t="s">
        <v>71</v>
      </c>
      <c r="O115" s="10" t="s">
        <v>275</v>
      </c>
      <c r="P115" s="13" t="s">
        <v>119</v>
      </c>
      <c r="Q115" s="9" t="n">
        <v>2</v>
      </c>
      <c r="R115" s="9" t="s">
        <v>90</v>
      </c>
      <c r="S115" s="10" t="s">
        <v>1523</v>
      </c>
      <c r="T115" s="10" t="s">
        <v>1524</v>
      </c>
      <c r="U115" s="10" t="s">
        <v>1525</v>
      </c>
    </row>
    <row r="116" customFormat="false" ht="108" hidden="true" customHeight="true" outlineLevel="0" collapsed="false">
      <c r="A116" s="9" t="s">
        <v>1526</v>
      </c>
      <c r="B116" s="10" t="s">
        <v>1500</v>
      </c>
      <c r="C116" s="10" t="s">
        <v>1527</v>
      </c>
      <c r="D116" s="10" t="s">
        <v>1528</v>
      </c>
      <c r="E116" s="10" t="s">
        <v>1529</v>
      </c>
      <c r="F116" s="10" t="s">
        <v>1530</v>
      </c>
      <c r="G116" s="10" t="s">
        <v>1531</v>
      </c>
      <c r="H116" s="9" t="s">
        <v>112</v>
      </c>
      <c r="I116" s="10" t="s">
        <v>1532</v>
      </c>
      <c r="J116" s="10" t="s">
        <v>1533</v>
      </c>
      <c r="K116" s="10" t="s">
        <v>1534</v>
      </c>
      <c r="L116" s="10" t="s">
        <v>1535</v>
      </c>
      <c r="M116" s="9" t="s">
        <v>70</v>
      </c>
      <c r="N116" s="9" t="s">
        <v>71</v>
      </c>
      <c r="O116" s="10" t="s">
        <v>275</v>
      </c>
      <c r="P116" s="14" t="s">
        <v>74</v>
      </c>
      <c r="Q116" s="9" t="n">
        <v>4</v>
      </c>
      <c r="R116" s="9" t="s">
        <v>90</v>
      </c>
      <c r="S116" s="10" t="s">
        <v>1536</v>
      </c>
      <c r="T116" s="10" t="s">
        <v>1537</v>
      </c>
      <c r="U116" s="10" t="s">
        <v>1538</v>
      </c>
    </row>
    <row r="117" customFormat="false" ht="108" hidden="false" customHeight="true" outlineLevel="0" collapsed="false">
      <c r="A117" s="9" t="s">
        <v>1539</v>
      </c>
      <c r="B117" s="10" t="s">
        <v>1500</v>
      </c>
      <c r="C117" s="10" t="s">
        <v>1540</v>
      </c>
      <c r="D117" s="10" t="s">
        <v>1541</v>
      </c>
      <c r="E117" s="10" t="s">
        <v>1542</v>
      </c>
      <c r="F117" s="10" t="s">
        <v>1543</v>
      </c>
      <c r="G117" s="10" t="s">
        <v>1544</v>
      </c>
      <c r="H117" s="9" t="s">
        <v>84</v>
      </c>
      <c r="I117" s="10" t="s">
        <v>1545</v>
      </c>
      <c r="J117" s="10" t="s">
        <v>1546</v>
      </c>
      <c r="K117" s="10" t="s">
        <v>1547</v>
      </c>
      <c r="L117" s="10" t="s">
        <v>977</v>
      </c>
      <c r="M117" s="9" t="s">
        <v>70</v>
      </c>
      <c r="N117" s="9" t="s">
        <v>117</v>
      </c>
      <c r="O117" s="10" t="s">
        <v>1173</v>
      </c>
      <c r="P117" s="12" t="s">
        <v>90</v>
      </c>
      <c r="Q117" s="9" t="n">
        <v>6</v>
      </c>
      <c r="R117" s="9" t="s">
        <v>74</v>
      </c>
      <c r="S117" s="10" t="s">
        <v>1548</v>
      </c>
      <c r="T117" s="10" t="s">
        <v>1549</v>
      </c>
      <c r="U117" s="10" t="s">
        <v>1550</v>
      </c>
    </row>
    <row r="118" customFormat="false" ht="108" hidden="true" customHeight="true" outlineLevel="0" collapsed="false">
      <c r="A118" s="9" t="s">
        <v>1551</v>
      </c>
      <c r="B118" s="10" t="s">
        <v>1500</v>
      </c>
      <c r="C118" s="10" t="s">
        <v>1540</v>
      </c>
      <c r="D118" s="10" t="s">
        <v>1552</v>
      </c>
      <c r="E118" s="10" t="s">
        <v>1553</v>
      </c>
      <c r="F118" s="10" t="s">
        <v>1554</v>
      </c>
      <c r="G118" s="10" t="s">
        <v>1555</v>
      </c>
      <c r="H118" s="9" t="s">
        <v>84</v>
      </c>
      <c r="I118" s="10" t="s">
        <v>1556</v>
      </c>
      <c r="J118" s="10" t="s">
        <v>1557</v>
      </c>
      <c r="K118" s="10" t="s">
        <v>1558</v>
      </c>
      <c r="L118" s="10" t="s">
        <v>1559</v>
      </c>
      <c r="M118" s="9" t="s">
        <v>821</v>
      </c>
      <c r="N118" s="9" t="s">
        <v>71</v>
      </c>
      <c r="O118" s="10" t="s">
        <v>1560</v>
      </c>
      <c r="P118" s="14" t="s">
        <v>74</v>
      </c>
      <c r="Q118" s="9" t="n">
        <v>5</v>
      </c>
      <c r="R118" s="9" t="s">
        <v>74</v>
      </c>
      <c r="S118" s="10" t="s">
        <v>1561</v>
      </c>
      <c r="T118" s="10" t="s">
        <v>1562</v>
      </c>
      <c r="U118" s="10" t="s">
        <v>1563</v>
      </c>
    </row>
    <row r="119" customFormat="false" ht="108" hidden="true" customHeight="true" outlineLevel="0" collapsed="false">
      <c r="A119" s="9" t="s">
        <v>1564</v>
      </c>
      <c r="B119" s="10" t="s">
        <v>1500</v>
      </c>
      <c r="C119" s="10" t="s">
        <v>1540</v>
      </c>
      <c r="D119" s="10" t="s">
        <v>1565</v>
      </c>
      <c r="E119" s="10" t="s">
        <v>1566</v>
      </c>
      <c r="F119" s="10" t="s">
        <v>1567</v>
      </c>
      <c r="G119" s="10" t="s">
        <v>1568</v>
      </c>
      <c r="H119" s="9" t="s">
        <v>618</v>
      </c>
      <c r="I119" s="10" t="s">
        <v>1569</v>
      </c>
      <c r="J119" s="10" t="s">
        <v>1570</v>
      </c>
      <c r="K119" s="10" t="s">
        <v>1094</v>
      </c>
      <c r="L119" s="10" t="s">
        <v>1571</v>
      </c>
      <c r="M119" s="9" t="s">
        <v>821</v>
      </c>
      <c r="N119" s="9" t="s">
        <v>71</v>
      </c>
      <c r="O119" s="10" t="s">
        <v>1173</v>
      </c>
      <c r="P119" s="11" t="s">
        <v>73</v>
      </c>
      <c r="Q119" s="9" t="n">
        <v>9</v>
      </c>
      <c r="R119" s="9" t="s">
        <v>119</v>
      </c>
      <c r="S119" s="10" t="s">
        <v>1572</v>
      </c>
      <c r="T119" s="10" t="s">
        <v>1573</v>
      </c>
      <c r="U119" s="10" t="s">
        <v>1574</v>
      </c>
    </row>
    <row r="120" customFormat="false" ht="108" hidden="true" customHeight="true" outlineLevel="0" collapsed="false">
      <c r="A120" s="9" t="s">
        <v>1575</v>
      </c>
      <c r="B120" s="10" t="s">
        <v>1500</v>
      </c>
      <c r="C120" s="10" t="s">
        <v>1576</v>
      </c>
      <c r="D120" s="10" t="s">
        <v>1577</v>
      </c>
      <c r="E120" s="10" t="s">
        <v>1578</v>
      </c>
      <c r="F120" s="10" t="s">
        <v>1579</v>
      </c>
      <c r="G120" s="10" t="s">
        <v>1580</v>
      </c>
      <c r="H120" s="9" t="s">
        <v>868</v>
      </c>
      <c r="I120" s="10" t="s">
        <v>1581</v>
      </c>
      <c r="J120" s="10" t="s">
        <v>1582</v>
      </c>
      <c r="K120" s="10" t="s">
        <v>1583</v>
      </c>
      <c r="L120" s="10" t="s">
        <v>1584</v>
      </c>
      <c r="M120" s="9" t="s">
        <v>133</v>
      </c>
      <c r="N120" s="9" t="s">
        <v>71</v>
      </c>
      <c r="O120" s="10" t="s">
        <v>72</v>
      </c>
      <c r="P120" s="14" t="s">
        <v>74</v>
      </c>
      <c r="Q120" s="9" t="n">
        <v>5</v>
      </c>
      <c r="R120" s="9" t="s">
        <v>74</v>
      </c>
      <c r="S120" s="10" t="s">
        <v>1585</v>
      </c>
      <c r="T120" s="10" t="s">
        <v>1586</v>
      </c>
      <c r="U120" s="10" t="s">
        <v>1587</v>
      </c>
    </row>
    <row r="121" customFormat="false" ht="108" hidden="true" customHeight="true" outlineLevel="0" collapsed="false">
      <c r="A121" s="9" t="s">
        <v>1588</v>
      </c>
      <c r="B121" s="10" t="s">
        <v>1500</v>
      </c>
      <c r="C121" s="10" t="s">
        <v>1589</v>
      </c>
      <c r="D121" s="10" t="s">
        <v>1590</v>
      </c>
      <c r="E121" s="10" t="s">
        <v>1591</v>
      </c>
      <c r="F121" s="10" t="s">
        <v>1592</v>
      </c>
      <c r="G121" s="10" t="s">
        <v>1593</v>
      </c>
      <c r="H121" s="9" t="s">
        <v>868</v>
      </c>
      <c r="I121" s="10" t="s">
        <v>1594</v>
      </c>
      <c r="J121" s="10" t="s">
        <v>1595</v>
      </c>
      <c r="K121" s="10" t="s">
        <v>1596</v>
      </c>
      <c r="L121" s="10" t="s">
        <v>1597</v>
      </c>
      <c r="M121" s="9" t="s">
        <v>661</v>
      </c>
      <c r="N121" s="9" t="s">
        <v>662</v>
      </c>
      <c r="O121" s="10" t="s">
        <v>72</v>
      </c>
      <c r="P121" s="14" t="s">
        <v>74</v>
      </c>
      <c r="Q121" s="9" t="n">
        <v>5</v>
      </c>
      <c r="R121" s="9" t="s">
        <v>74</v>
      </c>
      <c r="S121" s="10" t="s">
        <v>1598</v>
      </c>
      <c r="T121" s="10" t="s">
        <v>1599</v>
      </c>
      <c r="U121" s="10" t="s">
        <v>1600</v>
      </c>
    </row>
    <row r="122" customFormat="false" ht="108" hidden="true" customHeight="true" outlineLevel="0" collapsed="false">
      <c r="A122" s="9" t="s">
        <v>1601</v>
      </c>
      <c r="B122" s="10" t="s">
        <v>1500</v>
      </c>
      <c r="C122" s="10" t="s">
        <v>1602</v>
      </c>
      <c r="D122" s="10" t="s">
        <v>1603</v>
      </c>
      <c r="E122" s="10" t="s">
        <v>1604</v>
      </c>
      <c r="F122" s="10" t="s">
        <v>1605</v>
      </c>
      <c r="G122" s="10" t="s">
        <v>1606</v>
      </c>
      <c r="H122" s="9" t="s">
        <v>112</v>
      </c>
      <c r="I122" s="10" t="s">
        <v>1607</v>
      </c>
      <c r="J122" s="10" t="s">
        <v>1608</v>
      </c>
      <c r="K122" s="10" t="s">
        <v>1609</v>
      </c>
      <c r="L122" s="10" t="s">
        <v>1610</v>
      </c>
      <c r="M122" s="9" t="s">
        <v>70</v>
      </c>
      <c r="N122" s="9" t="s">
        <v>71</v>
      </c>
      <c r="O122" s="10" t="s">
        <v>1611</v>
      </c>
      <c r="P122" s="14" t="s">
        <v>74</v>
      </c>
      <c r="Q122" s="9" t="n">
        <v>5</v>
      </c>
      <c r="R122" s="9" t="s">
        <v>74</v>
      </c>
      <c r="S122" s="10" t="s">
        <v>1612</v>
      </c>
      <c r="T122" s="10" t="s">
        <v>1613</v>
      </c>
      <c r="U122" s="10" t="s">
        <v>1614</v>
      </c>
    </row>
    <row r="123" customFormat="false" ht="108" hidden="true" customHeight="true" outlineLevel="0" collapsed="false">
      <c r="A123" s="9" t="s">
        <v>1615</v>
      </c>
      <c r="B123" s="10" t="s">
        <v>1500</v>
      </c>
      <c r="C123" s="10" t="s">
        <v>1602</v>
      </c>
      <c r="D123" s="10" t="s">
        <v>1616</v>
      </c>
      <c r="E123" s="10" t="s">
        <v>1617</v>
      </c>
      <c r="F123" s="10" t="s">
        <v>1618</v>
      </c>
      <c r="G123" s="10" t="s">
        <v>1619</v>
      </c>
      <c r="H123" s="9" t="s">
        <v>84</v>
      </c>
      <c r="I123" s="10" t="s">
        <v>1620</v>
      </c>
      <c r="J123" s="10" t="s">
        <v>1621</v>
      </c>
      <c r="K123" s="10" t="s">
        <v>1622</v>
      </c>
      <c r="L123" s="10" t="s">
        <v>1623</v>
      </c>
      <c r="M123" s="9" t="s">
        <v>677</v>
      </c>
      <c r="N123" s="9" t="s">
        <v>274</v>
      </c>
      <c r="O123" s="10" t="s">
        <v>118</v>
      </c>
      <c r="P123" s="13" t="s">
        <v>119</v>
      </c>
      <c r="Q123" s="9" t="n">
        <v>2</v>
      </c>
      <c r="R123" s="9" t="s">
        <v>90</v>
      </c>
      <c r="S123" s="10" t="s">
        <v>1624</v>
      </c>
      <c r="T123" s="10" t="s">
        <v>1625</v>
      </c>
      <c r="U123" s="10" t="s">
        <v>1626</v>
      </c>
    </row>
    <row r="124" customFormat="false" ht="108" hidden="false" customHeight="true" outlineLevel="0" collapsed="false">
      <c r="A124" s="9" t="s">
        <v>1627</v>
      </c>
      <c r="B124" s="10" t="s">
        <v>1500</v>
      </c>
      <c r="C124" s="10" t="s">
        <v>1628</v>
      </c>
      <c r="D124" s="10" t="s">
        <v>1629</v>
      </c>
      <c r="E124" s="10" t="s">
        <v>1630</v>
      </c>
      <c r="F124" s="10" t="s">
        <v>1631</v>
      </c>
      <c r="G124" s="10" t="s">
        <v>1632</v>
      </c>
      <c r="H124" s="9" t="s">
        <v>84</v>
      </c>
      <c r="I124" s="10" t="s">
        <v>1633</v>
      </c>
      <c r="J124" s="10" t="s">
        <v>1634</v>
      </c>
      <c r="K124" s="10" t="s">
        <v>1635</v>
      </c>
      <c r="L124" s="10" t="s">
        <v>1636</v>
      </c>
      <c r="M124" s="9" t="s">
        <v>70</v>
      </c>
      <c r="N124" s="9" t="s">
        <v>71</v>
      </c>
      <c r="O124" s="10" t="s">
        <v>300</v>
      </c>
      <c r="P124" s="12" t="s">
        <v>90</v>
      </c>
      <c r="Q124" s="9" t="n">
        <v>8</v>
      </c>
      <c r="R124" s="9" t="s">
        <v>74</v>
      </c>
      <c r="S124" s="10" t="s">
        <v>1637</v>
      </c>
      <c r="T124" s="10" t="s">
        <v>1638</v>
      </c>
      <c r="U124" s="10" t="s">
        <v>1639</v>
      </c>
    </row>
    <row r="125" customFormat="false" ht="108" hidden="false" customHeight="true" outlineLevel="0" collapsed="false">
      <c r="A125" s="9" t="s">
        <v>1640</v>
      </c>
      <c r="B125" s="10" t="s">
        <v>1500</v>
      </c>
      <c r="C125" s="10" t="s">
        <v>1641</v>
      </c>
      <c r="D125" s="10" t="s">
        <v>1642</v>
      </c>
      <c r="E125" s="10" t="s">
        <v>1643</v>
      </c>
      <c r="F125" s="10" t="s">
        <v>1644</v>
      </c>
      <c r="G125" s="10" t="s">
        <v>1645</v>
      </c>
      <c r="H125" s="9" t="s">
        <v>868</v>
      </c>
      <c r="I125" s="10" t="s">
        <v>1646</v>
      </c>
      <c r="J125" s="10" t="s">
        <v>1647</v>
      </c>
      <c r="K125" s="10" t="s">
        <v>1648</v>
      </c>
      <c r="L125" s="10" t="s">
        <v>1649</v>
      </c>
      <c r="M125" s="9" t="s">
        <v>677</v>
      </c>
      <c r="N125" s="9" t="s">
        <v>71</v>
      </c>
      <c r="O125" s="10" t="s">
        <v>118</v>
      </c>
      <c r="P125" s="12" t="s">
        <v>90</v>
      </c>
      <c r="Q125" s="9" t="n">
        <v>7</v>
      </c>
      <c r="R125" s="9" t="s">
        <v>74</v>
      </c>
      <c r="S125" s="10" t="s">
        <v>1650</v>
      </c>
      <c r="T125" s="10" t="s">
        <v>1651</v>
      </c>
      <c r="U125" s="10" t="s">
        <v>1652</v>
      </c>
    </row>
    <row r="126" customFormat="false" ht="108" hidden="true" customHeight="true" outlineLevel="0" collapsed="false">
      <c r="A126" s="9" t="s">
        <v>1653</v>
      </c>
      <c r="B126" s="10" t="s">
        <v>1500</v>
      </c>
      <c r="C126" s="10" t="s">
        <v>1654</v>
      </c>
      <c r="D126" s="10" t="s">
        <v>1655</v>
      </c>
      <c r="E126" s="10" t="s">
        <v>1656</v>
      </c>
      <c r="F126" s="10" t="s">
        <v>1657</v>
      </c>
      <c r="G126" s="10" t="s">
        <v>1658</v>
      </c>
      <c r="H126" s="9" t="s">
        <v>960</v>
      </c>
      <c r="I126" s="10" t="s">
        <v>1659</v>
      </c>
      <c r="J126" s="10" t="s">
        <v>1660</v>
      </c>
      <c r="K126" s="10" t="s">
        <v>1661</v>
      </c>
      <c r="L126" s="10" t="s">
        <v>1662</v>
      </c>
      <c r="M126" s="9" t="s">
        <v>661</v>
      </c>
      <c r="N126" s="9" t="s">
        <v>662</v>
      </c>
      <c r="O126" s="10" t="s">
        <v>72</v>
      </c>
      <c r="P126" s="11" t="s">
        <v>73</v>
      </c>
      <c r="Q126" s="9" t="n">
        <v>9</v>
      </c>
      <c r="R126" s="9" t="s">
        <v>119</v>
      </c>
      <c r="S126" s="10" t="s">
        <v>1663</v>
      </c>
      <c r="T126" s="10" t="s">
        <v>1664</v>
      </c>
      <c r="U126" s="10" t="s">
        <v>1665</v>
      </c>
    </row>
    <row r="127" customFormat="false" ht="108" hidden="false" customHeight="true" outlineLevel="0" collapsed="false">
      <c r="A127" s="9" t="s">
        <v>1666</v>
      </c>
      <c r="B127" s="10" t="s">
        <v>1500</v>
      </c>
      <c r="C127" s="10" t="s">
        <v>1667</v>
      </c>
      <c r="D127" s="10" t="s">
        <v>1668</v>
      </c>
      <c r="E127" s="10" t="s">
        <v>1669</v>
      </c>
      <c r="F127" s="10" t="s">
        <v>1670</v>
      </c>
      <c r="G127" s="10" t="s">
        <v>1671</v>
      </c>
      <c r="H127" s="9" t="s">
        <v>1672</v>
      </c>
      <c r="I127" s="10" t="s">
        <v>1673</v>
      </c>
      <c r="J127" s="10" t="s">
        <v>1674</v>
      </c>
      <c r="K127" s="10" t="s">
        <v>1675</v>
      </c>
      <c r="L127" s="10" t="s">
        <v>1676</v>
      </c>
      <c r="M127" s="9" t="s">
        <v>661</v>
      </c>
      <c r="N127" s="9" t="s">
        <v>662</v>
      </c>
      <c r="O127" s="10" t="s">
        <v>72</v>
      </c>
      <c r="P127" s="12" t="s">
        <v>90</v>
      </c>
      <c r="Q127" s="9" t="n">
        <v>7</v>
      </c>
      <c r="R127" s="9" t="s">
        <v>74</v>
      </c>
      <c r="S127" s="10" t="s">
        <v>1677</v>
      </c>
      <c r="T127" s="10" t="s">
        <v>1678</v>
      </c>
      <c r="U127" s="10" t="s">
        <v>1679</v>
      </c>
    </row>
    <row r="128" customFormat="false" ht="108" hidden="false" customHeight="true" outlineLevel="0" collapsed="false">
      <c r="A128" s="9" t="s">
        <v>1680</v>
      </c>
      <c r="B128" s="10" t="s">
        <v>1500</v>
      </c>
      <c r="C128" s="10" t="s">
        <v>1681</v>
      </c>
      <c r="D128" s="10" t="s">
        <v>1682</v>
      </c>
      <c r="E128" s="10" t="s">
        <v>1683</v>
      </c>
      <c r="F128" s="10" t="s">
        <v>1684</v>
      </c>
      <c r="G128" s="10" t="s">
        <v>1685</v>
      </c>
      <c r="H128" s="9" t="s">
        <v>1686</v>
      </c>
      <c r="I128" s="10" t="s">
        <v>1687</v>
      </c>
      <c r="J128" s="10" t="s">
        <v>1688</v>
      </c>
      <c r="K128" s="10" t="s">
        <v>1689</v>
      </c>
      <c r="L128" s="10" t="s">
        <v>976</v>
      </c>
      <c r="M128" s="9" t="s">
        <v>677</v>
      </c>
      <c r="N128" s="9" t="s">
        <v>71</v>
      </c>
      <c r="O128" s="10" t="s">
        <v>275</v>
      </c>
      <c r="P128" s="12" t="s">
        <v>90</v>
      </c>
      <c r="Q128" s="9" t="n">
        <v>7</v>
      </c>
      <c r="R128" s="9" t="s">
        <v>74</v>
      </c>
      <c r="S128" s="10" t="s">
        <v>1690</v>
      </c>
      <c r="T128" s="10" t="s">
        <v>1691</v>
      </c>
      <c r="U128" s="10" t="s">
        <v>1692</v>
      </c>
    </row>
    <row r="129" customFormat="false" ht="108" hidden="false" customHeight="true" outlineLevel="0" collapsed="false">
      <c r="A129" s="9" t="s">
        <v>1693</v>
      </c>
      <c r="B129" s="10" t="s">
        <v>1500</v>
      </c>
      <c r="C129" s="10" t="s">
        <v>1681</v>
      </c>
      <c r="D129" s="10" t="s">
        <v>1694</v>
      </c>
      <c r="E129" s="10" t="s">
        <v>1695</v>
      </c>
      <c r="F129" s="10" t="s">
        <v>1696</v>
      </c>
      <c r="G129" s="10" t="s">
        <v>1697</v>
      </c>
      <c r="H129" s="9" t="s">
        <v>868</v>
      </c>
      <c r="I129" s="10" t="s">
        <v>1698</v>
      </c>
      <c r="J129" s="10" t="s">
        <v>1699</v>
      </c>
      <c r="K129" s="10" t="s">
        <v>1700</v>
      </c>
      <c r="L129" s="10" t="s">
        <v>1701</v>
      </c>
      <c r="M129" s="9" t="s">
        <v>769</v>
      </c>
      <c r="N129" s="9" t="s">
        <v>71</v>
      </c>
      <c r="O129" s="10" t="s">
        <v>1173</v>
      </c>
      <c r="P129" s="12" t="s">
        <v>90</v>
      </c>
      <c r="Q129" s="9" t="n">
        <v>8</v>
      </c>
      <c r="R129" s="9" t="s">
        <v>74</v>
      </c>
      <c r="S129" s="10" t="s">
        <v>1702</v>
      </c>
      <c r="T129" s="10" t="s">
        <v>1703</v>
      </c>
      <c r="U129" s="10" t="s">
        <v>1704</v>
      </c>
    </row>
    <row r="130" customFormat="false" ht="108" hidden="false" customHeight="true" outlineLevel="0" collapsed="false">
      <c r="A130" s="9" t="s">
        <v>1705</v>
      </c>
      <c r="B130" s="10" t="s">
        <v>1500</v>
      </c>
      <c r="C130" s="10" t="s">
        <v>1706</v>
      </c>
      <c r="D130" s="10" t="s">
        <v>1707</v>
      </c>
      <c r="E130" s="10" t="s">
        <v>1708</v>
      </c>
      <c r="F130" s="10" t="s">
        <v>1709</v>
      </c>
      <c r="G130" s="10" t="s">
        <v>1710</v>
      </c>
      <c r="H130" s="9" t="s">
        <v>868</v>
      </c>
      <c r="I130" s="10" t="s">
        <v>1711</v>
      </c>
      <c r="J130" s="10" t="s">
        <v>1712</v>
      </c>
      <c r="K130" s="10" t="s">
        <v>1713</v>
      </c>
      <c r="L130" s="10" t="s">
        <v>1714</v>
      </c>
      <c r="M130" s="9" t="s">
        <v>821</v>
      </c>
      <c r="N130" s="9" t="s">
        <v>662</v>
      </c>
      <c r="O130" s="10" t="s">
        <v>1611</v>
      </c>
      <c r="P130" s="12" t="s">
        <v>90</v>
      </c>
      <c r="Q130" s="9" t="n">
        <v>7</v>
      </c>
      <c r="R130" s="9" t="s">
        <v>74</v>
      </c>
      <c r="S130" s="10" t="s">
        <v>1715</v>
      </c>
      <c r="T130" s="10" t="s">
        <v>1716</v>
      </c>
      <c r="U130" s="10" t="s">
        <v>1717</v>
      </c>
    </row>
    <row r="131" customFormat="false" ht="108" hidden="true" customHeight="true" outlineLevel="0" collapsed="false">
      <c r="A131" s="9" t="s">
        <v>1718</v>
      </c>
      <c r="B131" s="10" t="s">
        <v>1500</v>
      </c>
      <c r="C131" s="10" t="s">
        <v>1706</v>
      </c>
      <c r="D131" s="10" t="s">
        <v>1719</v>
      </c>
      <c r="E131" s="10" t="s">
        <v>1720</v>
      </c>
      <c r="F131" s="10" t="s">
        <v>1721</v>
      </c>
      <c r="G131" s="10" t="s">
        <v>1722</v>
      </c>
      <c r="H131" s="9" t="s">
        <v>868</v>
      </c>
      <c r="I131" s="10" t="s">
        <v>1723</v>
      </c>
      <c r="J131" s="10" t="s">
        <v>1724</v>
      </c>
      <c r="K131" s="10" t="s">
        <v>1725</v>
      </c>
      <c r="L131" s="10" t="s">
        <v>1726</v>
      </c>
      <c r="M131" s="9" t="s">
        <v>661</v>
      </c>
      <c r="N131" s="9" t="s">
        <v>662</v>
      </c>
      <c r="O131" s="10" t="s">
        <v>275</v>
      </c>
      <c r="P131" s="11" t="s">
        <v>73</v>
      </c>
      <c r="Q131" s="9" t="n">
        <v>9</v>
      </c>
      <c r="R131" s="9" t="s">
        <v>119</v>
      </c>
      <c r="S131" s="10" t="s">
        <v>1727</v>
      </c>
      <c r="T131" s="10" t="s">
        <v>1728</v>
      </c>
      <c r="U131" s="10" t="s">
        <v>1729</v>
      </c>
    </row>
    <row r="132" customFormat="false" ht="108" hidden="false" customHeight="true" outlineLevel="0" collapsed="false">
      <c r="A132" s="9" t="s">
        <v>1730</v>
      </c>
      <c r="B132" s="10" t="s">
        <v>1500</v>
      </c>
      <c r="C132" s="10" t="s">
        <v>627</v>
      </c>
      <c r="D132" s="10" t="s">
        <v>1731</v>
      </c>
      <c r="E132" s="10" t="s">
        <v>1732</v>
      </c>
      <c r="F132" s="10" t="s">
        <v>1733</v>
      </c>
      <c r="G132" s="10" t="s">
        <v>1734</v>
      </c>
      <c r="H132" s="9" t="s">
        <v>1735</v>
      </c>
      <c r="I132" s="10" t="s">
        <v>1736</v>
      </c>
      <c r="J132" s="10" t="s">
        <v>1737</v>
      </c>
      <c r="K132" s="10" t="s">
        <v>1738</v>
      </c>
      <c r="L132" s="10" t="s">
        <v>1739</v>
      </c>
      <c r="M132" s="9" t="s">
        <v>70</v>
      </c>
      <c r="N132" s="9" t="s">
        <v>117</v>
      </c>
      <c r="O132" s="10" t="s">
        <v>275</v>
      </c>
      <c r="P132" s="12" t="s">
        <v>90</v>
      </c>
      <c r="Q132" s="9" t="n">
        <v>7</v>
      </c>
      <c r="R132" s="9" t="s">
        <v>74</v>
      </c>
      <c r="S132" s="10" t="s">
        <v>1740</v>
      </c>
      <c r="T132" s="10" t="s">
        <v>1741</v>
      </c>
      <c r="U132" s="10" t="s">
        <v>1742</v>
      </c>
    </row>
    <row r="133" customFormat="false" ht="108" hidden="true" customHeight="true" outlineLevel="0" collapsed="false">
      <c r="A133" s="9" t="s">
        <v>1743</v>
      </c>
      <c r="B133" s="10" t="s">
        <v>1500</v>
      </c>
      <c r="C133" s="10" t="s">
        <v>1681</v>
      </c>
      <c r="D133" s="10" t="s">
        <v>1744</v>
      </c>
      <c r="E133" s="10" t="s">
        <v>1745</v>
      </c>
      <c r="F133" s="10" t="s">
        <v>1746</v>
      </c>
      <c r="G133" s="10" t="s">
        <v>1747</v>
      </c>
      <c r="H133" s="9" t="s">
        <v>868</v>
      </c>
      <c r="I133" s="10" t="s">
        <v>1748</v>
      </c>
      <c r="J133" s="10" t="s">
        <v>1749</v>
      </c>
      <c r="K133" s="10" t="s">
        <v>1750</v>
      </c>
      <c r="L133" s="10" t="s">
        <v>1751</v>
      </c>
      <c r="M133" s="9" t="s">
        <v>769</v>
      </c>
      <c r="N133" s="9" t="s">
        <v>274</v>
      </c>
      <c r="O133" s="10" t="s">
        <v>1752</v>
      </c>
      <c r="P133" s="11" t="s">
        <v>73</v>
      </c>
      <c r="Q133" s="9" t="n">
        <v>9</v>
      </c>
      <c r="R133" s="9" t="s">
        <v>119</v>
      </c>
      <c r="S133" s="10" t="s">
        <v>1753</v>
      </c>
      <c r="T133" s="10" t="s">
        <v>1754</v>
      </c>
      <c r="U133" s="10" t="s">
        <v>1755</v>
      </c>
    </row>
    <row r="134" customFormat="false" ht="108" hidden="false" customHeight="true" outlineLevel="0" collapsed="false">
      <c r="A134" s="9" t="s">
        <v>1756</v>
      </c>
      <c r="B134" s="10" t="s">
        <v>1500</v>
      </c>
      <c r="C134" s="10" t="s">
        <v>1757</v>
      </c>
      <c r="D134" s="10" t="s">
        <v>1758</v>
      </c>
      <c r="E134" s="10" t="s">
        <v>1759</v>
      </c>
      <c r="F134" s="10" t="s">
        <v>1760</v>
      </c>
      <c r="G134" s="10" t="s">
        <v>1761</v>
      </c>
      <c r="H134" s="9" t="s">
        <v>1762</v>
      </c>
      <c r="I134" s="10" t="s">
        <v>1763</v>
      </c>
      <c r="J134" s="10" t="s">
        <v>1764</v>
      </c>
      <c r="K134" s="10" t="s">
        <v>1765</v>
      </c>
      <c r="L134" s="10" t="s">
        <v>1766</v>
      </c>
      <c r="M134" s="9" t="s">
        <v>661</v>
      </c>
      <c r="N134" s="9" t="s">
        <v>662</v>
      </c>
      <c r="O134" s="10" t="s">
        <v>275</v>
      </c>
      <c r="P134" s="12" t="s">
        <v>90</v>
      </c>
      <c r="Q134" s="9" t="n">
        <v>7</v>
      </c>
      <c r="R134" s="9" t="s">
        <v>74</v>
      </c>
      <c r="S134" s="10" t="s">
        <v>1767</v>
      </c>
      <c r="T134" s="10" t="s">
        <v>1768</v>
      </c>
      <c r="U134" s="10" t="s">
        <v>1769</v>
      </c>
    </row>
    <row r="135" customFormat="false" ht="108" hidden="true" customHeight="true" outlineLevel="0" collapsed="false">
      <c r="A135" s="9" t="s">
        <v>1770</v>
      </c>
      <c r="B135" s="10" t="s">
        <v>1500</v>
      </c>
      <c r="C135" s="10" t="s">
        <v>1771</v>
      </c>
      <c r="D135" s="10" t="s">
        <v>1772</v>
      </c>
      <c r="E135" s="10" t="s">
        <v>1773</v>
      </c>
      <c r="F135" s="10" t="s">
        <v>1774</v>
      </c>
      <c r="G135" s="10" t="s">
        <v>1775</v>
      </c>
      <c r="H135" s="9" t="s">
        <v>1776</v>
      </c>
      <c r="I135" s="10" t="s">
        <v>1777</v>
      </c>
      <c r="J135" s="10" t="s">
        <v>1778</v>
      </c>
      <c r="K135" s="10" t="s">
        <v>1779</v>
      </c>
      <c r="L135" s="10" t="s">
        <v>1780</v>
      </c>
      <c r="M135" s="9" t="s">
        <v>70</v>
      </c>
      <c r="N135" s="9" t="s">
        <v>71</v>
      </c>
      <c r="O135" s="10" t="s">
        <v>275</v>
      </c>
      <c r="P135" s="11" t="s">
        <v>73</v>
      </c>
      <c r="Q135" s="9" t="n">
        <v>9</v>
      </c>
      <c r="R135" s="9" t="s">
        <v>74</v>
      </c>
      <c r="S135" s="10" t="s">
        <v>1781</v>
      </c>
      <c r="T135" s="10" t="s">
        <v>1782</v>
      </c>
      <c r="U135" s="10" t="s">
        <v>1783</v>
      </c>
    </row>
    <row r="136" customFormat="false" ht="108" hidden="true" customHeight="true" outlineLevel="0" collapsed="false">
      <c r="A136" s="9" t="s">
        <v>1784</v>
      </c>
      <c r="B136" s="10" t="s">
        <v>1500</v>
      </c>
      <c r="C136" s="10" t="s">
        <v>1785</v>
      </c>
      <c r="D136" s="10" t="s">
        <v>1786</v>
      </c>
      <c r="E136" s="10" t="s">
        <v>1787</v>
      </c>
      <c r="F136" s="10" t="s">
        <v>1788</v>
      </c>
      <c r="G136" s="10" t="s">
        <v>1789</v>
      </c>
      <c r="H136" s="9" t="s">
        <v>1790</v>
      </c>
      <c r="I136" s="10" t="s">
        <v>1791</v>
      </c>
      <c r="J136" s="10" t="s">
        <v>1792</v>
      </c>
      <c r="K136" s="10" t="s">
        <v>1793</v>
      </c>
      <c r="L136" s="10" t="s">
        <v>1794</v>
      </c>
      <c r="M136" s="9" t="s">
        <v>821</v>
      </c>
      <c r="N136" s="9" t="s">
        <v>71</v>
      </c>
      <c r="O136" s="10" t="s">
        <v>72</v>
      </c>
      <c r="P136" s="14" t="s">
        <v>74</v>
      </c>
      <c r="Q136" s="9" t="n">
        <v>5</v>
      </c>
      <c r="R136" s="9" t="s">
        <v>74</v>
      </c>
      <c r="S136" s="10" t="s">
        <v>1795</v>
      </c>
      <c r="T136" s="10" t="s">
        <v>1796</v>
      </c>
      <c r="U136" s="10" t="s">
        <v>1797</v>
      </c>
    </row>
    <row r="137" customFormat="false" ht="108" hidden="false" customHeight="true" outlineLevel="0" collapsed="false">
      <c r="A137" s="9" t="s">
        <v>1798</v>
      </c>
      <c r="B137" s="10" t="s">
        <v>1500</v>
      </c>
      <c r="C137" s="10" t="s">
        <v>1799</v>
      </c>
      <c r="D137" s="10" t="s">
        <v>1800</v>
      </c>
      <c r="E137" s="10" t="s">
        <v>1801</v>
      </c>
      <c r="F137" s="10" t="s">
        <v>1802</v>
      </c>
      <c r="G137" s="10" t="s">
        <v>1803</v>
      </c>
      <c r="H137" s="9" t="s">
        <v>84</v>
      </c>
      <c r="I137" s="10" t="s">
        <v>1804</v>
      </c>
      <c r="J137" s="10" t="s">
        <v>1805</v>
      </c>
      <c r="K137" s="10" t="s">
        <v>1806</v>
      </c>
      <c r="L137" s="10" t="s">
        <v>1807</v>
      </c>
      <c r="M137" s="9" t="s">
        <v>70</v>
      </c>
      <c r="N137" s="9" t="s">
        <v>71</v>
      </c>
      <c r="O137" s="10" t="s">
        <v>275</v>
      </c>
      <c r="P137" s="12" t="s">
        <v>90</v>
      </c>
      <c r="Q137" s="9" t="n">
        <v>6</v>
      </c>
      <c r="R137" s="9" t="s">
        <v>74</v>
      </c>
      <c r="S137" s="10" t="s">
        <v>1808</v>
      </c>
      <c r="T137" s="10" t="s">
        <v>1809</v>
      </c>
      <c r="U137" s="10" t="s">
        <v>1810</v>
      </c>
    </row>
    <row r="138" customFormat="false" ht="108" hidden="true" customHeight="true" outlineLevel="0" collapsed="false">
      <c r="A138" s="9" t="s">
        <v>1811</v>
      </c>
      <c r="B138" s="10" t="s">
        <v>1500</v>
      </c>
      <c r="C138" s="10" t="s">
        <v>1812</v>
      </c>
      <c r="D138" s="10" t="s">
        <v>1813</v>
      </c>
      <c r="E138" s="10" t="s">
        <v>1814</v>
      </c>
      <c r="F138" s="10" t="s">
        <v>1815</v>
      </c>
      <c r="G138" s="10" t="s">
        <v>1816</v>
      </c>
      <c r="H138" s="9" t="s">
        <v>1817</v>
      </c>
      <c r="I138" s="10" t="s">
        <v>1818</v>
      </c>
      <c r="J138" s="10" t="s">
        <v>1819</v>
      </c>
      <c r="K138" s="10" t="s">
        <v>1820</v>
      </c>
      <c r="L138" s="10" t="s">
        <v>1821</v>
      </c>
      <c r="M138" s="9" t="s">
        <v>133</v>
      </c>
      <c r="N138" s="9" t="s">
        <v>71</v>
      </c>
      <c r="O138" s="10" t="s">
        <v>275</v>
      </c>
      <c r="P138" s="11" t="s">
        <v>73</v>
      </c>
      <c r="Q138" s="9" t="n">
        <v>10</v>
      </c>
      <c r="R138" s="9" t="s">
        <v>119</v>
      </c>
      <c r="S138" s="10" t="s">
        <v>1822</v>
      </c>
      <c r="T138" s="10" t="s">
        <v>1823</v>
      </c>
      <c r="U138" s="10" t="s">
        <v>1824</v>
      </c>
    </row>
    <row r="139" customFormat="false" ht="108" hidden="false" customHeight="true" outlineLevel="0" collapsed="false">
      <c r="A139" s="9" t="s">
        <v>1825</v>
      </c>
      <c r="B139" s="10" t="s">
        <v>1500</v>
      </c>
      <c r="C139" s="10" t="s">
        <v>1812</v>
      </c>
      <c r="D139" s="10" t="s">
        <v>1826</v>
      </c>
      <c r="E139" s="10" t="s">
        <v>1827</v>
      </c>
      <c r="F139" s="10" t="s">
        <v>1828</v>
      </c>
      <c r="G139" s="10" t="s">
        <v>1829</v>
      </c>
      <c r="H139" s="9" t="s">
        <v>1790</v>
      </c>
      <c r="I139" s="10" t="s">
        <v>1830</v>
      </c>
      <c r="J139" s="10" t="s">
        <v>1831</v>
      </c>
      <c r="K139" s="10" t="s">
        <v>1832</v>
      </c>
      <c r="L139" s="10" t="s">
        <v>728</v>
      </c>
      <c r="M139" s="9" t="s">
        <v>133</v>
      </c>
      <c r="N139" s="9" t="s">
        <v>71</v>
      </c>
      <c r="O139" s="10" t="s">
        <v>678</v>
      </c>
      <c r="P139" s="12" t="s">
        <v>90</v>
      </c>
      <c r="Q139" s="9" t="n">
        <v>8</v>
      </c>
      <c r="R139" s="9" t="s">
        <v>119</v>
      </c>
      <c r="S139" s="10" t="s">
        <v>1833</v>
      </c>
      <c r="T139" s="10" t="s">
        <v>1834</v>
      </c>
      <c r="U139" s="10" t="s">
        <v>1835</v>
      </c>
    </row>
    <row r="140" customFormat="false" ht="108" hidden="true" customHeight="true" outlineLevel="0" collapsed="false">
      <c r="A140" s="9" t="s">
        <v>1836</v>
      </c>
      <c r="B140" s="10" t="s">
        <v>1500</v>
      </c>
      <c r="C140" s="10" t="s">
        <v>1837</v>
      </c>
      <c r="D140" s="10" t="s">
        <v>1838</v>
      </c>
      <c r="E140" s="10" t="s">
        <v>1839</v>
      </c>
      <c r="F140" s="10" t="s">
        <v>1840</v>
      </c>
      <c r="G140" s="10" t="s">
        <v>1841</v>
      </c>
      <c r="H140" s="9" t="s">
        <v>65</v>
      </c>
      <c r="I140" s="10" t="s">
        <v>1842</v>
      </c>
      <c r="J140" s="10" t="s">
        <v>1843</v>
      </c>
      <c r="K140" s="10" t="s">
        <v>68</v>
      </c>
      <c r="L140" s="10" t="s">
        <v>1844</v>
      </c>
      <c r="M140" s="9" t="s">
        <v>70</v>
      </c>
      <c r="N140" s="9" t="s">
        <v>71</v>
      </c>
      <c r="O140" s="10" t="s">
        <v>72</v>
      </c>
      <c r="P140" s="14" t="s">
        <v>74</v>
      </c>
      <c r="Q140" s="9" t="n">
        <v>5</v>
      </c>
      <c r="R140" s="9" t="s">
        <v>90</v>
      </c>
      <c r="S140" s="10" t="s">
        <v>1845</v>
      </c>
      <c r="T140" s="10" t="s">
        <v>1846</v>
      </c>
      <c r="U140" s="10" t="s">
        <v>1847</v>
      </c>
    </row>
    <row r="141" customFormat="false" ht="108" hidden="true" customHeight="true" outlineLevel="0" collapsed="false">
      <c r="A141" s="9" t="s">
        <v>1848</v>
      </c>
      <c r="B141" s="10" t="s">
        <v>1500</v>
      </c>
      <c r="C141" s="10" t="s">
        <v>1837</v>
      </c>
      <c r="D141" s="10" t="s">
        <v>1849</v>
      </c>
      <c r="E141" s="10" t="s">
        <v>1850</v>
      </c>
      <c r="F141" s="10" t="s">
        <v>1851</v>
      </c>
      <c r="G141" s="10" t="s">
        <v>1852</v>
      </c>
      <c r="H141" s="9" t="s">
        <v>987</v>
      </c>
      <c r="I141" s="10" t="s">
        <v>1853</v>
      </c>
      <c r="J141" s="10" t="s">
        <v>1854</v>
      </c>
      <c r="K141" s="10" t="s">
        <v>1855</v>
      </c>
      <c r="L141" s="10" t="s">
        <v>1522</v>
      </c>
      <c r="M141" s="9" t="s">
        <v>821</v>
      </c>
      <c r="N141" s="9" t="s">
        <v>71</v>
      </c>
      <c r="O141" s="10" t="s">
        <v>678</v>
      </c>
      <c r="P141" s="13" t="s">
        <v>119</v>
      </c>
      <c r="Q141" s="9" t="n">
        <v>2</v>
      </c>
      <c r="R141" s="9" t="s">
        <v>90</v>
      </c>
      <c r="S141" s="10" t="s">
        <v>1856</v>
      </c>
      <c r="T141" s="10" t="s">
        <v>1857</v>
      </c>
      <c r="U141" s="10" t="s">
        <v>1858</v>
      </c>
    </row>
    <row r="142" customFormat="false" ht="108" hidden="false" customHeight="true" outlineLevel="0" collapsed="false">
      <c r="A142" s="9" t="s">
        <v>1859</v>
      </c>
      <c r="B142" s="10" t="s">
        <v>1500</v>
      </c>
      <c r="C142" s="10" t="s">
        <v>1860</v>
      </c>
      <c r="D142" s="10" t="s">
        <v>1861</v>
      </c>
      <c r="E142" s="10" t="s">
        <v>1862</v>
      </c>
      <c r="F142" s="10" t="s">
        <v>1863</v>
      </c>
      <c r="G142" s="10" t="s">
        <v>1864</v>
      </c>
      <c r="H142" s="9" t="s">
        <v>84</v>
      </c>
      <c r="I142" s="10" t="s">
        <v>1865</v>
      </c>
      <c r="J142" s="10" t="s">
        <v>1866</v>
      </c>
      <c r="K142" s="10" t="s">
        <v>1867</v>
      </c>
      <c r="L142" s="10" t="s">
        <v>1868</v>
      </c>
      <c r="M142" s="9" t="s">
        <v>133</v>
      </c>
      <c r="N142" s="9" t="s">
        <v>71</v>
      </c>
      <c r="O142" s="10" t="s">
        <v>796</v>
      </c>
      <c r="P142" s="12" t="s">
        <v>90</v>
      </c>
      <c r="Q142" s="9" t="n">
        <v>8</v>
      </c>
      <c r="R142" s="9" t="s">
        <v>74</v>
      </c>
      <c r="S142" s="10" t="s">
        <v>1869</v>
      </c>
      <c r="T142" s="10" t="s">
        <v>1870</v>
      </c>
      <c r="U142" s="10" t="s">
        <v>1871</v>
      </c>
    </row>
    <row r="143" customFormat="false" ht="108" hidden="true" customHeight="true" outlineLevel="0" collapsed="false">
      <c r="A143" s="9" t="s">
        <v>1872</v>
      </c>
      <c r="B143" s="10" t="s">
        <v>1500</v>
      </c>
      <c r="C143" s="10" t="s">
        <v>1873</v>
      </c>
      <c r="D143" s="10" t="s">
        <v>1874</v>
      </c>
      <c r="E143" s="10" t="s">
        <v>1875</v>
      </c>
      <c r="F143" s="10" t="s">
        <v>1876</v>
      </c>
      <c r="G143" s="10" t="s">
        <v>1877</v>
      </c>
      <c r="H143" s="9" t="s">
        <v>84</v>
      </c>
      <c r="I143" s="10" t="s">
        <v>1878</v>
      </c>
      <c r="J143" s="10" t="s">
        <v>1879</v>
      </c>
      <c r="K143" s="10" t="s">
        <v>1880</v>
      </c>
      <c r="L143" s="10" t="s">
        <v>1881</v>
      </c>
      <c r="M143" s="9" t="s">
        <v>133</v>
      </c>
      <c r="N143" s="9" t="s">
        <v>71</v>
      </c>
      <c r="O143" s="10" t="s">
        <v>796</v>
      </c>
      <c r="P143" s="14" t="s">
        <v>74</v>
      </c>
      <c r="Q143" s="9" t="n">
        <v>5</v>
      </c>
      <c r="R143" s="9" t="s">
        <v>74</v>
      </c>
      <c r="S143" s="10" t="s">
        <v>1882</v>
      </c>
      <c r="T143" s="10" t="s">
        <v>1883</v>
      </c>
      <c r="U143" s="10" t="s">
        <v>1884</v>
      </c>
    </row>
    <row r="144" customFormat="false" ht="108" hidden="true" customHeight="true" outlineLevel="0" collapsed="false">
      <c r="A144" s="9" t="s">
        <v>1885</v>
      </c>
      <c r="B144" s="10" t="s">
        <v>1500</v>
      </c>
      <c r="C144" s="10" t="s">
        <v>1873</v>
      </c>
      <c r="D144" s="10" t="s">
        <v>1886</v>
      </c>
      <c r="E144" s="10" t="s">
        <v>1887</v>
      </c>
      <c r="F144" s="10" t="s">
        <v>1888</v>
      </c>
      <c r="G144" s="10" t="s">
        <v>1889</v>
      </c>
      <c r="H144" s="9" t="s">
        <v>65</v>
      </c>
      <c r="I144" s="10" t="s">
        <v>1890</v>
      </c>
      <c r="J144" s="10" t="s">
        <v>1891</v>
      </c>
      <c r="K144" s="10" t="s">
        <v>1892</v>
      </c>
      <c r="L144" s="10" t="s">
        <v>1893</v>
      </c>
      <c r="M144" s="9" t="s">
        <v>70</v>
      </c>
      <c r="N144" s="9" t="s">
        <v>71</v>
      </c>
      <c r="O144" s="10" t="s">
        <v>275</v>
      </c>
      <c r="P144" s="14" t="s">
        <v>74</v>
      </c>
      <c r="Q144" s="9" t="n">
        <v>5</v>
      </c>
      <c r="R144" s="9" t="s">
        <v>90</v>
      </c>
      <c r="S144" s="10" t="s">
        <v>1894</v>
      </c>
      <c r="T144" s="10" t="s">
        <v>1895</v>
      </c>
      <c r="U144" s="10" t="s">
        <v>1896</v>
      </c>
    </row>
    <row r="145" customFormat="false" ht="108" hidden="false" customHeight="true" outlineLevel="0" collapsed="false">
      <c r="A145" s="9" t="s">
        <v>1897</v>
      </c>
      <c r="B145" s="10" t="s">
        <v>1500</v>
      </c>
      <c r="C145" s="10" t="s">
        <v>1898</v>
      </c>
      <c r="D145" s="10" t="s">
        <v>1899</v>
      </c>
      <c r="E145" s="10" t="s">
        <v>1900</v>
      </c>
      <c r="F145" s="10" t="s">
        <v>1901</v>
      </c>
      <c r="G145" s="10" t="s">
        <v>1902</v>
      </c>
      <c r="H145" s="9" t="s">
        <v>84</v>
      </c>
      <c r="I145" s="10" t="s">
        <v>1903</v>
      </c>
      <c r="J145" s="10" t="s">
        <v>1904</v>
      </c>
      <c r="K145" s="10" t="s">
        <v>1905</v>
      </c>
      <c r="L145" s="10" t="s">
        <v>1906</v>
      </c>
      <c r="M145" s="9" t="s">
        <v>677</v>
      </c>
      <c r="N145" s="9" t="s">
        <v>71</v>
      </c>
      <c r="O145" s="10" t="s">
        <v>1173</v>
      </c>
      <c r="P145" s="12" t="s">
        <v>90</v>
      </c>
      <c r="Q145" s="9" t="n">
        <v>7</v>
      </c>
      <c r="R145" s="9" t="s">
        <v>74</v>
      </c>
      <c r="S145" s="10" t="s">
        <v>1907</v>
      </c>
      <c r="T145" s="10" t="s">
        <v>1908</v>
      </c>
      <c r="U145" s="10" t="s">
        <v>1909</v>
      </c>
    </row>
    <row r="146" customFormat="false" ht="108" hidden="true" customHeight="true" outlineLevel="0" collapsed="false">
      <c r="A146" s="9" t="s">
        <v>1910</v>
      </c>
      <c r="B146" s="10" t="s">
        <v>1500</v>
      </c>
      <c r="C146" s="10" t="s">
        <v>1911</v>
      </c>
      <c r="D146" s="10" t="s">
        <v>1912</v>
      </c>
      <c r="E146" s="10" t="s">
        <v>1913</v>
      </c>
      <c r="F146" s="10" t="s">
        <v>1914</v>
      </c>
      <c r="G146" s="10" t="s">
        <v>1915</v>
      </c>
      <c r="H146" s="9" t="s">
        <v>1916</v>
      </c>
      <c r="I146" s="10" t="s">
        <v>1917</v>
      </c>
      <c r="J146" s="10" t="s">
        <v>1918</v>
      </c>
      <c r="K146" s="10" t="s">
        <v>1919</v>
      </c>
      <c r="L146" s="10" t="s">
        <v>1920</v>
      </c>
      <c r="M146" s="9" t="s">
        <v>661</v>
      </c>
      <c r="N146" s="9" t="s">
        <v>662</v>
      </c>
      <c r="O146" s="10" t="s">
        <v>72</v>
      </c>
      <c r="P146" s="14" t="s">
        <v>74</v>
      </c>
      <c r="Q146" s="9" t="n">
        <v>5</v>
      </c>
      <c r="R146" s="9" t="s">
        <v>74</v>
      </c>
      <c r="S146" s="10" t="s">
        <v>1921</v>
      </c>
      <c r="T146" s="10" t="s">
        <v>1922</v>
      </c>
      <c r="U146" s="10" t="s">
        <v>1923</v>
      </c>
    </row>
    <row r="147" customFormat="false" ht="108" hidden="true" customHeight="true" outlineLevel="0" collapsed="false">
      <c r="A147" s="9" t="s">
        <v>1924</v>
      </c>
      <c r="B147" s="10" t="s">
        <v>1500</v>
      </c>
      <c r="C147" s="10" t="s">
        <v>1911</v>
      </c>
      <c r="D147" s="10" t="s">
        <v>1925</v>
      </c>
      <c r="E147" s="10" t="s">
        <v>1926</v>
      </c>
      <c r="F147" s="10" t="s">
        <v>1927</v>
      </c>
      <c r="G147" s="10" t="s">
        <v>1928</v>
      </c>
      <c r="H147" s="9" t="s">
        <v>1929</v>
      </c>
      <c r="I147" s="10" t="s">
        <v>1930</v>
      </c>
      <c r="J147" s="10" t="s">
        <v>1931</v>
      </c>
      <c r="K147" s="10" t="s">
        <v>1932</v>
      </c>
      <c r="L147" s="10" t="s">
        <v>1933</v>
      </c>
      <c r="M147" s="9" t="s">
        <v>661</v>
      </c>
      <c r="N147" s="9" t="s">
        <v>662</v>
      </c>
      <c r="O147" s="10" t="s">
        <v>72</v>
      </c>
      <c r="P147" s="14" t="s">
        <v>74</v>
      </c>
      <c r="Q147" s="9" t="n">
        <v>5</v>
      </c>
      <c r="R147" s="9" t="s">
        <v>74</v>
      </c>
      <c r="S147" s="10" t="s">
        <v>1934</v>
      </c>
      <c r="T147" s="10" t="s">
        <v>1935</v>
      </c>
      <c r="U147" s="10" t="s">
        <v>1936</v>
      </c>
    </row>
    <row r="148" customFormat="false" ht="108" hidden="false" customHeight="true" outlineLevel="0" collapsed="false">
      <c r="A148" s="9" t="s">
        <v>1937</v>
      </c>
      <c r="B148" s="10" t="s">
        <v>1500</v>
      </c>
      <c r="C148" s="10" t="s">
        <v>1938</v>
      </c>
      <c r="D148" s="10" t="s">
        <v>1939</v>
      </c>
      <c r="E148" s="10" t="s">
        <v>1940</v>
      </c>
      <c r="F148" s="10" t="s">
        <v>1941</v>
      </c>
      <c r="G148" s="10" t="s">
        <v>1942</v>
      </c>
      <c r="H148" s="9" t="s">
        <v>65</v>
      </c>
      <c r="I148" s="10" t="s">
        <v>1943</v>
      </c>
      <c r="J148" s="10" t="s">
        <v>1944</v>
      </c>
      <c r="K148" s="10" t="s">
        <v>1945</v>
      </c>
      <c r="L148" s="10" t="s">
        <v>1946</v>
      </c>
      <c r="M148" s="9" t="s">
        <v>821</v>
      </c>
      <c r="N148" s="9" t="s">
        <v>662</v>
      </c>
      <c r="O148" s="10" t="s">
        <v>1611</v>
      </c>
      <c r="P148" s="12" t="s">
        <v>90</v>
      </c>
      <c r="Q148" s="9" t="n">
        <v>7</v>
      </c>
      <c r="R148" s="9" t="s">
        <v>119</v>
      </c>
      <c r="S148" s="10" t="s">
        <v>1947</v>
      </c>
      <c r="T148" s="10" t="s">
        <v>1948</v>
      </c>
      <c r="U148" s="10" t="s">
        <v>1949</v>
      </c>
    </row>
    <row r="149" customFormat="false" ht="108" hidden="true" customHeight="true" outlineLevel="0" collapsed="false">
      <c r="A149" s="9" t="s">
        <v>1950</v>
      </c>
      <c r="B149" s="10" t="s">
        <v>1500</v>
      </c>
      <c r="C149" s="10" t="s">
        <v>1951</v>
      </c>
      <c r="D149" s="10" t="s">
        <v>1952</v>
      </c>
      <c r="E149" s="10" t="s">
        <v>1953</v>
      </c>
      <c r="F149" s="10" t="s">
        <v>1954</v>
      </c>
      <c r="G149" s="10" t="s">
        <v>1955</v>
      </c>
      <c r="H149" s="9" t="s">
        <v>868</v>
      </c>
      <c r="I149" s="10" t="s">
        <v>1956</v>
      </c>
      <c r="J149" s="10" t="s">
        <v>1957</v>
      </c>
      <c r="K149" s="10" t="s">
        <v>1958</v>
      </c>
      <c r="L149" s="10" t="s">
        <v>1959</v>
      </c>
      <c r="M149" s="9" t="s">
        <v>821</v>
      </c>
      <c r="N149" s="9" t="s">
        <v>662</v>
      </c>
      <c r="O149" s="10" t="s">
        <v>1611</v>
      </c>
      <c r="P149" s="14" t="s">
        <v>74</v>
      </c>
      <c r="Q149" s="9" t="n">
        <v>5</v>
      </c>
      <c r="R149" s="9" t="s">
        <v>74</v>
      </c>
      <c r="S149" s="10" t="s">
        <v>1960</v>
      </c>
      <c r="T149" s="10" t="s">
        <v>1961</v>
      </c>
      <c r="U149" s="10" t="s">
        <v>1962</v>
      </c>
    </row>
    <row r="150" customFormat="false" ht="108" hidden="true" customHeight="true" outlineLevel="0" collapsed="false">
      <c r="A150" s="9" t="s">
        <v>1963</v>
      </c>
      <c r="B150" s="10" t="s">
        <v>1500</v>
      </c>
      <c r="C150" s="10" t="s">
        <v>1911</v>
      </c>
      <c r="D150" s="10" t="s">
        <v>1964</v>
      </c>
      <c r="E150" s="10" t="s">
        <v>1965</v>
      </c>
      <c r="F150" s="10" t="s">
        <v>1966</v>
      </c>
      <c r="G150" s="10" t="s">
        <v>1967</v>
      </c>
      <c r="H150" s="9" t="s">
        <v>84</v>
      </c>
      <c r="I150" s="10" t="s">
        <v>1968</v>
      </c>
      <c r="J150" s="10" t="s">
        <v>1969</v>
      </c>
      <c r="K150" s="10" t="s">
        <v>1970</v>
      </c>
      <c r="L150" s="10" t="s">
        <v>1971</v>
      </c>
      <c r="M150" s="9" t="s">
        <v>70</v>
      </c>
      <c r="N150" s="9" t="s">
        <v>71</v>
      </c>
      <c r="O150" s="10" t="s">
        <v>1611</v>
      </c>
      <c r="P150" s="13" t="s">
        <v>119</v>
      </c>
      <c r="Q150" s="9" t="n">
        <v>2</v>
      </c>
      <c r="R150" s="9" t="s">
        <v>90</v>
      </c>
      <c r="S150" s="10" t="s">
        <v>1972</v>
      </c>
      <c r="T150" s="10" t="s">
        <v>1973</v>
      </c>
      <c r="U150" s="10" t="s">
        <v>1974</v>
      </c>
    </row>
    <row r="151" customFormat="false" ht="108" hidden="true" customHeight="true" outlineLevel="0" collapsed="false">
      <c r="A151" s="9" t="s">
        <v>1975</v>
      </c>
      <c r="B151" s="10" t="s">
        <v>1500</v>
      </c>
      <c r="C151" s="10" t="s">
        <v>1976</v>
      </c>
      <c r="D151" s="10" t="s">
        <v>1977</v>
      </c>
      <c r="E151" s="10" t="s">
        <v>1978</v>
      </c>
      <c r="F151" s="10" t="s">
        <v>1979</v>
      </c>
      <c r="G151" s="10" t="s">
        <v>1980</v>
      </c>
      <c r="H151" s="9" t="s">
        <v>65</v>
      </c>
      <c r="I151" s="10" t="s">
        <v>1981</v>
      </c>
      <c r="J151" s="10" t="s">
        <v>1982</v>
      </c>
      <c r="K151" s="10" t="s">
        <v>1983</v>
      </c>
      <c r="L151" s="10" t="s">
        <v>1984</v>
      </c>
      <c r="M151" s="9" t="s">
        <v>821</v>
      </c>
      <c r="N151" s="9" t="s">
        <v>71</v>
      </c>
      <c r="O151" s="10" t="s">
        <v>678</v>
      </c>
      <c r="P151" s="13" t="s">
        <v>119</v>
      </c>
      <c r="Q151" s="9" t="n">
        <v>2</v>
      </c>
      <c r="R151" s="9" t="s">
        <v>90</v>
      </c>
      <c r="S151" s="10" t="s">
        <v>1985</v>
      </c>
      <c r="T151" s="10" t="s">
        <v>1986</v>
      </c>
      <c r="U151" s="10" t="s">
        <v>1987</v>
      </c>
    </row>
    <row r="152" customFormat="false" ht="108" hidden="true" customHeight="true" outlineLevel="0" collapsed="false">
      <c r="A152" s="9" t="s">
        <v>1988</v>
      </c>
      <c r="B152" s="10" t="s">
        <v>1500</v>
      </c>
      <c r="C152" s="10" t="s">
        <v>1976</v>
      </c>
      <c r="D152" s="10" t="s">
        <v>1989</v>
      </c>
      <c r="E152" s="10" t="s">
        <v>1990</v>
      </c>
      <c r="F152" s="10" t="s">
        <v>1991</v>
      </c>
      <c r="G152" s="10" t="s">
        <v>1992</v>
      </c>
      <c r="H152" s="9" t="s">
        <v>65</v>
      </c>
      <c r="I152" s="10" t="s">
        <v>1993</v>
      </c>
      <c r="J152" s="10" t="s">
        <v>1994</v>
      </c>
      <c r="K152" s="10" t="s">
        <v>1995</v>
      </c>
      <c r="L152" s="10" t="s">
        <v>1996</v>
      </c>
      <c r="M152" s="9" t="s">
        <v>70</v>
      </c>
      <c r="N152" s="9" t="s">
        <v>71</v>
      </c>
      <c r="O152" s="10" t="s">
        <v>275</v>
      </c>
      <c r="P152" s="14" t="s">
        <v>74</v>
      </c>
      <c r="Q152" s="9" t="n">
        <v>5</v>
      </c>
      <c r="R152" s="9" t="s">
        <v>74</v>
      </c>
      <c r="S152" s="10" t="s">
        <v>1997</v>
      </c>
      <c r="T152" s="10" t="s">
        <v>1998</v>
      </c>
      <c r="U152" s="10" t="s">
        <v>1999</v>
      </c>
    </row>
    <row r="153" customFormat="false" ht="108" hidden="true" customHeight="true" outlineLevel="0" collapsed="false">
      <c r="A153" s="9" t="s">
        <v>2000</v>
      </c>
      <c r="B153" s="10" t="s">
        <v>1500</v>
      </c>
      <c r="C153" s="10" t="s">
        <v>2001</v>
      </c>
      <c r="D153" s="10" t="s">
        <v>2002</v>
      </c>
      <c r="E153" s="10" t="s">
        <v>2003</v>
      </c>
      <c r="F153" s="10" t="s">
        <v>2004</v>
      </c>
      <c r="G153" s="10" t="s">
        <v>2005</v>
      </c>
      <c r="H153" s="9" t="s">
        <v>987</v>
      </c>
      <c r="I153" s="10" t="s">
        <v>2006</v>
      </c>
      <c r="J153" s="10" t="s">
        <v>2007</v>
      </c>
      <c r="K153" s="10" t="s">
        <v>2008</v>
      </c>
      <c r="L153" s="10" t="s">
        <v>2009</v>
      </c>
      <c r="M153" s="9" t="s">
        <v>677</v>
      </c>
      <c r="N153" s="9" t="s">
        <v>274</v>
      </c>
      <c r="O153" s="10" t="s">
        <v>72</v>
      </c>
      <c r="P153" s="14" t="s">
        <v>74</v>
      </c>
      <c r="Q153" s="9" t="n">
        <v>4</v>
      </c>
      <c r="R153" s="9" t="s">
        <v>74</v>
      </c>
      <c r="S153" s="10" t="s">
        <v>2010</v>
      </c>
      <c r="T153" s="10" t="s">
        <v>2011</v>
      </c>
      <c r="U153" s="10" t="s">
        <v>2012</v>
      </c>
    </row>
    <row r="154" customFormat="false" ht="108" hidden="false" customHeight="true" outlineLevel="0" collapsed="false">
      <c r="A154" s="9" t="s">
        <v>2013</v>
      </c>
      <c r="B154" s="10" t="s">
        <v>1500</v>
      </c>
      <c r="C154" s="10" t="s">
        <v>2014</v>
      </c>
      <c r="D154" s="10" t="s">
        <v>2015</v>
      </c>
      <c r="E154" s="10" t="s">
        <v>2016</v>
      </c>
      <c r="F154" s="10" t="s">
        <v>2017</v>
      </c>
      <c r="G154" s="10" t="s">
        <v>2018</v>
      </c>
      <c r="H154" s="9" t="s">
        <v>65</v>
      </c>
      <c r="I154" s="10" t="s">
        <v>2019</v>
      </c>
      <c r="J154" s="10" t="s">
        <v>2020</v>
      </c>
      <c r="K154" s="10" t="s">
        <v>2021</v>
      </c>
      <c r="L154" s="10" t="s">
        <v>2022</v>
      </c>
      <c r="M154" s="9" t="s">
        <v>133</v>
      </c>
      <c r="N154" s="9" t="s">
        <v>71</v>
      </c>
      <c r="O154" s="10" t="s">
        <v>275</v>
      </c>
      <c r="P154" s="12" t="s">
        <v>90</v>
      </c>
      <c r="Q154" s="9" t="n">
        <v>6</v>
      </c>
      <c r="R154" s="9" t="s">
        <v>74</v>
      </c>
      <c r="S154" s="10" t="s">
        <v>2023</v>
      </c>
      <c r="T154" s="10" t="s">
        <v>2024</v>
      </c>
      <c r="U154" s="10" t="s">
        <v>2025</v>
      </c>
    </row>
    <row r="155" customFormat="false" ht="108" hidden="true" customHeight="true" outlineLevel="0" collapsed="false">
      <c r="A155" s="9" t="s">
        <v>2026</v>
      </c>
      <c r="B155" s="10" t="s">
        <v>1500</v>
      </c>
      <c r="C155" s="10" t="s">
        <v>2027</v>
      </c>
      <c r="D155" s="10" t="s">
        <v>2028</v>
      </c>
      <c r="E155" s="10" t="s">
        <v>2029</v>
      </c>
      <c r="F155" s="10" t="s">
        <v>2030</v>
      </c>
      <c r="G155" s="10" t="s">
        <v>2031</v>
      </c>
      <c r="H155" s="9" t="s">
        <v>84</v>
      </c>
      <c r="I155" s="10" t="s">
        <v>2032</v>
      </c>
      <c r="J155" s="10" t="s">
        <v>2033</v>
      </c>
      <c r="K155" s="10" t="s">
        <v>2034</v>
      </c>
      <c r="L155" s="10" t="s">
        <v>2035</v>
      </c>
      <c r="M155" s="9" t="s">
        <v>661</v>
      </c>
      <c r="N155" s="9" t="s">
        <v>662</v>
      </c>
      <c r="O155" s="10" t="s">
        <v>72</v>
      </c>
      <c r="P155" s="14" t="s">
        <v>74</v>
      </c>
      <c r="Q155" s="9" t="n">
        <v>5</v>
      </c>
      <c r="R155" s="9" t="s">
        <v>74</v>
      </c>
      <c r="S155" s="10" t="s">
        <v>2036</v>
      </c>
      <c r="T155" s="10" t="s">
        <v>2037</v>
      </c>
      <c r="U155" s="10" t="s">
        <v>2038</v>
      </c>
    </row>
    <row r="156" customFormat="false" ht="108" hidden="false" customHeight="true" outlineLevel="0" collapsed="false">
      <c r="A156" s="9" t="s">
        <v>2039</v>
      </c>
      <c r="B156" s="10" t="s">
        <v>1500</v>
      </c>
      <c r="C156" s="10" t="s">
        <v>2040</v>
      </c>
      <c r="D156" s="10" t="s">
        <v>2041</v>
      </c>
      <c r="E156" s="10" t="s">
        <v>2042</v>
      </c>
      <c r="F156" s="10" t="s">
        <v>2043</v>
      </c>
      <c r="G156" s="10" t="s">
        <v>2044</v>
      </c>
      <c r="H156" s="9" t="s">
        <v>868</v>
      </c>
      <c r="I156" s="10" t="s">
        <v>2045</v>
      </c>
      <c r="J156" s="10" t="s">
        <v>2046</v>
      </c>
      <c r="K156" s="10" t="s">
        <v>2047</v>
      </c>
      <c r="L156" s="10" t="s">
        <v>2048</v>
      </c>
      <c r="M156" s="9" t="s">
        <v>677</v>
      </c>
      <c r="N156" s="9" t="s">
        <v>274</v>
      </c>
      <c r="O156" s="10" t="s">
        <v>1173</v>
      </c>
      <c r="P156" s="12" t="s">
        <v>90</v>
      </c>
      <c r="Q156" s="9" t="n">
        <v>7</v>
      </c>
      <c r="R156" s="9" t="s">
        <v>74</v>
      </c>
      <c r="S156" s="10" t="s">
        <v>2049</v>
      </c>
      <c r="T156" s="10" t="s">
        <v>2050</v>
      </c>
      <c r="U156" s="10" t="s">
        <v>2051</v>
      </c>
    </row>
    <row r="157" customFormat="false" ht="108" hidden="false" customHeight="true" outlineLevel="0" collapsed="false">
      <c r="A157" s="9" t="s">
        <v>2052</v>
      </c>
      <c r="B157" s="10" t="s">
        <v>1500</v>
      </c>
      <c r="C157" s="10" t="s">
        <v>2040</v>
      </c>
      <c r="D157" s="10" t="s">
        <v>2053</v>
      </c>
      <c r="E157" s="10" t="s">
        <v>2054</v>
      </c>
      <c r="F157" s="10" t="s">
        <v>2055</v>
      </c>
      <c r="G157" s="10" t="s">
        <v>2056</v>
      </c>
      <c r="H157" s="9" t="s">
        <v>65</v>
      </c>
      <c r="I157" s="10" t="s">
        <v>2057</v>
      </c>
      <c r="J157" s="10" t="s">
        <v>2058</v>
      </c>
      <c r="K157" s="10" t="s">
        <v>2059</v>
      </c>
      <c r="L157" s="10" t="s">
        <v>2060</v>
      </c>
      <c r="M157" s="9" t="s">
        <v>70</v>
      </c>
      <c r="N157" s="9" t="s">
        <v>71</v>
      </c>
      <c r="O157" s="10" t="s">
        <v>1173</v>
      </c>
      <c r="P157" s="12" t="s">
        <v>90</v>
      </c>
      <c r="Q157" s="9" t="n">
        <v>7</v>
      </c>
      <c r="R157" s="9" t="s">
        <v>74</v>
      </c>
      <c r="S157" s="10" t="s">
        <v>2061</v>
      </c>
      <c r="T157" s="10" t="s">
        <v>2062</v>
      </c>
      <c r="U157" s="10" t="s">
        <v>2063</v>
      </c>
    </row>
    <row r="158" customFormat="false" ht="108" hidden="true" customHeight="true" outlineLevel="0" collapsed="false">
      <c r="A158" s="9" t="s">
        <v>2064</v>
      </c>
      <c r="B158" s="10" t="s">
        <v>1500</v>
      </c>
      <c r="C158" s="10" t="s">
        <v>2040</v>
      </c>
      <c r="D158" s="10" t="s">
        <v>2065</v>
      </c>
      <c r="E158" s="10" t="s">
        <v>2066</v>
      </c>
      <c r="F158" s="10" t="s">
        <v>2067</v>
      </c>
      <c r="G158" s="10" t="s">
        <v>2068</v>
      </c>
      <c r="H158" s="9" t="s">
        <v>618</v>
      </c>
      <c r="I158" s="10" t="s">
        <v>2069</v>
      </c>
      <c r="J158" s="10" t="s">
        <v>2070</v>
      </c>
      <c r="K158" s="10" t="s">
        <v>2071</v>
      </c>
      <c r="L158" s="10" t="s">
        <v>2072</v>
      </c>
      <c r="M158" s="9" t="s">
        <v>661</v>
      </c>
      <c r="N158" s="9" t="s">
        <v>662</v>
      </c>
      <c r="O158" s="10" t="s">
        <v>118</v>
      </c>
      <c r="P158" s="11" t="s">
        <v>73</v>
      </c>
      <c r="Q158" s="9" t="n">
        <v>9</v>
      </c>
      <c r="R158" s="9" t="s">
        <v>119</v>
      </c>
      <c r="S158" s="10" t="s">
        <v>2073</v>
      </c>
      <c r="T158" s="10" t="s">
        <v>2074</v>
      </c>
      <c r="U158" s="10" t="s">
        <v>2075</v>
      </c>
    </row>
    <row r="159" customFormat="false" ht="108" hidden="true" customHeight="true" outlineLevel="0" collapsed="false">
      <c r="A159" s="9" t="s">
        <v>2076</v>
      </c>
      <c r="B159" s="10" t="s">
        <v>1500</v>
      </c>
      <c r="C159" s="10" t="s">
        <v>2077</v>
      </c>
      <c r="D159" s="10" t="s">
        <v>2078</v>
      </c>
      <c r="E159" s="10" t="s">
        <v>2079</v>
      </c>
      <c r="F159" s="10" t="s">
        <v>2080</v>
      </c>
      <c r="G159" s="10" t="s">
        <v>2081</v>
      </c>
      <c r="H159" s="9" t="s">
        <v>987</v>
      </c>
      <c r="I159" s="10" t="s">
        <v>2082</v>
      </c>
      <c r="J159" s="10" t="s">
        <v>2083</v>
      </c>
      <c r="K159" s="10" t="s">
        <v>2084</v>
      </c>
      <c r="L159" s="10" t="s">
        <v>2085</v>
      </c>
      <c r="M159" s="9" t="s">
        <v>821</v>
      </c>
      <c r="N159" s="9" t="s">
        <v>71</v>
      </c>
      <c r="O159" s="10" t="s">
        <v>275</v>
      </c>
      <c r="P159" s="14" t="s">
        <v>74</v>
      </c>
      <c r="Q159" s="9" t="n">
        <v>5</v>
      </c>
      <c r="R159" s="9" t="s">
        <v>74</v>
      </c>
      <c r="S159" s="10" t="s">
        <v>2086</v>
      </c>
      <c r="T159" s="10" t="s">
        <v>2087</v>
      </c>
      <c r="U159" s="10" t="s">
        <v>2088</v>
      </c>
    </row>
    <row r="160" customFormat="false" ht="108" hidden="true" customHeight="true" outlineLevel="0" collapsed="false">
      <c r="A160" s="9" t="s">
        <v>2089</v>
      </c>
      <c r="B160" s="10" t="s">
        <v>1500</v>
      </c>
      <c r="C160" s="10" t="s">
        <v>2077</v>
      </c>
      <c r="D160" s="10" t="s">
        <v>2090</v>
      </c>
      <c r="E160" s="10" t="s">
        <v>2091</v>
      </c>
      <c r="F160" s="10" t="s">
        <v>2092</v>
      </c>
      <c r="G160" s="10" t="s">
        <v>2093</v>
      </c>
      <c r="H160" s="9" t="s">
        <v>960</v>
      </c>
      <c r="I160" s="10" t="s">
        <v>2094</v>
      </c>
      <c r="J160" s="10" t="s">
        <v>2095</v>
      </c>
      <c r="K160" s="10" t="s">
        <v>2084</v>
      </c>
      <c r="L160" s="10" t="s">
        <v>2096</v>
      </c>
      <c r="M160" s="9" t="s">
        <v>821</v>
      </c>
      <c r="N160" s="9" t="s">
        <v>71</v>
      </c>
      <c r="O160" s="10" t="s">
        <v>275</v>
      </c>
      <c r="P160" s="13" t="s">
        <v>119</v>
      </c>
      <c r="Q160" s="9" t="n">
        <v>2</v>
      </c>
      <c r="R160" s="9" t="s">
        <v>90</v>
      </c>
      <c r="S160" s="10" t="s">
        <v>2097</v>
      </c>
      <c r="T160" s="10" t="s">
        <v>2098</v>
      </c>
      <c r="U160" s="10" t="s">
        <v>2099</v>
      </c>
    </row>
    <row r="161" customFormat="false" ht="108" hidden="false" customHeight="true" outlineLevel="0" collapsed="false">
      <c r="A161" s="9" t="s">
        <v>2100</v>
      </c>
      <c r="B161" s="10" t="s">
        <v>1500</v>
      </c>
      <c r="C161" s="10" t="s">
        <v>2077</v>
      </c>
      <c r="D161" s="10" t="s">
        <v>2101</v>
      </c>
      <c r="E161" s="10" t="s">
        <v>2102</v>
      </c>
      <c r="F161" s="10" t="s">
        <v>2103</v>
      </c>
      <c r="G161" s="10" t="s">
        <v>2104</v>
      </c>
      <c r="H161" s="9" t="s">
        <v>84</v>
      </c>
      <c r="I161" s="10" t="s">
        <v>2105</v>
      </c>
      <c r="J161" s="10" t="s">
        <v>2106</v>
      </c>
      <c r="K161" s="10" t="s">
        <v>2107</v>
      </c>
      <c r="L161" s="10" t="s">
        <v>2108</v>
      </c>
      <c r="M161" s="9" t="s">
        <v>133</v>
      </c>
      <c r="N161" s="9" t="s">
        <v>71</v>
      </c>
      <c r="O161" s="10" t="s">
        <v>275</v>
      </c>
      <c r="P161" s="12" t="s">
        <v>90</v>
      </c>
      <c r="Q161" s="9" t="n">
        <v>7</v>
      </c>
      <c r="R161" s="9" t="s">
        <v>74</v>
      </c>
      <c r="S161" s="10" t="s">
        <v>2109</v>
      </c>
      <c r="T161" s="10" t="s">
        <v>2110</v>
      </c>
      <c r="U161" s="10" t="s">
        <v>2111</v>
      </c>
    </row>
    <row r="162" customFormat="false" ht="108" hidden="false" customHeight="true" outlineLevel="0" collapsed="false">
      <c r="A162" s="9" t="s">
        <v>2112</v>
      </c>
      <c r="B162" s="10" t="s">
        <v>1500</v>
      </c>
      <c r="C162" s="10" t="s">
        <v>2113</v>
      </c>
      <c r="D162" s="10" t="s">
        <v>2114</v>
      </c>
      <c r="E162" s="10" t="s">
        <v>2115</v>
      </c>
      <c r="F162" s="10" t="s">
        <v>2116</v>
      </c>
      <c r="G162" s="10" t="s">
        <v>2117</v>
      </c>
      <c r="H162" s="9" t="s">
        <v>2118</v>
      </c>
      <c r="I162" s="10" t="s">
        <v>2119</v>
      </c>
      <c r="J162" s="10" t="s">
        <v>2120</v>
      </c>
      <c r="K162" s="10" t="s">
        <v>2121</v>
      </c>
      <c r="L162" s="10" t="s">
        <v>2122</v>
      </c>
      <c r="M162" s="9" t="s">
        <v>677</v>
      </c>
      <c r="N162" s="9" t="s">
        <v>274</v>
      </c>
      <c r="O162" s="10" t="s">
        <v>118</v>
      </c>
      <c r="P162" s="12" t="s">
        <v>90</v>
      </c>
      <c r="Q162" s="9" t="n">
        <v>8</v>
      </c>
      <c r="R162" s="9" t="s">
        <v>74</v>
      </c>
      <c r="S162" s="10" t="s">
        <v>2123</v>
      </c>
      <c r="T162" s="10" t="s">
        <v>2124</v>
      </c>
      <c r="U162" s="10" t="s">
        <v>2125</v>
      </c>
    </row>
    <row r="163" customFormat="false" ht="108" hidden="true" customHeight="true" outlineLevel="0" collapsed="false">
      <c r="A163" s="9" t="s">
        <v>2126</v>
      </c>
      <c r="B163" s="10" t="s">
        <v>1500</v>
      </c>
      <c r="C163" s="10" t="s">
        <v>2113</v>
      </c>
      <c r="D163" s="10" t="s">
        <v>2127</v>
      </c>
      <c r="E163" s="10" t="s">
        <v>2128</v>
      </c>
      <c r="F163" s="10" t="s">
        <v>2129</v>
      </c>
      <c r="G163" s="10" t="s">
        <v>2130</v>
      </c>
      <c r="H163" s="9" t="s">
        <v>2131</v>
      </c>
      <c r="I163" s="10" t="s">
        <v>2132</v>
      </c>
      <c r="J163" s="10" t="s">
        <v>2133</v>
      </c>
      <c r="K163" s="10" t="s">
        <v>2134</v>
      </c>
      <c r="L163" s="10" t="s">
        <v>2135</v>
      </c>
      <c r="M163" s="9" t="s">
        <v>661</v>
      </c>
      <c r="N163" s="9" t="s">
        <v>662</v>
      </c>
      <c r="O163" s="10" t="s">
        <v>118</v>
      </c>
      <c r="P163" s="11" t="s">
        <v>73</v>
      </c>
      <c r="Q163" s="9" t="n">
        <v>10</v>
      </c>
      <c r="R163" s="9" t="s">
        <v>119</v>
      </c>
      <c r="S163" s="10" t="s">
        <v>2136</v>
      </c>
      <c r="T163" s="10" t="s">
        <v>2137</v>
      </c>
      <c r="U163" s="10" t="s">
        <v>2138</v>
      </c>
    </row>
    <row r="164" customFormat="false" ht="108" hidden="true" customHeight="true" outlineLevel="0" collapsed="false">
      <c r="A164" s="9" t="s">
        <v>2139</v>
      </c>
      <c r="B164" s="10" t="s">
        <v>2140</v>
      </c>
      <c r="C164" s="10" t="s">
        <v>2141</v>
      </c>
      <c r="D164" s="10" t="s">
        <v>2142</v>
      </c>
      <c r="E164" s="10" t="s">
        <v>2143</v>
      </c>
      <c r="F164" s="10" t="s">
        <v>2144</v>
      </c>
      <c r="G164" s="10" t="s">
        <v>2145</v>
      </c>
      <c r="H164" s="9" t="s">
        <v>618</v>
      </c>
      <c r="I164" s="10" t="s">
        <v>2146</v>
      </c>
      <c r="J164" s="10" t="s">
        <v>2147</v>
      </c>
      <c r="K164" s="10" t="s">
        <v>2148</v>
      </c>
      <c r="L164" s="10" t="s">
        <v>2149</v>
      </c>
      <c r="M164" s="9" t="s">
        <v>70</v>
      </c>
      <c r="N164" s="9" t="s">
        <v>71</v>
      </c>
      <c r="O164" s="10" t="s">
        <v>118</v>
      </c>
      <c r="P164" s="11" t="s">
        <v>73</v>
      </c>
      <c r="Q164" s="9" t="n">
        <v>9</v>
      </c>
      <c r="R164" s="9" t="s">
        <v>119</v>
      </c>
      <c r="S164" s="10" t="s">
        <v>2150</v>
      </c>
      <c r="T164" s="10" t="s">
        <v>2151</v>
      </c>
      <c r="U164" s="10" t="s">
        <v>2152</v>
      </c>
    </row>
    <row r="165" customFormat="false" ht="108" hidden="false" customHeight="true" outlineLevel="0" collapsed="false">
      <c r="A165" s="9" t="s">
        <v>2153</v>
      </c>
      <c r="B165" s="10" t="s">
        <v>2140</v>
      </c>
      <c r="C165" s="10" t="s">
        <v>2154</v>
      </c>
      <c r="D165" s="10" t="s">
        <v>2155</v>
      </c>
      <c r="E165" s="10" t="s">
        <v>2156</v>
      </c>
      <c r="F165" s="10" t="s">
        <v>2157</v>
      </c>
      <c r="G165" s="10" t="s">
        <v>2158</v>
      </c>
      <c r="H165" s="9" t="s">
        <v>618</v>
      </c>
      <c r="I165" s="10" t="s">
        <v>2159</v>
      </c>
      <c r="J165" s="10" t="s">
        <v>2160</v>
      </c>
      <c r="K165" s="10" t="s">
        <v>2161</v>
      </c>
      <c r="L165" s="10" t="s">
        <v>2162</v>
      </c>
      <c r="M165" s="9" t="s">
        <v>70</v>
      </c>
      <c r="N165" s="9" t="s">
        <v>71</v>
      </c>
      <c r="O165" s="10" t="s">
        <v>118</v>
      </c>
      <c r="P165" s="12" t="s">
        <v>90</v>
      </c>
      <c r="Q165" s="9" t="n">
        <v>7</v>
      </c>
      <c r="R165" s="9" t="s">
        <v>74</v>
      </c>
      <c r="S165" s="10" t="s">
        <v>2163</v>
      </c>
      <c r="T165" s="10" t="s">
        <v>2164</v>
      </c>
      <c r="U165" s="10" t="s">
        <v>2165</v>
      </c>
    </row>
    <row r="166" customFormat="false" ht="108" hidden="true" customHeight="true" outlineLevel="0" collapsed="false">
      <c r="A166" s="9" t="s">
        <v>2166</v>
      </c>
      <c r="B166" s="10" t="s">
        <v>2140</v>
      </c>
      <c r="C166" s="10" t="s">
        <v>2167</v>
      </c>
      <c r="D166" s="10" t="s">
        <v>2168</v>
      </c>
      <c r="E166" s="10" t="s">
        <v>2169</v>
      </c>
      <c r="F166" s="10" t="s">
        <v>2170</v>
      </c>
      <c r="G166" s="10" t="s">
        <v>2171</v>
      </c>
      <c r="H166" s="9" t="s">
        <v>2172</v>
      </c>
      <c r="I166" s="10" t="s">
        <v>2173</v>
      </c>
      <c r="J166" s="10" t="s">
        <v>2174</v>
      </c>
      <c r="K166" s="10" t="s">
        <v>2175</v>
      </c>
      <c r="L166" s="10" t="s">
        <v>2176</v>
      </c>
      <c r="M166" s="9" t="s">
        <v>70</v>
      </c>
      <c r="N166" s="9" t="s">
        <v>117</v>
      </c>
      <c r="O166" s="10" t="s">
        <v>118</v>
      </c>
      <c r="P166" s="14" t="s">
        <v>74</v>
      </c>
      <c r="Q166" s="9" t="n">
        <v>5</v>
      </c>
      <c r="R166" s="9" t="s">
        <v>74</v>
      </c>
      <c r="S166" s="10" t="s">
        <v>2177</v>
      </c>
      <c r="T166" s="10" t="s">
        <v>2178</v>
      </c>
      <c r="U166" s="10" t="s">
        <v>2179</v>
      </c>
    </row>
    <row r="167" customFormat="false" ht="108" hidden="false" customHeight="true" outlineLevel="0" collapsed="false">
      <c r="A167" s="9" t="s">
        <v>2180</v>
      </c>
      <c r="B167" s="10" t="s">
        <v>2140</v>
      </c>
      <c r="C167" s="10" t="s">
        <v>2141</v>
      </c>
      <c r="D167" s="10" t="s">
        <v>2181</v>
      </c>
      <c r="E167" s="10" t="s">
        <v>2182</v>
      </c>
      <c r="F167" s="10" t="s">
        <v>2183</v>
      </c>
      <c r="G167" s="10" t="s">
        <v>2184</v>
      </c>
      <c r="H167" s="9" t="s">
        <v>618</v>
      </c>
      <c r="I167" s="10" t="s">
        <v>2185</v>
      </c>
      <c r="J167" s="10" t="s">
        <v>2186</v>
      </c>
      <c r="K167" s="10" t="s">
        <v>2148</v>
      </c>
      <c r="L167" s="10" t="s">
        <v>2187</v>
      </c>
      <c r="M167" s="9" t="s">
        <v>70</v>
      </c>
      <c r="N167" s="9" t="s">
        <v>71</v>
      </c>
      <c r="O167" s="10" t="s">
        <v>118</v>
      </c>
      <c r="P167" s="12" t="s">
        <v>90</v>
      </c>
      <c r="Q167" s="9" t="n">
        <v>8</v>
      </c>
      <c r="R167" s="9" t="s">
        <v>74</v>
      </c>
      <c r="S167" s="10" t="s">
        <v>2188</v>
      </c>
      <c r="T167" s="10" t="s">
        <v>2189</v>
      </c>
      <c r="U167" s="10" t="s">
        <v>2190</v>
      </c>
    </row>
    <row r="168" customFormat="false" ht="108" hidden="true" customHeight="true" outlineLevel="0" collapsed="false">
      <c r="A168" s="9" t="s">
        <v>2191</v>
      </c>
      <c r="B168" s="10" t="s">
        <v>2140</v>
      </c>
      <c r="C168" s="10" t="s">
        <v>2192</v>
      </c>
      <c r="D168" s="10" t="s">
        <v>2193</v>
      </c>
      <c r="E168" s="10" t="s">
        <v>2194</v>
      </c>
      <c r="F168" s="10" t="s">
        <v>2195</v>
      </c>
      <c r="G168" s="10" t="s">
        <v>2196</v>
      </c>
      <c r="H168" s="9" t="s">
        <v>618</v>
      </c>
      <c r="I168" s="10" t="s">
        <v>2197</v>
      </c>
      <c r="J168" s="10" t="s">
        <v>2198</v>
      </c>
      <c r="K168" s="10" t="s">
        <v>2199</v>
      </c>
      <c r="L168" s="10" t="s">
        <v>87</v>
      </c>
      <c r="M168" s="9" t="s">
        <v>70</v>
      </c>
      <c r="N168" s="9" t="s">
        <v>117</v>
      </c>
      <c r="O168" s="10" t="s">
        <v>118</v>
      </c>
      <c r="P168" s="11" t="s">
        <v>73</v>
      </c>
      <c r="Q168" s="9" t="n">
        <v>9</v>
      </c>
      <c r="R168" s="9" t="s">
        <v>119</v>
      </c>
      <c r="S168" s="10" t="s">
        <v>2200</v>
      </c>
      <c r="T168" s="10" t="s">
        <v>2201</v>
      </c>
      <c r="U168" s="10" t="s">
        <v>2202</v>
      </c>
    </row>
    <row r="169" customFormat="false" ht="108" hidden="true" customHeight="true" outlineLevel="0" collapsed="false">
      <c r="A169" s="9" t="s">
        <v>2203</v>
      </c>
      <c r="B169" s="10" t="s">
        <v>2140</v>
      </c>
      <c r="C169" s="10" t="s">
        <v>2204</v>
      </c>
      <c r="D169" s="10" t="s">
        <v>2205</v>
      </c>
      <c r="E169" s="10" t="s">
        <v>2206</v>
      </c>
      <c r="F169" s="10" t="s">
        <v>2207</v>
      </c>
      <c r="G169" s="10" t="s">
        <v>2208</v>
      </c>
      <c r="H169" s="9" t="s">
        <v>2209</v>
      </c>
      <c r="I169" s="10" t="s">
        <v>2210</v>
      </c>
      <c r="J169" s="10" t="s">
        <v>2211</v>
      </c>
      <c r="K169" s="10" t="s">
        <v>2212</v>
      </c>
      <c r="L169" s="10" t="s">
        <v>2213</v>
      </c>
      <c r="M169" s="9" t="s">
        <v>821</v>
      </c>
      <c r="N169" s="9" t="s">
        <v>71</v>
      </c>
      <c r="O169" s="10" t="s">
        <v>118</v>
      </c>
      <c r="P169" s="11" t="s">
        <v>73</v>
      </c>
      <c r="Q169" s="9" t="n">
        <v>10</v>
      </c>
      <c r="R169" s="9" t="s">
        <v>119</v>
      </c>
      <c r="S169" s="10" t="s">
        <v>2214</v>
      </c>
      <c r="T169" s="10" t="s">
        <v>2215</v>
      </c>
      <c r="U169" s="10" t="s">
        <v>2216</v>
      </c>
    </row>
    <row r="170" customFormat="false" ht="108" hidden="true" customHeight="true" outlineLevel="0" collapsed="false">
      <c r="A170" s="9" t="s">
        <v>2217</v>
      </c>
      <c r="B170" s="10" t="s">
        <v>2140</v>
      </c>
      <c r="C170" s="10" t="s">
        <v>2204</v>
      </c>
      <c r="D170" s="10" t="s">
        <v>2218</v>
      </c>
      <c r="E170" s="10" t="s">
        <v>2219</v>
      </c>
      <c r="F170" s="10" t="s">
        <v>2220</v>
      </c>
      <c r="G170" s="10" t="s">
        <v>2221</v>
      </c>
      <c r="H170" s="9" t="s">
        <v>2222</v>
      </c>
      <c r="I170" s="10" t="s">
        <v>2223</v>
      </c>
      <c r="J170" s="10" t="s">
        <v>2224</v>
      </c>
      <c r="K170" s="10" t="s">
        <v>2148</v>
      </c>
      <c r="L170" s="10" t="s">
        <v>2225</v>
      </c>
      <c r="M170" s="9" t="s">
        <v>821</v>
      </c>
      <c r="N170" s="9" t="s">
        <v>71</v>
      </c>
      <c r="O170" s="10" t="s">
        <v>118</v>
      </c>
      <c r="P170" s="14" t="s">
        <v>74</v>
      </c>
      <c r="Q170" s="9" t="n">
        <v>5</v>
      </c>
      <c r="R170" s="9" t="s">
        <v>74</v>
      </c>
      <c r="S170" s="10" t="s">
        <v>2226</v>
      </c>
      <c r="T170" s="10" t="s">
        <v>2227</v>
      </c>
      <c r="U170" s="10" t="s">
        <v>2228</v>
      </c>
    </row>
    <row r="171" customFormat="false" ht="108" hidden="true" customHeight="true" outlineLevel="0" collapsed="false">
      <c r="A171" s="9" t="s">
        <v>2229</v>
      </c>
      <c r="B171" s="10" t="s">
        <v>2140</v>
      </c>
      <c r="C171" s="10" t="s">
        <v>2204</v>
      </c>
      <c r="D171" s="10" t="s">
        <v>2230</v>
      </c>
      <c r="E171" s="10" t="s">
        <v>2231</v>
      </c>
      <c r="F171" s="10" t="s">
        <v>2232</v>
      </c>
      <c r="G171" s="10" t="s">
        <v>2233</v>
      </c>
      <c r="H171" s="9" t="s">
        <v>618</v>
      </c>
      <c r="I171" s="10" t="s">
        <v>2234</v>
      </c>
      <c r="J171" s="10" t="s">
        <v>2235</v>
      </c>
      <c r="K171" s="10" t="s">
        <v>2236</v>
      </c>
      <c r="L171" s="10" t="s">
        <v>2237</v>
      </c>
      <c r="M171" s="9" t="s">
        <v>821</v>
      </c>
      <c r="N171" s="9" t="s">
        <v>71</v>
      </c>
      <c r="O171" s="10" t="s">
        <v>118</v>
      </c>
      <c r="P171" s="14" t="s">
        <v>74</v>
      </c>
      <c r="Q171" s="9" t="n">
        <v>5</v>
      </c>
      <c r="R171" s="9" t="s">
        <v>90</v>
      </c>
      <c r="S171" s="10" t="s">
        <v>2238</v>
      </c>
      <c r="T171" s="10" t="s">
        <v>2239</v>
      </c>
      <c r="U171" s="10" t="s">
        <v>2240</v>
      </c>
    </row>
    <row r="172" customFormat="false" ht="108" hidden="true" customHeight="true" outlineLevel="0" collapsed="false">
      <c r="A172" s="9" t="s">
        <v>2241</v>
      </c>
      <c r="B172" s="10" t="s">
        <v>2140</v>
      </c>
      <c r="C172" s="10" t="s">
        <v>2242</v>
      </c>
      <c r="D172" s="10" t="s">
        <v>2243</v>
      </c>
      <c r="E172" s="10" t="s">
        <v>2244</v>
      </c>
      <c r="F172" s="10" t="s">
        <v>2245</v>
      </c>
      <c r="G172" s="10" t="s">
        <v>2246</v>
      </c>
      <c r="H172" s="9" t="s">
        <v>618</v>
      </c>
      <c r="I172" s="10" t="s">
        <v>2247</v>
      </c>
      <c r="J172" s="10" t="s">
        <v>2248</v>
      </c>
      <c r="K172" s="10" t="s">
        <v>2161</v>
      </c>
      <c r="L172" s="10" t="s">
        <v>2249</v>
      </c>
      <c r="M172" s="9" t="s">
        <v>70</v>
      </c>
      <c r="N172" s="9" t="s">
        <v>117</v>
      </c>
      <c r="O172" s="10" t="s">
        <v>118</v>
      </c>
      <c r="P172" s="13" t="s">
        <v>119</v>
      </c>
      <c r="Q172" s="9" t="n">
        <v>2</v>
      </c>
      <c r="R172" s="9" t="s">
        <v>90</v>
      </c>
      <c r="S172" s="10" t="s">
        <v>2250</v>
      </c>
      <c r="T172" s="10" t="s">
        <v>2251</v>
      </c>
      <c r="U172" s="10" t="s">
        <v>2252</v>
      </c>
    </row>
    <row r="173" customFormat="false" ht="108" hidden="true" customHeight="true" outlineLevel="0" collapsed="false">
      <c r="A173" s="9" t="s">
        <v>2253</v>
      </c>
      <c r="B173" s="10" t="s">
        <v>2140</v>
      </c>
      <c r="C173" s="10" t="s">
        <v>2254</v>
      </c>
      <c r="D173" s="10" t="s">
        <v>2255</v>
      </c>
      <c r="E173" s="10" t="s">
        <v>2256</v>
      </c>
      <c r="F173" s="10" t="s">
        <v>2257</v>
      </c>
      <c r="G173" s="10" t="s">
        <v>2258</v>
      </c>
      <c r="H173" s="9" t="s">
        <v>2259</v>
      </c>
      <c r="I173" s="10" t="s">
        <v>2260</v>
      </c>
      <c r="J173" s="10" t="s">
        <v>2261</v>
      </c>
      <c r="K173" s="10" t="s">
        <v>2175</v>
      </c>
      <c r="L173" s="10" t="s">
        <v>2262</v>
      </c>
      <c r="M173" s="9" t="s">
        <v>661</v>
      </c>
      <c r="N173" s="9" t="s">
        <v>662</v>
      </c>
      <c r="O173" s="10" t="s">
        <v>118</v>
      </c>
      <c r="P173" s="11" t="s">
        <v>73</v>
      </c>
      <c r="Q173" s="9" t="n">
        <v>9</v>
      </c>
      <c r="R173" s="9" t="s">
        <v>119</v>
      </c>
      <c r="S173" s="10" t="s">
        <v>2263</v>
      </c>
      <c r="T173" s="10" t="s">
        <v>2264</v>
      </c>
      <c r="U173" s="10" t="s">
        <v>2265</v>
      </c>
    </row>
    <row r="174" customFormat="false" ht="108" hidden="false" customHeight="true" outlineLevel="0" collapsed="false">
      <c r="A174" s="9" t="s">
        <v>2266</v>
      </c>
      <c r="B174" s="10" t="s">
        <v>2140</v>
      </c>
      <c r="C174" s="10" t="s">
        <v>2254</v>
      </c>
      <c r="D174" s="10" t="s">
        <v>2267</v>
      </c>
      <c r="E174" s="10" t="s">
        <v>2268</v>
      </c>
      <c r="F174" s="10" t="s">
        <v>2269</v>
      </c>
      <c r="G174" s="10" t="s">
        <v>2270</v>
      </c>
      <c r="H174" s="9" t="s">
        <v>618</v>
      </c>
      <c r="I174" s="10" t="s">
        <v>2271</v>
      </c>
      <c r="J174" s="10" t="s">
        <v>2272</v>
      </c>
      <c r="K174" s="10" t="s">
        <v>2175</v>
      </c>
      <c r="L174" s="10" t="s">
        <v>2273</v>
      </c>
      <c r="M174" s="9" t="s">
        <v>661</v>
      </c>
      <c r="N174" s="9" t="s">
        <v>662</v>
      </c>
      <c r="O174" s="10" t="s">
        <v>118</v>
      </c>
      <c r="P174" s="12" t="s">
        <v>90</v>
      </c>
      <c r="Q174" s="9" t="n">
        <v>8</v>
      </c>
      <c r="R174" s="9" t="s">
        <v>74</v>
      </c>
      <c r="S174" s="10" t="s">
        <v>2274</v>
      </c>
      <c r="T174" s="10" t="s">
        <v>2275</v>
      </c>
      <c r="U174" s="10" t="s">
        <v>2179</v>
      </c>
    </row>
    <row r="175" customFormat="false" ht="108" hidden="true" customHeight="true" outlineLevel="0" collapsed="false">
      <c r="A175" s="9" t="s">
        <v>2276</v>
      </c>
      <c r="B175" s="10" t="s">
        <v>2140</v>
      </c>
      <c r="C175" s="10" t="s">
        <v>2254</v>
      </c>
      <c r="D175" s="10" t="s">
        <v>2277</v>
      </c>
      <c r="E175" s="10" t="s">
        <v>2278</v>
      </c>
      <c r="F175" s="10" t="s">
        <v>2279</v>
      </c>
      <c r="G175" s="10" t="s">
        <v>2280</v>
      </c>
      <c r="H175" s="9" t="s">
        <v>2281</v>
      </c>
      <c r="I175" s="10" t="s">
        <v>2282</v>
      </c>
      <c r="J175" s="10" t="s">
        <v>2283</v>
      </c>
      <c r="K175" s="10" t="s">
        <v>2175</v>
      </c>
      <c r="L175" s="10" t="s">
        <v>621</v>
      </c>
      <c r="M175" s="9" t="s">
        <v>661</v>
      </c>
      <c r="N175" s="9" t="s">
        <v>117</v>
      </c>
      <c r="O175" s="10" t="s">
        <v>118</v>
      </c>
      <c r="P175" s="14" t="s">
        <v>74</v>
      </c>
      <c r="Q175" s="9" t="n">
        <v>4</v>
      </c>
      <c r="R175" s="9" t="s">
        <v>74</v>
      </c>
      <c r="S175" s="10" t="s">
        <v>2284</v>
      </c>
      <c r="T175" s="10" t="s">
        <v>2285</v>
      </c>
      <c r="U175" s="10" t="s">
        <v>2286</v>
      </c>
    </row>
    <row r="176" customFormat="false" ht="108" hidden="false" customHeight="true" outlineLevel="0" collapsed="false">
      <c r="A176" s="9" t="s">
        <v>2287</v>
      </c>
      <c r="B176" s="10" t="s">
        <v>2140</v>
      </c>
      <c r="C176" s="10" t="s">
        <v>2288</v>
      </c>
      <c r="D176" s="10" t="s">
        <v>2289</v>
      </c>
      <c r="E176" s="10" t="s">
        <v>2290</v>
      </c>
      <c r="F176" s="10" t="s">
        <v>2291</v>
      </c>
      <c r="G176" s="10" t="s">
        <v>2292</v>
      </c>
      <c r="H176" s="9" t="s">
        <v>2293</v>
      </c>
      <c r="I176" s="10" t="s">
        <v>2294</v>
      </c>
      <c r="J176" s="10" t="s">
        <v>2295</v>
      </c>
      <c r="K176" s="10" t="s">
        <v>2296</v>
      </c>
      <c r="L176" s="10" t="s">
        <v>2297</v>
      </c>
      <c r="M176" s="9" t="s">
        <v>661</v>
      </c>
      <c r="N176" s="9" t="s">
        <v>662</v>
      </c>
      <c r="O176" s="10" t="s">
        <v>118</v>
      </c>
      <c r="P176" s="12" t="s">
        <v>90</v>
      </c>
      <c r="Q176" s="9" t="n">
        <v>8</v>
      </c>
      <c r="R176" s="9" t="s">
        <v>119</v>
      </c>
      <c r="S176" s="10" t="s">
        <v>2298</v>
      </c>
      <c r="T176" s="10" t="s">
        <v>2299</v>
      </c>
      <c r="U176" s="10" t="s">
        <v>2300</v>
      </c>
    </row>
    <row r="177" customFormat="false" ht="108" hidden="false" customHeight="true" outlineLevel="0" collapsed="false">
      <c r="A177" s="9" t="s">
        <v>2301</v>
      </c>
      <c r="B177" s="10" t="s">
        <v>2140</v>
      </c>
      <c r="C177" s="10" t="s">
        <v>2302</v>
      </c>
      <c r="D177" s="10" t="s">
        <v>2303</v>
      </c>
      <c r="E177" s="10" t="s">
        <v>2304</v>
      </c>
      <c r="F177" s="10" t="s">
        <v>2305</v>
      </c>
      <c r="G177" s="10" t="s">
        <v>2306</v>
      </c>
      <c r="H177" s="9" t="s">
        <v>618</v>
      </c>
      <c r="I177" s="10" t="s">
        <v>2307</v>
      </c>
      <c r="J177" s="10" t="s">
        <v>2308</v>
      </c>
      <c r="K177" s="10" t="s">
        <v>2175</v>
      </c>
      <c r="L177" s="10" t="s">
        <v>2309</v>
      </c>
      <c r="M177" s="9" t="s">
        <v>661</v>
      </c>
      <c r="N177" s="9" t="s">
        <v>662</v>
      </c>
      <c r="O177" s="10" t="s">
        <v>118</v>
      </c>
      <c r="P177" s="12" t="s">
        <v>90</v>
      </c>
      <c r="Q177" s="9" t="n">
        <v>7</v>
      </c>
      <c r="R177" s="9" t="s">
        <v>74</v>
      </c>
      <c r="S177" s="10" t="s">
        <v>2310</v>
      </c>
      <c r="T177" s="10" t="s">
        <v>2311</v>
      </c>
      <c r="U177" s="10" t="s">
        <v>2312</v>
      </c>
    </row>
    <row r="178" customFormat="false" ht="108" hidden="false" customHeight="true" outlineLevel="0" collapsed="false">
      <c r="A178" s="9" t="s">
        <v>2313</v>
      </c>
      <c r="B178" s="10" t="s">
        <v>2140</v>
      </c>
      <c r="C178" s="10" t="s">
        <v>2288</v>
      </c>
      <c r="D178" s="10" t="s">
        <v>2314</v>
      </c>
      <c r="E178" s="10" t="s">
        <v>2315</v>
      </c>
      <c r="F178" s="10" t="s">
        <v>2316</v>
      </c>
      <c r="G178" s="10" t="s">
        <v>2317</v>
      </c>
      <c r="H178" s="9" t="s">
        <v>1210</v>
      </c>
      <c r="I178" s="10" t="s">
        <v>2318</v>
      </c>
      <c r="J178" s="10" t="s">
        <v>2319</v>
      </c>
      <c r="K178" s="10" t="s">
        <v>2320</v>
      </c>
      <c r="L178" s="10" t="s">
        <v>2321</v>
      </c>
      <c r="M178" s="9" t="s">
        <v>70</v>
      </c>
      <c r="N178" s="9" t="s">
        <v>71</v>
      </c>
      <c r="O178" s="10" t="s">
        <v>118</v>
      </c>
      <c r="P178" s="12" t="s">
        <v>90</v>
      </c>
      <c r="Q178" s="9" t="n">
        <v>7</v>
      </c>
      <c r="R178" s="9" t="s">
        <v>74</v>
      </c>
      <c r="S178" s="10" t="s">
        <v>2322</v>
      </c>
      <c r="T178" s="10" t="s">
        <v>2323</v>
      </c>
      <c r="U178" s="10" t="s">
        <v>2324</v>
      </c>
    </row>
    <row r="179" customFormat="false" ht="108" hidden="true" customHeight="true" outlineLevel="0" collapsed="false">
      <c r="A179" s="9" t="s">
        <v>2325</v>
      </c>
      <c r="B179" s="10" t="s">
        <v>2140</v>
      </c>
      <c r="C179" s="10" t="s">
        <v>2326</v>
      </c>
      <c r="D179" s="10" t="s">
        <v>2327</v>
      </c>
      <c r="E179" s="10" t="s">
        <v>2328</v>
      </c>
      <c r="F179" s="10" t="s">
        <v>2329</v>
      </c>
      <c r="G179" s="10" t="s">
        <v>2330</v>
      </c>
      <c r="H179" s="9" t="s">
        <v>2331</v>
      </c>
      <c r="I179" s="10" t="s">
        <v>2332</v>
      </c>
      <c r="J179" s="10" t="s">
        <v>2333</v>
      </c>
      <c r="K179" s="10" t="s">
        <v>2334</v>
      </c>
      <c r="L179" s="10" t="s">
        <v>2335</v>
      </c>
      <c r="M179" s="9" t="s">
        <v>70</v>
      </c>
      <c r="N179" s="9" t="s">
        <v>117</v>
      </c>
      <c r="O179" s="10" t="s">
        <v>118</v>
      </c>
      <c r="P179" s="14" t="s">
        <v>74</v>
      </c>
      <c r="Q179" s="9" t="n">
        <v>5</v>
      </c>
      <c r="R179" s="9" t="s">
        <v>74</v>
      </c>
      <c r="S179" s="10" t="s">
        <v>2336</v>
      </c>
      <c r="T179" s="10" t="s">
        <v>2337</v>
      </c>
      <c r="U179" s="10" t="s">
        <v>2338</v>
      </c>
    </row>
    <row r="180" customFormat="false" ht="108" hidden="false" customHeight="true" outlineLevel="0" collapsed="false">
      <c r="A180" s="9" t="s">
        <v>2339</v>
      </c>
      <c r="B180" s="10" t="s">
        <v>2140</v>
      </c>
      <c r="C180" s="10" t="s">
        <v>2340</v>
      </c>
      <c r="D180" s="10" t="s">
        <v>2341</v>
      </c>
      <c r="E180" s="10" t="s">
        <v>2342</v>
      </c>
      <c r="F180" s="10" t="s">
        <v>2343</v>
      </c>
      <c r="G180" s="10" t="s">
        <v>2344</v>
      </c>
      <c r="H180" s="9" t="s">
        <v>2345</v>
      </c>
      <c r="I180" s="10" t="s">
        <v>2346</v>
      </c>
      <c r="J180" s="10" t="s">
        <v>2347</v>
      </c>
      <c r="K180" s="10" t="s">
        <v>2348</v>
      </c>
      <c r="L180" s="10" t="s">
        <v>2349</v>
      </c>
      <c r="M180" s="9" t="s">
        <v>821</v>
      </c>
      <c r="N180" s="9" t="s">
        <v>71</v>
      </c>
      <c r="O180" s="10" t="s">
        <v>118</v>
      </c>
      <c r="P180" s="12" t="s">
        <v>90</v>
      </c>
      <c r="Q180" s="9" t="n">
        <v>7</v>
      </c>
      <c r="R180" s="9" t="s">
        <v>119</v>
      </c>
      <c r="S180" s="10" t="s">
        <v>2350</v>
      </c>
      <c r="T180" s="10" t="s">
        <v>2351</v>
      </c>
      <c r="U180" s="10" t="s">
        <v>2352</v>
      </c>
    </row>
    <row r="181" customFormat="false" ht="108" hidden="false" customHeight="true" outlineLevel="0" collapsed="false">
      <c r="A181" s="9" t="s">
        <v>2353</v>
      </c>
      <c r="B181" s="10" t="s">
        <v>2140</v>
      </c>
      <c r="C181" s="10" t="s">
        <v>2354</v>
      </c>
      <c r="D181" s="10" t="s">
        <v>2355</v>
      </c>
      <c r="E181" s="10" t="s">
        <v>2356</v>
      </c>
      <c r="F181" s="10" t="s">
        <v>2357</v>
      </c>
      <c r="G181" s="10" t="s">
        <v>2358</v>
      </c>
      <c r="H181" s="9" t="s">
        <v>618</v>
      </c>
      <c r="I181" s="10" t="s">
        <v>2359</v>
      </c>
      <c r="J181" s="10" t="s">
        <v>2360</v>
      </c>
      <c r="K181" s="10" t="s">
        <v>2212</v>
      </c>
      <c r="L181" s="10" t="s">
        <v>2361</v>
      </c>
      <c r="M181" s="9" t="s">
        <v>133</v>
      </c>
      <c r="N181" s="9" t="s">
        <v>71</v>
      </c>
      <c r="O181" s="10" t="s">
        <v>118</v>
      </c>
      <c r="P181" s="12" t="s">
        <v>90</v>
      </c>
      <c r="Q181" s="9" t="n">
        <v>8</v>
      </c>
      <c r="R181" s="9" t="s">
        <v>74</v>
      </c>
      <c r="S181" s="10" t="s">
        <v>2362</v>
      </c>
      <c r="T181" s="10" t="s">
        <v>2363</v>
      </c>
      <c r="U181" s="10" t="s">
        <v>2364</v>
      </c>
    </row>
    <row r="182" customFormat="false" ht="108" hidden="true" customHeight="true" outlineLevel="0" collapsed="false">
      <c r="A182" s="9" t="s">
        <v>2365</v>
      </c>
      <c r="B182" s="10" t="s">
        <v>2140</v>
      </c>
      <c r="C182" s="10" t="s">
        <v>2366</v>
      </c>
      <c r="D182" s="10" t="s">
        <v>2367</v>
      </c>
      <c r="E182" s="10" t="s">
        <v>2368</v>
      </c>
      <c r="F182" s="10" t="s">
        <v>2369</v>
      </c>
      <c r="G182" s="10" t="s">
        <v>2370</v>
      </c>
      <c r="H182" s="9" t="s">
        <v>1210</v>
      </c>
      <c r="I182" s="10" t="s">
        <v>2371</v>
      </c>
      <c r="J182" s="10" t="s">
        <v>2372</v>
      </c>
      <c r="K182" s="10" t="s">
        <v>2161</v>
      </c>
      <c r="L182" s="10" t="s">
        <v>2373</v>
      </c>
      <c r="M182" s="9" t="s">
        <v>70</v>
      </c>
      <c r="N182" s="9" t="s">
        <v>117</v>
      </c>
      <c r="O182" s="10" t="s">
        <v>118</v>
      </c>
      <c r="P182" s="14" t="s">
        <v>74</v>
      </c>
      <c r="Q182" s="9" t="n">
        <v>4</v>
      </c>
      <c r="R182" s="9" t="s">
        <v>90</v>
      </c>
      <c r="S182" s="10" t="s">
        <v>2374</v>
      </c>
      <c r="T182" s="10" t="s">
        <v>2375</v>
      </c>
      <c r="U182" s="10" t="s">
        <v>2376</v>
      </c>
    </row>
    <row r="183" customFormat="false" ht="108" hidden="true" customHeight="true" outlineLevel="0" collapsed="false">
      <c r="A183" s="9" t="s">
        <v>2377</v>
      </c>
      <c r="B183" s="10" t="s">
        <v>2140</v>
      </c>
      <c r="C183" s="10" t="s">
        <v>2378</v>
      </c>
      <c r="D183" s="10" t="s">
        <v>2379</v>
      </c>
      <c r="E183" s="10" t="s">
        <v>2380</v>
      </c>
      <c r="F183" s="10" t="s">
        <v>2381</v>
      </c>
      <c r="G183" s="10" t="s">
        <v>2382</v>
      </c>
      <c r="H183" s="9" t="s">
        <v>618</v>
      </c>
      <c r="I183" s="10" t="s">
        <v>2383</v>
      </c>
      <c r="J183" s="10" t="s">
        <v>2384</v>
      </c>
      <c r="K183" s="10" t="s">
        <v>2385</v>
      </c>
      <c r="L183" s="10" t="s">
        <v>2262</v>
      </c>
      <c r="M183" s="9" t="s">
        <v>70</v>
      </c>
      <c r="N183" s="9" t="s">
        <v>71</v>
      </c>
      <c r="O183" s="10" t="s">
        <v>118</v>
      </c>
      <c r="P183" s="13" t="s">
        <v>119</v>
      </c>
      <c r="Q183" s="9" t="n">
        <v>2</v>
      </c>
      <c r="R183" s="9" t="s">
        <v>74</v>
      </c>
      <c r="S183" s="10" t="s">
        <v>2386</v>
      </c>
      <c r="T183" s="10" t="s">
        <v>2387</v>
      </c>
      <c r="U183" s="10" t="s">
        <v>2388</v>
      </c>
    </row>
    <row r="184" customFormat="false" ht="108" hidden="false" customHeight="true" outlineLevel="0" collapsed="false">
      <c r="A184" s="9" t="s">
        <v>2389</v>
      </c>
      <c r="B184" s="10" t="s">
        <v>2140</v>
      </c>
      <c r="C184" s="10" t="s">
        <v>2390</v>
      </c>
      <c r="D184" s="10" t="s">
        <v>2391</v>
      </c>
      <c r="E184" s="10" t="s">
        <v>2392</v>
      </c>
      <c r="F184" s="10" t="s">
        <v>2393</v>
      </c>
      <c r="G184" s="10" t="s">
        <v>2394</v>
      </c>
      <c r="H184" s="9" t="s">
        <v>2395</v>
      </c>
      <c r="I184" s="10" t="s">
        <v>2396</v>
      </c>
      <c r="J184" s="10" t="s">
        <v>2397</v>
      </c>
      <c r="K184" s="10" t="s">
        <v>2398</v>
      </c>
      <c r="L184" s="10" t="s">
        <v>2399</v>
      </c>
      <c r="M184" s="9" t="s">
        <v>133</v>
      </c>
      <c r="N184" s="9" t="s">
        <v>71</v>
      </c>
      <c r="O184" s="10" t="s">
        <v>118</v>
      </c>
      <c r="P184" s="12" t="s">
        <v>90</v>
      </c>
      <c r="Q184" s="9" t="n">
        <v>7</v>
      </c>
      <c r="R184" s="9" t="s">
        <v>119</v>
      </c>
      <c r="S184" s="10" t="s">
        <v>2400</v>
      </c>
      <c r="T184" s="10" t="s">
        <v>2401</v>
      </c>
      <c r="U184" s="10" t="s">
        <v>2402</v>
      </c>
    </row>
    <row r="185" customFormat="false" ht="108" hidden="true" customHeight="true" outlineLevel="0" collapsed="false">
      <c r="A185" s="9" t="s">
        <v>2403</v>
      </c>
      <c r="B185" s="10" t="s">
        <v>2140</v>
      </c>
      <c r="C185" s="10" t="s">
        <v>2390</v>
      </c>
      <c r="D185" s="10" t="s">
        <v>2404</v>
      </c>
      <c r="E185" s="10" t="s">
        <v>2405</v>
      </c>
      <c r="F185" s="10" t="s">
        <v>2406</v>
      </c>
      <c r="G185" s="10" t="s">
        <v>2407</v>
      </c>
      <c r="H185" s="9" t="s">
        <v>2408</v>
      </c>
      <c r="I185" s="10" t="s">
        <v>2409</v>
      </c>
      <c r="J185" s="10" t="s">
        <v>2410</v>
      </c>
      <c r="K185" s="10" t="s">
        <v>2411</v>
      </c>
      <c r="L185" s="10" t="s">
        <v>2412</v>
      </c>
      <c r="M185" s="9" t="s">
        <v>70</v>
      </c>
      <c r="N185" s="9" t="s">
        <v>71</v>
      </c>
      <c r="O185" s="10" t="s">
        <v>118</v>
      </c>
      <c r="P185" s="14" t="s">
        <v>74</v>
      </c>
      <c r="Q185" s="9" t="n">
        <v>5</v>
      </c>
      <c r="R185" s="9" t="s">
        <v>74</v>
      </c>
      <c r="S185" s="10" t="s">
        <v>2413</v>
      </c>
      <c r="T185" s="10" t="s">
        <v>2414</v>
      </c>
      <c r="U185" s="10" t="s">
        <v>2415</v>
      </c>
    </row>
    <row r="186" customFormat="false" ht="108" hidden="true" customHeight="true" outlineLevel="0" collapsed="false">
      <c r="A186" s="9" t="s">
        <v>2416</v>
      </c>
      <c r="B186" s="10" t="s">
        <v>2140</v>
      </c>
      <c r="C186" s="10" t="s">
        <v>2417</v>
      </c>
      <c r="D186" s="10" t="s">
        <v>2418</v>
      </c>
      <c r="E186" s="10" t="s">
        <v>2419</v>
      </c>
      <c r="F186" s="10" t="s">
        <v>2420</v>
      </c>
      <c r="G186" s="10" t="s">
        <v>2421</v>
      </c>
      <c r="H186" s="9" t="s">
        <v>2422</v>
      </c>
      <c r="I186" s="10" t="s">
        <v>2423</v>
      </c>
      <c r="J186" s="10" t="s">
        <v>2424</v>
      </c>
      <c r="K186" s="10" t="s">
        <v>2425</v>
      </c>
      <c r="L186" s="10" t="s">
        <v>2426</v>
      </c>
      <c r="M186" s="9" t="s">
        <v>677</v>
      </c>
      <c r="N186" s="9" t="s">
        <v>274</v>
      </c>
      <c r="O186" s="10" t="s">
        <v>118</v>
      </c>
      <c r="P186" s="11" t="s">
        <v>73</v>
      </c>
      <c r="Q186" s="9" t="n">
        <v>9</v>
      </c>
      <c r="R186" s="9" t="s">
        <v>119</v>
      </c>
      <c r="S186" s="10" t="s">
        <v>2427</v>
      </c>
      <c r="T186" s="10" t="s">
        <v>2428</v>
      </c>
      <c r="U186" s="10" t="s">
        <v>2429</v>
      </c>
    </row>
    <row r="187" customFormat="false" ht="108" hidden="false" customHeight="true" outlineLevel="0" collapsed="false">
      <c r="A187" s="9" t="s">
        <v>2430</v>
      </c>
      <c r="B187" s="10" t="s">
        <v>2140</v>
      </c>
      <c r="C187" s="10" t="s">
        <v>2417</v>
      </c>
      <c r="D187" s="10" t="s">
        <v>2431</v>
      </c>
      <c r="E187" s="10" t="s">
        <v>2432</v>
      </c>
      <c r="F187" s="10" t="s">
        <v>2433</v>
      </c>
      <c r="G187" s="10" t="s">
        <v>2434</v>
      </c>
      <c r="H187" s="9" t="s">
        <v>1053</v>
      </c>
      <c r="I187" s="10" t="s">
        <v>2435</v>
      </c>
      <c r="J187" s="10" t="s">
        <v>2436</v>
      </c>
      <c r="K187" s="10" t="s">
        <v>2437</v>
      </c>
      <c r="L187" s="10" t="s">
        <v>2438</v>
      </c>
      <c r="M187" s="9" t="s">
        <v>661</v>
      </c>
      <c r="N187" s="9" t="s">
        <v>662</v>
      </c>
      <c r="O187" s="10" t="s">
        <v>118</v>
      </c>
      <c r="P187" s="12" t="s">
        <v>90</v>
      </c>
      <c r="Q187" s="9" t="n">
        <v>8</v>
      </c>
      <c r="R187" s="9" t="s">
        <v>119</v>
      </c>
      <c r="S187" s="10" t="s">
        <v>2439</v>
      </c>
      <c r="T187" s="10" t="s">
        <v>2440</v>
      </c>
      <c r="U187" s="10" t="s">
        <v>2441</v>
      </c>
    </row>
    <row r="188" customFormat="false" ht="108" hidden="true" customHeight="true" outlineLevel="0" collapsed="false">
      <c r="A188" s="9" t="s">
        <v>2442</v>
      </c>
      <c r="B188" s="10" t="s">
        <v>2140</v>
      </c>
      <c r="C188" s="10" t="s">
        <v>2417</v>
      </c>
      <c r="D188" s="10" t="s">
        <v>2443</v>
      </c>
      <c r="E188" s="10" t="s">
        <v>2444</v>
      </c>
      <c r="F188" s="10" t="s">
        <v>2445</v>
      </c>
      <c r="G188" s="10" t="s">
        <v>2446</v>
      </c>
      <c r="H188" s="9" t="s">
        <v>618</v>
      </c>
      <c r="I188" s="10" t="s">
        <v>2447</v>
      </c>
      <c r="J188" s="10" t="s">
        <v>2448</v>
      </c>
      <c r="K188" s="10" t="s">
        <v>2449</v>
      </c>
      <c r="L188" s="10" t="s">
        <v>2450</v>
      </c>
      <c r="M188" s="9" t="s">
        <v>769</v>
      </c>
      <c r="N188" s="9" t="s">
        <v>117</v>
      </c>
      <c r="O188" s="10" t="s">
        <v>118</v>
      </c>
      <c r="P188" s="14" t="s">
        <v>74</v>
      </c>
      <c r="Q188" s="9" t="n">
        <v>5</v>
      </c>
      <c r="R188" s="9" t="s">
        <v>74</v>
      </c>
      <c r="S188" s="10" t="s">
        <v>2451</v>
      </c>
      <c r="T188" s="10" t="s">
        <v>2452</v>
      </c>
      <c r="U188" s="10" t="s">
        <v>2453</v>
      </c>
    </row>
    <row r="189" customFormat="false" ht="108" hidden="true" customHeight="true" outlineLevel="0" collapsed="false">
      <c r="A189" s="9" t="s">
        <v>2454</v>
      </c>
      <c r="B189" s="10" t="s">
        <v>2140</v>
      </c>
      <c r="C189" s="10" t="s">
        <v>2417</v>
      </c>
      <c r="D189" s="10" t="s">
        <v>2455</v>
      </c>
      <c r="E189" s="10" t="s">
        <v>2456</v>
      </c>
      <c r="F189" s="10" t="s">
        <v>2457</v>
      </c>
      <c r="G189" s="10" t="s">
        <v>2458</v>
      </c>
      <c r="H189" s="9" t="s">
        <v>2459</v>
      </c>
      <c r="I189" s="10" t="s">
        <v>2460</v>
      </c>
      <c r="J189" s="10" t="s">
        <v>2461</v>
      </c>
      <c r="K189" s="10" t="s">
        <v>2462</v>
      </c>
      <c r="L189" s="10" t="s">
        <v>2463</v>
      </c>
      <c r="M189" s="9" t="s">
        <v>912</v>
      </c>
      <c r="N189" s="9" t="s">
        <v>71</v>
      </c>
      <c r="O189" s="10" t="s">
        <v>118</v>
      </c>
      <c r="P189" s="14" t="s">
        <v>74</v>
      </c>
      <c r="Q189" s="9" t="n">
        <v>5</v>
      </c>
      <c r="R189" s="9" t="s">
        <v>74</v>
      </c>
      <c r="S189" s="10" t="s">
        <v>2464</v>
      </c>
      <c r="T189" s="10" t="s">
        <v>2465</v>
      </c>
      <c r="U189" s="10" t="s">
        <v>2466</v>
      </c>
    </row>
    <row r="190" customFormat="false" ht="108" hidden="true" customHeight="true" outlineLevel="0" collapsed="false">
      <c r="A190" s="9" t="s">
        <v>2467</v>
      </c>
      <c r="B190" s="10" t="s">
        <v>2140</v>
      </c>
      <c r="C190" s="10" t="s">
        <v>2468</v>
      </c>
      <c r="D190" s="10" t="s">
        <v>2469</v>
      </c>
      <c r="E190" s="10" t="s">
        <v>2470</v>
      </c>
      <c r="F190" s="10" t="s">
        <v>2471</v>
      </c>
      <c r="G190" s="10" t="s">
        <v>2472</v>
      </c>
      <c r="H190" s="9" t="s">
        <v>2473</v>
      </c>
      <c r="I190" s="10" t="s">
        <v>2474</v>
      </c>
      <c r="J190" s="10" t="s">
        <v>2475</v>
      </c>
      <c r="K190" s="10" t="s">
        <v>2476</v>
      </c>
      <c r="L190" s="10" t="s">
        <v>2477</v>
      </c>
      <c r="M190" s="9" t="s">
        <v>70</v>
      </c>
      <c r="N190" s="9" t="s">
        <v>71</v>
      </c>
      <c r="O190" s="10" t="s">
        <v>118</v>
      </c>
      <c r="P190" s="11" t="s">
        <v>73</v>
      </c>
      <c r="Q190" s="9" t="n">
        <v>9</v>
      </c>
      <c r="R190" s="9" t="s">
        <v>119</v>
      </c>
      <c r="S190" s="10" t="s">
        <v>2478</v>
      </c>
      <c r="T190" s="10" t="s">
        <v>2479</v>
      </c>
      <c r="U190" s="10" t="s">
        <v>2480</v>
      </c>
    </row>
    <row r="191" customFormat="false" ht="108" hidden="false" customHeight="true" outlineLevel="0" collapsed="false">
      <c r="A191" s="9" t="s">
        <v>2481</v>
      </c>
      <c r="B191" s="10" t="s">
        <v>2140</v>
      </c>
      <c r="C191" s="10" t="s">
        <v>2468</v>
      </c>
      <c r="D191" s="10" t="s">
        <v>2482</v>
      </c>
      <c r="E191" s="10" t="s">
        <v>2483</v>
      </c>
      <c r="F191" s="10" t="s">
        <v>2484</v>
      </c>
      <c r="G191" s="10" t="s">
        <v>2485</v>
      </c>
      <c r="H191" s="9" t="s">
        <v>1210</v>
      </c>
      <c r="I191" s="10" t="s">
        <v>2486</v>
      </c>
      <c r="J191" s="10" t="s">
        <v>2487</v>
      </c>
      <c r="K191" s="10" t="s">
        <v>2488</v>
      </c>
      <c r="L191" s="10" t="s">
        <v>2489</v>
      </c>
      <c r="M191" s="9" t="s">
        <v>70</v>
      </c>
      <c r="N191" s="9" t="s">
        <v>71</v>
      </c>
      <c r="O191" s="10" t="s">
        <v>118</v>
      </c>
      <c r="P191" s="12" t="s">
        <v>90</v>
      </c>
      <c r="Q191" s="9" t="n">
        <v>7</v>
      </c>
      <c r="R191" s="9" t="s">
        <v>74</v>
      </c>
      <c r="S191" s="10" t="s">
        <v>2490</v>
      </c>
      <c r="T191" s="10" t="s">
        <v>2491</v>
      </c>
      <c r="U191" s="10" t="s">
        <v>2492</v>
      </c>
    </row>
    <row r="192" customFormat="false" ht="108" hidden="true" customHeight="true" outlineLevel="0" collapsed="false">
      <c r="A192" s="9" t="s">
        <v>2493</v>
      </c>
      <c r="B192" s="10" t="s">
        <v>2140</v>
      </c>
      <c r="C192" s="10" t="s">
        <v>2468</v>
      </c>
      <c r="D192" s="10" t="s">
        <v>2494</v>
      </c>
      <c r="E192" s="10" t="s">
        <v>2495</v>
      </c>
      <c r="F192" s="10" t="s">
        <v>2496</v>
      </c>
      <c r="G192" s="10" t="s">
        <v>2497</v>
      </c>
      <c r="H192" s="9" t="s">
        <v>112</v>
      </c>
      <c r="I192" s="10" t="s">
        <v>2498</v>
      </c>
      <c r="J192" s="10" t="s">
        <v>2499</v>
      </c>
      <c r="K192" s="10" t="s">
        <v>2500</v>
      </c>
      <c r="L192" s="10" t="s">
        <v>2501</v>
      </c>
      <c r="M192" s="9" t="s">
        <v>133</v>
      </c>
      <c r="N192" s="9" t="s">
        <v>117</v>
      </c>
      <c r="O192" s="10" t="s">
        <v>118</v>
      </c>
      <c r="P192" s="14" t="s">
        <v>74</v>
      </c>
      <c r="Q192" s="9" t="n">
        <v>4</v>
      </c>
      <c r="R192" s="9" t="s">
        <v>74</v>
      </c>
      <c r="S192" s="10" t="s">
        <v>2502</v>
      </c>
      <c r="T192" s="10" t="s">
        <v>2503</v>
      </c>
      <c r="U192" s="10" t="s">
        <v>2504</v>
      </c>
    </row>
    <row r="193" customFormat="false" ht="108" hidden="false" customHeight="true" outlineLevel="0" collapsed="false">
      <c r="A193" s="9" t="s">
        <v>2505</v>
      </c>
      <c r="B193" s="10" t="s">
        <v>2140</v>
      </c>
      <c r="C193" s="10" t="s">
        <v>2468</v>
      </c>
      <c r="D193" s="10" t="s">
        <v>2506</v>
      </c>
      <c r="E193" s="10" t="s">
        <v>2507</v>
      </c>
      <c r="F193" s="10" t="s">
        <v>2508</v>
      </c>
      <c r="G193" s="10" t="s">
        <v>2509</v>
      </c>
      <c r="H193" s="9" t="s">
        <v>1210</v>
      </c>
      <c r="I193" s="10" t="s">
        <v>2510</v>
      </c>
      <c r="J193" s="10" t="s">
        <v>2511</v>
      </c>
      <c r="K193" s="10" t="s">
        <v>1807</v>
      </c>
      <c r="L193" s="10" t="s">
        <v>2512</v>
      </c>
      <c r="M193" s="9" t="s">
        <v>821</v>
      </c>
      <c r="N193" s="9" t="s">
        <v>71</v>
      </c>
      <c r="O193" s="10" t="s">
        <v>118</v>
      </c>
      <c r="P193" s="12" t="s">
        <v>90</v>
      </c>
      <c r="Q193" s="9" t="n">
        <v>7</v>
      </c>
      <c r="R193" s="9" t="s">
        <v>74</v>
      </c>
      <c r="S193" s="10" t="s">
        <v>2513</v>
      </c>
      <c r="T193" s="10" t="s">
        <v>2514</v>
      </c>
      <c r="U193" s="10" t="s">
        <v>2515</v>
      </c>
    </row>
    <row r="194" customFormat="false" ht="108" hidden="true" customHeight="true" outlineLevel="0" collapsed="false">
      <c r="A194" s="9" t="s">
        <v>2516</v>
      </c>
      <c r="B194" s="10" t="s">
        <v>2140</v>
      </c>
      <c r="C194" s="10" t="s">
        <v>2517</v>
      </c>
      <c r="D194" s="10" t="s">
        <v>2518</v>
      </c>
      <c r="E194" s="10" t="s">
        <v>2519</v>
      </c>
      <c r="F194" s="10" t="s">
        <v>2520</v>
      </c>
      <c r="G194" s="10" t="s">
        <v>2521</v>
      </c>
      <c r="H194" s="9" t="s">
        <v>2522</v>
      </c>
      <c r="I194" s="10" t="s">
        <v>2523</v>
      </c>
      <c r="J194" s="10" t="s">
        <v>2524</v>
      </c>
      <c r="K194" s="10" t="s">
        <v>2525</v>
      </c>
      <c r="L194" s="10" t="s">
        <v>2526</v>
      </c>
      <c r="M194" s="9" t="s">
        <v>70</v>
      </c>
      <c r="N194" s="9" t="s">
        <v>71</v>
      </c>
      <c r="O194" s="10" t="s">
        <v>89</v>
      </c>
      <c r="P194" s="11" t="s">
        <v>73</v>
      </c>
      <c r="Q194" s="9" t="n">
        <v>9</v>
      </c>
      <c r="R194" s="9" t="s">
        <v>119</v>
      </c>
      <c r="S194" s="10" t="s">
        <v>2527</v>
      </c>
      <c r="T194" s="10" t="s">
        <v>2528</v>
      </c>
      <c r="U194" s="10" t="s">
        <v>2529</v>
      </c>
    </row>
    <row r="195" customFormat="false" ht="108" hidden="true" customHeight="true" outlineLevel="0" collapsed="false">
      <c r="A195" s="9" t="s">
        <v>2530</v>
      </c>
      <c r="B195" s="10" t="s">
        <v>2140</v>
      </c>
      <c r="C195" s="10" t="s">
        <v>2531</v>
      </c>
      <c r="D195" s="10" t="s">
        <v>2532</v>
      </c>
      <c r="E195" s="10" t="s">
        <v>2533</v>
      </c>
      <c r="F195" s="10" t="s">
        <v>2534</v>
      </c>
      <c r="G195" s="10" t="s">
        <v>2535</v>
      </c>
      <c r="H195" s="9" t="s">
        <v>2536</v>
      </c>
      <c r="I195" s="10" t="s">
        <v>2537</v>
      </c>
      <c r="J195" s="10" t="s">
        <v>2538</v>
      </c>
      <c r="K195" s="10" t="s">
        <v>2539</v>
      </c>
      <c r="L195" s="10" t="s">
        <v>2540</v>
      </c>
      <c r="M195" s="9" t="s">
        <v>821</v>
      </c>
      <c r="N195" s="9" t="s">
        <v>71</v>
      </c>
      <c r="O195" s="10" t="s">
        <v>118</v>
      </c>
      <c r="P195" s="14" t="s">
        <v>74</v>
      </c>
      <c r="Q195" s="9" t="n">
        <v>4</v>
      </c>
      <c r="R195" s="9" t="s">
        <v>74</v>
      </c>
      <c r="S195" s="10" t="s">
        <v>2541</v>
      </c>
      <c r="T195" s="10" t="s">
        <v>2542</v>
      </c>
      <c r="U195" s="10" t="s">
        <v>2543</v>
      </c>
    </row>
    <row r="196" customFormat="false" ht="108" hidden="true" customHeight="true" outlineLevel="0" collapsed="false">
      <c r="A196" s="9" t="s">
        <v>2544</v>
      </c>
      <c r="B196" s="10" t="s">
        <v>2140</v>
      </c>
      <c r="C196" s="10" t="s">
        <v>2545</v>
      </c>
      <c r="D196" s="10" t="s">
        <v>2546</v>
      </c>
      <c r="E196" s="10" t="s">
        <v>2547</v>
      </c>
      <c r="F196" s="10" t="s">
        <v>2548</v>
      </c>
      <c r="G196" s="10" t="s">
        <v>2549</v>
      </c>
      <c r="H196" s="9" t="s">
        <v>618</v>
      </c>
      <c r="I196" s="10" t="s">
        <v>2550</v>
      </c>
      <c r="J196" s="10" t="s">
        <v>2551</v>
      </c>
      <c r="K196" s="10" t="s">
        <v>2552</v>
      </c>
      <c r="L196" s="10" t="s">
        <v>2553</v>
      </c>
      <c r="M196" s="9" t="s">
        <v>821</v>
      </c>
      <c r="N196" s="9" t="s">
        <v>71</v>
      </c>
      <c r="O196" s="10" t="s">
        <v>118</v>
      </c>
      <c r="P196" s="14" t="s">
        <v>74</v>
      </c>
      <c r="Q196" s="9" t="n">
        <v>5</v>
      </c>
      <c r="R196" s="9" t="s">
        <v>74</v>
      </c>
      <c r="S196" s="10" t="s">
        <v>2554</v>
      </c>
      <c r="T196" s="10" t="s">
        <v>2555</v>
      </c>
      <c r="U196" s="10" t="s">
        <v>2556</v>
      </c>
    </row>
    <row r="197" customFormat="false" ht="108" hidden="true" customHeight="true" outlineLevel="0" collapsed="false">
      <c r="A197" s="9" t="s">
        <v>2557</v>
      </c>
      <c r="B197" s="10" t="s">
        <v>2140</v>
      </c>
      <c r="C197" s="10" t="s">
        <v>2517</v>
      </c>
      <c r="D197" s="10" t="s">
        <v>2558</v>
      </c>
      <c r="E197" s="10" t="s">
        <v>2559</v>
      </c>
      <c r="F197" s="10" t="s">
        <v>2560</v>
      </c>
      <c r="G197" s="10" t="s">
        <v>2561</v>
      </c>
      <c r="H197" s="9" t="s">
        <v>618</v>
      </c>
      <c r="I197" s="10" t="s">
        <v>2562</v>
      </c>
      <c r="J197" s="10" t="s">
        <v>2563</v>
      </c>
      <c r="K197" s="10" t="s">
        <v>2564</v>
      </c>
      <c r="L197" s="10" t="s">
        <v>2565</v>
      </c>
      <c r="M197" s="9" t="s">
        <v>70</v>
      </c>
      <c r="N197" s="9" t="s">
        <v>71</v>
      </c>
      <c r="O197" s="10" t="s">
        <v>185</v>
      </c>
      <c r="P197" s="13" t="s">
        <v>119</v>
      </c>
      <c r="Q197" s="9" t="n">
        <v>2</v>
      </c>
      <c r="R197" s="9" t="s">
        <v>74</v>
      </c>
      <c r="S197" s="10" t="s">
        <v>2566</v>
      </c>
      <c r="T197" s="10" t="s">
        <v>2567</v>
      </c>
      <c r="U197" s="10" t="s">
        <v>2568</v>
      </c>
    </row>
    <row r="198" customFormat="false" ht="108" hidden="false" customHeight="true" outlineLevel="0" collapsed="false">
      <c r="A198" s="9" t="s">
        <v>2569</v>
      </c>
      <c r="B198" s="10" t="s">
        <v>2140</v>
      </c>
      <c r="C198" s="10" t="s">
        <v>2570</v>
      </c>
      <c r="D198" s="10" t="s">
        <v>2571</v>
      </c>
      <c r="E198" s="10" t="s">
        <v>2572</v>
      </c>
      <c r="F198" s="10" t="s">
        <v>2573</v>
      </c>
      <c r="G198" s="10" t="s">
        <v>2574</v>
      </c>
      <c r="H198" s="9" t="s">
        <v>2575</v>
      </c>
      <c r="I198" s="10" t="s">
        <v>2576</v>
      </c>
      <c r="J198" s="10" t="s">
        <v>2577</v>
      </c>
      <c r="K198" s="10" t="s">
        <v>2578</v>
      </c>
      <c r="L198" s="10" t="s">
        <v>2579</v>
      </c>
      <c r="M198" s="9" t="s">
        <v>769</v>
      </c>
      <c r="N198" s="9" t="s">
        <v>71</v>
      </c>
      <c r="O198" s="10" t="s">
        <v>118</v>
      </c>
      <c r="P198" s="12" t="s">
        <v>90</v>
      </c>
      <c r="Q198" s="9" t="n">
        <v>7</v>
      </c>
      <c r="R198" s="9" t="s">
        <v>119</v>
      </c>
      <c r="S198" s="10" t="s">
        <v>2580</v>
      </c>
      <c r="T198" s="10" t="s">
        <v>2581</v>
      </c>
      <c r="U198" s="10" t="s">
        <v>2582</v>
      </c>
    </row>
    <row r="199" customFormat="false" ht="108" hidden="true" customHeight="true" outlineLevel="0" collapsed="false">
      <c r="A199" s="9" t="s">
        <v>2583</v>
      </c>
      <c r="B199" s="10" t="s">
        <v>2140</v>
      </c>
      <c r="C199" s="10" t="s">
        <v>2531</v>
      </c>
      <c r="D199" s="10" t="s">
        <v>2584</v>
      </c>
      <c r="E199" s="10" t="s">
        <v>2585</v>
      </c>
      <c r="F199" s="10" t="s">
        <v>2586</v>
      </c>
      <c r="G199" s="10" t="s">
        <v>2587</v>
      </c>
      <c r="H199" s="9" t="s">
        <v>84</v>
      </c>
      <c r="I199" s="10" t="s">
        <v>2588</v>
      </c>
      <c r="J199" s="10" t="s">
        <v>2589</v>
      </c>
      <c r="K199" s="10" t="s">
        <v>2590</v>
      </c>
      <c r="L199" s="10" t="s">
        <v>2591</v>
      </c>
      <c r="M199" s="9" t="s">
        <v>677</v>
      </c>
      <c r="N199" s="9" t="s">
        <v>71</v>
      </c>
      <c r="O199" s="10" t="s">
        <v>89</v>
      </c>
      <c r="P199" s="13" t="s">
        <v>119</v>
      </c>
      <c r="Q199" s="9" t="n">
        <v>2</v>
      </c>
      <c r="R199" s="9" t="s">
        <v>90</v>
      </c>
      <c r="S199" s="10" t="s">
        <v>2592</v>
      </c>
      <c r="T199" s="10" t="s">
        <v>2593</v>
      </c>
      <c r="U199" s="10" t="s">
        <v>2594</v>
      </c>
    </row>
    <row r="200" customFormat="false" ht="108" hidden="true" customHeight="true" outlineLevel="0" collapsed="false">
      <c r="A200" s="9" t="s">
        <v>2595</v>
      </c>
      <c r="B200" s="10" t="s">
        <v>2140</v>
      </c>
      <c r="C200" s="10" t="s">
        <v>2596</v>
      </c>
      <c r="D200" s="10" t="s">
        <v>2597</v>
      </c>
      <c r="E200" s="10" t="s">
        <v>2598</v>
      </c>
      <c r="F200" s="10" t="s">
        <v>2599</v>
      </c>
      <c r="G200" s="10" t="s">
        <v>2600</v>
      </c>
      <c r="H200" s="9" t="s">
        <v>618</v>
      </c>
      <c r="I200" s="10" t="s">
        <v>2601</v>
      </c>
      <c r="J200" s="10" t="s">
        <v>2602</v>
      </c>
      <c r="K200" s="10" t="s">
        <v>2603</v>
      </c>
      <c r="L200" s="10" t="s">
        <v>2604</v>
      </c>
      <c r="M200" s="9" t="s">
        <v>70</v>
      </c>
      <c r="N200" s="9" t="s">
        <v>71</v>
      </c>
      <c r="O200" s="10" t="s">
        <v>118</v>
      </c>
      <c r="P200" s="14" t="s">
        <v>74</v>
      </c>
      <c r="Q200" s="9" t="n">
        <v>5</v>
      </c>
      <c r="R200" s="9" t="s">
        <v>74</v>
      </c>
      <c r="S200" s="10" t="s">
        <v>2605</v>
      </c>
      <c r="T200" s="10" t="s">
        <v>2606</v>
      </c>
      <c r="U200" s="10" t="s">
        <v>2607</v>
      </c>
    </row>
    <row r="201" customFormat="false" ht="108" hidden="true" customHeight="true" outlineLevel="0" collapsed="false">
      <c r="A201" s="9" t="s">
        <v>2608</v>
      </c>
      <c r="B201" s="10" t="s">
        <v>2140</v>
      </c>
      <c r="C201" s="10" t="s">
        <v>2609</v>
      </c>
      <c r="D201" s="10" t="s">
        <v>2610</v>
      </c>
      <c r="E201" s="10" t="s">
        <v>2611</v>
      </c>
      <c r="F201" s="10" t="s">
        <v>2612</v>
      </c>
      <c r="G201" s="10" t="s">
        <v>2613</v>
      </c>
      <c r="H201" s="9" t="s">
        <v>618</v>
      </c>
      <c r="I201" s="10" t="s">
        <v>2614</v>
      </c>
      <c r="J201" s="10" t="s">
        <v>2615</v>
      </c>
      <c r="K201" s="10" t="s">
        <v>2616</v>
      </c>
      <c r="L201" s="10" t="s">
        <v>2617</v>
      </c>
      <c r="M201" s="9" t="s">
        <v>769</v>
      </c>
      <c r="N201" s="9" t="s">
        <v>71</v>
      </c>
      <c r="O201" s="10" t="s">
        <v>118</v>
      </c>
      <c r="P201" s="14" t="s">
        <v>74</v>
      </c>
      <c r="Q201" s="9" t="n">
        <v>5</v>
      </c>
      <c r="R201" s="9" t="s">
        <v>74</v>
      </c>
      <c r="S201" s="10" t="s">
        <v>2618</v>
      </c>
      <c r="T201" s="10" t="s">
        <v>2619</v>
      </c>
      <c r="U201" s="10" t="s">
        <v>2620</v>
      </c>
    </row>
    <row r="202" customFormat="false" ht="108" hidden="false" customHeight="true" outlineLevel="0" collapsed="false">
      <c r="A202" s="9" t="s">
        <v>2621</v>
      </c>
      <c r="B202" s="10" t="s">
        <v>2140</v>
      </c>
      <c r="C202" s="10" t="s">
        <v>2622</v>
      </c>
      <c r="D202" s="10" t="s">
        <v>2623</v>
      </c>
      <c r="E202" s="10" t="s">
        <v>2624</v>
      </c>
      <c r="F202" s="10" t="s">
        <v>2625</v>
      </c>
      <c r="G202" s="10" t="s">
        <v>2626</v>
      </c>
      <c r="H202" s="9" t="s">
        <v>2627</v>
      </c>
      <c r="I202" s="10" t="s">
        <v>2628</v>
      </c>
      <c r="J202" s="10" t="s">
        <v>2629</v>
      </c>
      <c r="K202" s="10" t="s">
        <v>2630</v>
      </c>
      <c r="L202" s="10" t="s">
        <v>2631</v>
      </c>
      <c r="M202" s="9" t="s">
        <v>133</v>
      </c>
      <c r="N202" s="9" t="s">
        <v>71</v>
      </c>
      <c r="O202" s="10" t="s">
        <v>118</v>
      </c>
      <c r="P202" s="12" t="s">
        <v>90</v>
      </c>
      <c r="Q202" s="9" t="n">
        <v>8</v>
      </c>
      <c r="R202" s="9" t="s">
        <v>119</v>
      </c>
      <c r="S202" s="10" t="s">
        <v>2632</v>
      </c>
      <c r="T202" s="10" t="s">
        <v>2633</v>
      </c>
      <c r="U202" s="10" t="s">
        <v>2634</v>
      </c>
    </row>
    <row r="203" customFormat="false" ht="108" hidden="true" customHeight="true" outlineLevel="0" collapsed="false">
      <c r="A203" s="9" t="s">
        <v>2635</v>
      </c>
      <c r="B203" s="10" t="s">
        <v>2140</v>
      </c>
      <c r="C203" s="10" t="s">
        <v>2622</v>
      </c>
      <c r="D203" s="10" t="s">
        <v>2636</v>
      </c>
      <c r="E203" s="10" t="s">
        <v>2637</v>
      </c>
      <c r="F203" s="10" t="s">
        <v>2638</v>
      </c>
      <c r="G203" s="10" t="s">
        <v>2639</v>
      </c>
      <c r="H203" s="9" t="s">
        <v>2640</v>
      </c>
      <c r="I203" s="10" t="s">
        <v>2641</v>
      </c>
      <c r="J203" s="10" t="s">
        <v>2642</v>
      </c>
      <c r="K203" s="10" t="s">
        <v>2643</v>
      </c>
      <c r="L203" s="10" t="s">
        <v>2644</v>
      </c>
      <c r="M203" s="9" t="s">
        <v>70</v>
      </c>
      <c r="N203" s="9" t="s">
        <v>71</v>
      </c>
      <c r="O203" s="10" t="s">
        <v>118</v>
      </c>
      <c r="P203" s="14" t="s">
        <v>74</v>
      </c>
      <c r="Q203" s="9" t="n">
        <v>5</v>
      </c>
      <c r="R203" s="9" t="s">
        <v>74</v>
      </c>
      <c r="S203" s="10" t="s">
        <v>2645</v>
      </c>
      <c r="T203" s="10" t="s">
        <v>2646</v>
      </c>
      <c r="U203" s="10" t="s">
        <v>2647</v>
      </c>
    </row>
    <row r="204" customFormat="false" ht="108" hidden="false" customHeight="true" outlineLevel="0" collapsed="false">
      <c r="A204" s="9" t="s">
        <v>2648</v>
      </c>
      <c r="B204" s="10" t="s">
        <v>2140</v>
      </c>
      <c r="C204" s="10" t="s">
        <v>2649</v>
      </c>
      <c r="D204" s="10" t="s">
        <v>2650</v>
      </c>
      <c r="E204" s="10" t="s">
        <v>2651</v>
      </c>
      <c r="F204" s="10" t="s">
        <v>2652</v>
      </c>
      <c r="G204" s="10" t="s">
        <v>2653</v>
      </c>
      <c r="H204" s="9" t="s">
        <v>618</v>
      </c>
      <c r="I204" s="10" t="s">
        <v>2654</v>
      </c>
      <c r="J204" s="10" t="s">
        <v>2655</v>
      </c>
      <c r="K204" s="10" t="s">
        <v>2656</v>
      </c>
      <c r="L204" s="10" t="s">
        <v>2657</v>
      </c>
      <c r="M204" s="9" t="s">
        <v>70</v>
      </c>
      <c r="N204" s="9" t="s">
        <v>662</v>
      </c>
      <c r="O204" s="10" t="s">
        <v>118</v>
      </c>
      <c r="P204" s="12" t="s">
        <v>90</v>
      </c>
      <c r="Q204" s="9" t="n">
        <v>8</v>
      </c>
      <c r="R204" s="9" t="s">
        <v>119</v>
      </c>
      <c r="S204" s="10" t="s">
        <v>2658</v>
      </c>
      <c r="T204" s="10" t="s">
        <v>2659</v>
      </c>
      <c r="U204" s="10" t="s">
        <v>2660</v>
      </c>
    </row>
    <row r="205" customFormat="false" ht="108" hidden="true" customHeight="true" outlineLevel="0" collapsed="false">
      <c r="A205" s="9" t="s">
        <v>2661</v>
      </c>
      <c r="B205" s="10" t="s">
        <v>2140</v>
      </c>
      <c r="C205" s="10" t="s">
        <v>2662</v>
      </c>
      <c r="D205" s="10" t="s">
        <v>2663</v>
      </c>
      <c r="E205" s="10" t="s">
        <v>2664</v>
      </c>
      <c r="F205" s="10" t="s">
        <v>2665</v>
      </c>
      <c r="G205" s="10" t="s">
        <v>2666</v>
      </c>
      <c r="H205" s="9" t="s">
        <v>618</v>
      </c>
      <c r="I205" s="10" t="s">
        <v>2667</v>
      </c>
      <c r="J205" s="10" t="s">
        <v>2668</v>
      </c>
      <c r="K205" s="10" t="s">
        <v>2669</v>
      </c>
      <c r="L205" s="10" t="s">
        <v>2670</v>
      </c>
      <c r="M205" s="9" t="s">
        <v>70</v>
      </c>
      <c r="N205" s="9" t="s">
        <v>71</v>
      </c>
      <c r="O205" s="10" t="s">
        <v>118</v>
      </c>
      <c r="P205" s="14" t="s">
        <v>74</v>
      </c>
      <c r="Q205" s="9" t="n">
        <v>5</v>
      </c>
      <c r="R205" s="9" t="s">
        <v>90</v>
      </c>
      <c r="S205" s="10" t="s">
        <v>2671</v>
      </c>
      <c r="T205" s="10" t="s">
        <v>2672</v>
      </c>
      <c r="U205" s="10" t="s">
        <v>2673</v>
      </c>
    </row>
    <row r="206" customFormat="false" ht="108" hidden="true" customHeight="true" outlineLevel="0" collapsed="false">
      <c r="A206" s="9" t="s">
        <v>2674</v>
      </c>
      <c r="B206" s="10" t="s">
        <v>2140</v>
      </c>
      <c r="C206" s="10" t="s">
        <v>2675</v>
      </c>
      <c r="D206" s="10" t="s">
        <v>2676</v>
      </c>
      <c r="E206" s="10" t="s">
        <v>2677</v>
      </c>
      <c r="F206" s="10" t="s">
        <v>2678</v>
      </c>
      <c r="G206" s="10" t="s">
        <v>2679</v>
      </c>
      <c r="H206" s="9" t="s">
        <v>618</v>
      </c>
      <c r="I206" s="10" t="s">
        <v>2680</v>
      </c>
      <c r="J206" s="10" t="s">
        <v>2681</v>
      </c>
      <c r="K206" s="10" t="s">
        <v>2682</v>
      </c>
      <c r="L206" s="10" t="s">
        <v>2683</v>
      </c>
      <c r="M206" s="9" t="s">
        <v>821</v>
      </c>
      <c r="N206" s="9" t="s">
        <v>71</v>
      </c>
      <c r="O206" s="10" t="s">
        <v>118</v>
      </c>
      <c r="P206" s="13" t="s">
        <v>119</v>
      </c>
      <c r="Q206" s="9" t="n">
        <v>2</v>
      </c>
      <c r="R206" s="9" t="s">
        <v>74</v>
      </c>
      <c r="S206" s="10" t="s">
        <v>2684</v>
      </c>
      <c r="T206" s="10" t="s">
        <v>2685</v>
      </c>
      <c r="U206" s="10" t="s">
        <v>2686</v>
      </c>
    </row>
    <row r="207" customFormat="false" ht="108" hidden="true" customHeight="true" outlineLevel="0" collapsed="false">
      <c r="A207" s="9" t="s">
        <v>2687</v>
      </c>
      <c r="B207" s="10" t="s">
        <v>2140</v>
      </c>
      <c r="C207" s="10" t="s">
        <v>2688</v>
      </c>
      <c r="D207" s="10" t="s">
        <v>2689</v>
      </c>
      <c r="E207" s="10" t="s">
        <v>2690</v>
      </c>
      <c r="F207" s="10" t="s">
        <v>2691</v>
      </c>
      <c r="G207" s="10" t="s">
        <v>2692</v>
      </c>
      <c r="H207" s="9" t="s">
        <v>618</v>
      </c>
      <c r="I207" s="10" t="s">
        <v>2693</v>
      </c>
      <c r="J207" s="10" t="s">
        <v>2694</v>
      </c>
      <c r="K207" s="10" t="s">
        <v>2148</v>
      </c>
      <c r="L207" s="10" t="s">
        <v>2695</v>
      </c>
      <c r="M207" s="9" t="s">
        <v>2696</v>
      </c>
      <c r="N207" s="9" t="s">
        <v>117</v>
      </c>
      <c r="O207" s="10" t="s">
        <v>118</v>
      </c>
      <c r="P207" s="13" t="s">
        <v>119</v>
      </c>
      <c r="Q207" s="9" t="n">
        <v>2</v>
      </c>
      <c r="R207" s="9" t="s">
        <v>90</v>
      </c>
      <c r="S207" s="10" t="s">
        <v>2697</v>
      </c>
      <c r="T207" s="10" t="s">
        <v>2698</v>
      </c>
      <c r="U207" s="10" t="s">
        <v>2699</v>
      </c>
    </row>
    <row r="208" customFormat="false" ht="108" hidden="false" customHeight="true" outlineLevel="0" collapsed="false">
      <c r="A208" s="9" t="s">
        <v>2700</v>
      </c>
      <c r="B208" s="10" t="s">
        <v>2140</v>
      </c>
      <c r="C208" s="10" t="s">
        <v>2688</v>
      </c>
      <c r="D208" s="10" t="s">
        <v>2701</v>
      </c>
      <c r="E208" s="10" t="s">
        <v>2702</v>
      </c>
      <c r="F208" s="10" t="s">
        <v>2703</v>
      </c>
      <c r="G208" s="10" t="s">
        <v>2704</v>
      </c>
      <c r="H208" s="9" t="s">
        <v>2705</v>
      </c>
      <c r="I208" s="10" t="s">
        <v>2706</v>
      </c>
      <c r="J208" s="10" t="s">
        <v>2707</v>
      </c>
      <c r="K208" s="10" t="s">
        <v>2175</v>
      </c>
      <c r="L208" s="10" t="s">
        <v>2708</v>
      </c>
      <c r="M208" s="9" t="s">
        <v>2696</v>
      </c>
      <c r="N208" s="9" t="s">
        <v>662</v>
      </c>
      <c r="O208" s="10" t="s">
        <v>118</v>
      </c>
      <c r="P208" s="12" t="s">
        <v>90</v>
      </c>
      <c r="Q208" s="9" t="n">
        <v>7</v>
      </c>
      <c r="R208" s="9" t="s">
        <v>119</v>
      </c>
      <c r="S208" s="10" t="s">
        <v>2709</v>
      </c>
      <c r="T208" s="10" t="s">
        <v>2710</v>
      </c>
      <c r="U208" s="10" t="s">
        <v>2711</v>
      </c>
    </row>
    <row r="209" customFormat="false" ht="108" hidden="false" customHeight="true" outlineLevel="0" collapsed="false">
      <c r="A209" s="9" t="s">
        <v>2712</v>
      </c>
      <c r="B209" s="10" t="s">
        <v>2713</v>
      </c>
      <c r="C209" s="10" t="s">
        <v>2714</v>
      </c>
      <c r="D209" s="10" t="s">
        <v>2715</v>
      </c>
      <c r="E209" s="10" t="s">
        <v>2716</v>
      </c>
      <c r="F209" s="10" t="s">
        <v>2717</v>
      </c>
      <c r="G209" s="10" t="s">
        <v>2718</v>
      </c>
      <c r="H209" s="9" t="s">
        <v>618</v>
      </c>
      <c r="I209" s="10" t="s">
        <v>2719</v>
      </c>
      <c r="J209" s="10" t="s">
        <v>2720</v>
      </c>
      <c r="K209" s="10" t="s">
        <v>2721</v>
      </c>
      <c r="L209" s="10" t="s">
        <v>2722</v>
      </c>
      <c r="M209" s="9" t="s">
        <v>70</v>
      </c>
      <c r="N209" s="9" t="s">
        <v>117</v>
      </c>
      <c r="O209" s="10" t="s">
        <v>118</v>
      </c>
      <c r="P209" s="12" t="s">
        <v>90</v>
      </c>
      <c r="Q209" s="9" t="n">
        <v>7</v>
      </c>
      <c r="R209" s="9" t="s">
        <v>74</v>
      </c>
      <c r="S209" s="10" t="s">
        <v>2723</v>
      </c>
      <c r="T209" s="10" t="s">
        <v>2724</v>
      </c>
      <c r="U209" s="10" t="s">
        <v>2725</v>
      </c>
    </row>
    <row r="210" customFormat="false" ht="108" hidden="true" customHeight="true" outlineLevel="0" collapsed="false">
      <c r="A210" s="9" t="s">
        <v>2726</v>
      </c>
      <c r="B210" s="10" t="s">
        <v>2713</v>
      </c>
      <c r="C210" s="10" t="s">
        <v>2714</v>
      </c>
      <c r="D210" s="10" t="s">
        <v>2727</v>
      </c>
      <c r="E210" s="10" t="s">
        <v>2728</v>
      </c>
      <c r="F210" s="10" t="s">
        <v>2729</v>
      </c>
      <c r="G210" s="10" t="s">
        <v>2730</v>
      </c>
      <c r="H210" s="9" t="s">
        <v>618</v>
      </c>
      <c r="I210" s="10" t="s">
        <v>2731</v>
      </c>
      <c r="J210" s="10" t="s">
        <v>2732</v>
      </c>
      <c r="K210" s="10" t="s">
        <v>2721</v>
      </c>
      <c r="L210" s="10" t="s">
        <v>2733</v>
      </c>
      <c r="M210" s="9" t="s">
        <v>133</v>
      </c>
      <c r="N210" s="9" t="s">
        <v>71</v>
      </c>
      <c r="O210" s="10" t="s">
        <v>118</v>
      </c>
      <c r="P210" s="11" t="s">
        <v>73</v>
      </c>
      <c r="Q210" s="9" t="n">
        <v>9</v>
      </c>
      <c r="R210" s="9" t="s">
        <v>119</v>
      </c>
      <c r="S210" s="10" t="s">
        <v>2734</v>
      </c>
      <c r="T210" s="10" t="s">
        <v>2735</v>
      </c>
      <c r="U210" s="10" t="s">
        <v>2736</v>
      </c>
    </row>
    <row r="211" customFormat="false" ht="108" hidden="true" customHeight="true" outlineLevel="0" collapsed="false">
      <c r="A211" s="9" t="s">
        <v>2737</v>
      </c>
      <c r="B211" s="10" t="s">
        <v>2713</v>
      </c>
      <c r="C211" s="10" t="s">
        <v>2714</v>
      </c>
      <c r="D211" s="10" t="s">
        <v>2738</v>
      </c>
      <c r="E211" s="10" t="s">
        <v>2739</v>
      </c>
      <c r="F211" s="10" t="s">
        <v>2740</v>
      </c>
      <c r="G211" s="10" t="s">
        <v>2741</v>
      </c>
      <c r="H211" s="9" t="s">
        <v>2742</v>
      </c>
      <c r="I211" s="10" t="s">
        <v>2743</v>
      </c>
      <c r="J211" s="10" t="s">
        <v>2744</v>
      </c>
      <c r="K211" s="10" t="s">
        <v>2745</v>
      </c>
      <c r="L211" s="10" t="s">
        <v>2746</v>
      </c>
      <c r="M211" s="9" t="s">
        <v>70</v>
      </c>
      <c r="N211" s="9" t="s">
        <v>662</v>
      </c>
      <c r="O211" s="10" t="s">
        <v>118</v>
      </c>
      <c r="P211" s="11" t="s">
        <v>73</v>
      </c>
      <c r="Q211" s="9" t="n">
        <v>9</v>
      </c>
      <c r="R211" s="9" t="s">
        <v>119</v>
      </c>
      <c r="S211" s="10" t="s">
        <v>2747</v>
      </c>
      <c r="T211" s="10" t="s">
        <v>2748</v>
      </c>
      <c r="U211" s="10" t="s">
        <v>2749</v>
      </c>
    </row>
    <row r="212" customFormat="false" ht="108" hidden="false" customHeight="true" outlineLevel="0" collapsed="false">
      <c r="A212" s="9" t="s">
        <v>2750</v>
      </c>
      <c r="B212" s="10" t="s">
        <v>2713</v>
      </c>
      <c r="C212" s="10" t="s">
        <v>2714</v>
      </c>
      <c r="D212" s="10" t="s">
        <v>2751</v>
      </c>
      <c r="E212" s="10" t="s">
        <v>2752</v>
      </c>
      <c r="F212" s="10" t="s">
        <v>2753</v>
      </c>
      <c r="G212" s="10" t="s">
        <v>2754</v>
      </c>
      <c r="H212" s="9" t="s">
        <v>618</v>
      </c>
      <c r="I212" s="10" t="s">
        <v>2755</v>
      </c>
      <c r="J212" s="10" t="s">
        <v>2756</v>
      </c>
      <c r="K212" s="10" t="s">
        <v>2757</v>
      </c>
      <c r="L212" s="10" t="s">
        <v>2758</v>
      </c>
      <c r="M212" s="9" t="s">
        <v>70</v>
      </c>
      <c r="N212" s="9" t="s">
        <v>71</v>
      </c>
      <c r="O212" s="10" t="s">
        <v>118</v>
      </c>
      <c r="P212" s="12" t="s">
        <v>90</v>
      </c>
      <c r="Q212" s="9" t="n">
        <v>7</v>
      </c>
      <c r="R212" s="9" t="s">
        <v>74</v>
      </c>
      <c r="S212" s="10" t="s">
        <v>2759</v>
      </c>
      <c r="T212" s="10" t="s">
        <v>2760</v>
      </c>
      <c r="U212" s="10" t="s">
        <v>2761</v>
      </c>
    </row>
    <row r="213" customFormat="false" ht="108" hidden="true" customHeight="true" outlineLevel="0" collapsed="false">
      <c r="A213" s="9" t="s">
        <v>2762</v>
      </c>
      <c r="B213" s="10" t="s">
        <v>2713</v>
      </c>
      <c r="C213" s="10" t="s">
        <v>2714</v>
      </c>
      <c r="D213" s="10" t="s">
        <v>2763</v>
      </c>
      <c r="E213" s="10" t="s">
        <v>2764</v>
      </c>
      <c r="F213" s="10" t="s">
        <v>2765</v>
      </c>
      <c r="G213" s="10" t="s">
        <v>2766</v>
      </c>
      <c r="H213" s="9" t="s">
        <v>84</v>
      </c>
      <c r="I213" s="10" t="s">
        <v>2767</v>
      </c>
      <c r="J213" s="10" t="s">
        <v>2768</v>
      </c>
      <c r="K213" s="10" t="s">
        <v>2757</v>
      </c>
      <c r="L213" s="10" t="s">
        <v>235</v>
      </c>
      <c r="M213" s="9" t="s">
        <v>133</v>
      </c>
      <c r="N213" s="9" t="s">
        <v>71</v>
      </c>
      <c r="O213" s="10" t="s">
        <v>118</v>
      </c>
      <c r="P213" s="13" t="s">
        <v>119</v>
      </c>
      <c r="Q213" s="9" t="n">
        <v>2</v>
      </c>
      <c r="R213" s="9" t="s">
        <v>90</v>
      </c>
      <c r="S213" s="10" t="s">
        <v>2769</v>
      </c>
      <c r="T213" s="10" t="s">
        <v>2770</v>
      </c>
      <c r="U213" s="10" t="s">
        <v>2771</v>
      </c>
    </row>
    <row r="214" customFormat="false" ht="108" hidden="true" customHeight="true" outlineLevel="0" collapsed="false">
      <c r="A214" s="9" t="s">
        <v>2772</v>
      </c>
      <c r="B214" s="10" t="s">
        <v>2713</v>
      </c>
      <c r="C214" s="10" t="s">
        <v>2714</v>
      </c>
      <c r="D214" s="10" t="s">
        <v>2773</v>
      </c>
      <c r="E214" s="10" t="s">
        <v>2774</v>
      </c>
      <c r="F214" s="10" t="s">
        <v>2775</v>
      </c>
      <c r="G214" s="10" t="s">
        <v>2776</v>
      </c>
      <c r="H214" s="9" t="s">
        <v>2777</v>
      </c>
      <c r="I214" s="10" t="s">
        <v>2778</v>
      </c>
      <c r="J214" s="10" t="s">
        <v>2779</v>
      </c>
      <c r="K214" s="10" t="s">
        <v>2757</v>
      </c>
      <c r="L214" s="10" t="s">
        <v>87</v>
      </c>
      <c r="M214" s="9" t="s">
        <v>677</v>
      </c>
      <c r="N214" s="9" t="s">
        <v>71</v>
      </c>
      <c r="O214" s="10" t="s">
        <v>118</v>
      </c>
      <c r="P214" s="14" t="s">
        <v>74</v>
      </c>
      <c r="Q214" s="9" t="n">
        <v>4</v>
      </c>
      <c r="R214" s="9" t="s">
        <v>74</v>
      </c>
      <c r="S214" s="10" t="s">
        <v>2780</v>
      </c>
      <c r="T214" s="10" t="s">
        <v>2781</v>
      </c>
      <c r="U214" s="10" t="s">
        <v>2782</v>
      </c>
    </row>
    <row r="215" customFormat="false" ht="108" hidden="true" customHeight="true" outlineLevel="0" collapsed="false">
      <c r="A215" s="9" t="s">
        <v>2783</v>
      </c>
      <c r="B215" s="10" t="s">
        <v>2713</v>
      </c>
      <c r="C215" s="10" t="s">
        <v>2714</v>
      </c>
      <c r="D215" s="10" t="s">
        <v>2784</v>
      </c>
      <c r="E215" s="10" t="s">
        <v>2785</v>
      </c>
      <c r="F215" s="10" t="s">
        <v>2786</v>
      </c>
      <c r="G215" s="10" t="s">
        <v>2787</v>
      </c>
      <c r="H215" s="9" t="s">
        <v>112</v>
      </c>
      <c r="I215" s="10" t="s">
        <v>2788</v>
      </c>
      <c r="J215" s="10" t="s">
        <v>2789</v>
      </c>
      <c r="K215" s="10" t="s">
        <v>2790</v>
      </c>
      <c r="L215" s="10" t="s">
        <v>102</v>
      </c>
      <c r="M215" s="9" t="s">
        <v>70</v>
      </c>
      <c r="N215" s="9" t="s">
        <v>71</v>
      </c>
      <c r="O215" s="10" t="s">
        <v>118</v>
      </c>
      <c r="P215" s="13" t="s">
        <v>119</v>
      </c>
      <c r="Q215" s="9" t="n">
        <v>2</v>
      </c>
      <c r="R215" s="9" t="s">
        <v>90</v>
      </c>
      <c r="S215" s="10" t="s">
        <v>2791</v>
      </c>
      <c r="T215" s="10" t="s">
        <v>2792</v>
      </c>
      <c r="U215" s="10" t="s">
        <v>2793</v>
      </c>
    </row>
    <row r="216" customFormat="false" ht="108" hidden="true" customHeight="true" outlineLevel="0" collapsed="false">
      <c r="A216" s="9" t="s">
        <v>2794</v>
      </c>
      <c r="B216" s="10" t="s">
        <v>2713</v>
      </c>
      <c r="C216" s="10" t="s">
        <v>2795</v>
      </c>
      <c r="D216" s="10" t="s">
        <v>2796</v>
      </c>
      <c r="E216" s="10" t="s">
        <v>2797</v>
      </c>
      <c r="F216" s="10" t="s">
        <v>2798</v>
      </c>
      <c r="G216" s="10" t="s">
        <v>2799</v>
      </c>
      <c r="H216" s="9" t="s">
        <v>618</v>
      </c>
      <c r="I216" s="10" t="s">
        <v>2800</v>
      </c>
      <c r="J216" s="10" t="s">
        <v>2801</v>
      </c>
      <c r="K216" s="10" t="s">
        <v>2746</v>
      </c>
      <c r="L216" s="10" t="s">
        <v>2802</v>
      </c>
      <c r="M216" s="9" t="s">
        <v>661</v>
      </c>
      <c r="N216" s="9" t="s">
        <v>662</v>
      </c>
      <c r="O216" s="10" t="s">
        <v>118</v>
      </c>
      <c r="P216" s="11" t="s">
        <v>73</v>
      </c>
      <c r="Q216" s="9" t="n">
        <v>10</v>
      </c>
      <c r="R216" s="9" t="s">
        <v>119</v>
      </c>
      <c r="S216" s="10" t="s">
        <v>2803</v>
      </c>
      <c r="T216" s="10" t="s">
        <v>2804</v>
      </c>
      <c r="U216" s="10" t="s">
        <v>2805</v>
      </c>
    </row>
    <row r="217" customFormat="false" ht="108" hidden="true" customHeight="true" outlineLevel="0" collapsed="false">
      <c r="A217" s="9" t="s">
        <v>2806</v>
      </c>
      <c r="B217" s="10" t="s">
        <v>2713</v>
      </c>
      <c r="C217" s="10" t="s">
        <v>2807</v>
      </c>
      <c r="D217" s="10" t="s">
        <v>2808</v>
      </c>
      <c r="E217" s="10" t="s">
        <v>2809</v>
      </c>
      <c r="F217" s="10" t="s">
        <v>2810</v>
      </c>
      <c r="G217" s="10" t="s">
        <v>2811</v>
      </c>
      <c r="H217" s="9" t="s">
        <v>618</v>
      </c>
      <c r="I217" s="10" t="s">
        <v>2812</v>
      </c>
      <c r="J217" s="10" t="s">
        <v>2813</v>
      </c>
      <c r="K217" s="10" t="s">
        <v>2814</v>
      </c>
      <c r="L217" s="10" t="s">
        <v>2815</v>
      </c>
      <c r="M217" s="9" t="s">
        <v>661</v>
      </c>
      <c r="N217" s="9" t="s">
        <v>662</v>
      </c>
      <c r="O217" s="10" t="s">
        <v>118</v>
      </c>
      <c r="P217" s="11" t="s">
        <v>73</v>
      </c>
      <c r="Q217" s="9" t="n">
        <v>9</v>
      </c>
      <c r="R217" s="9" t="s">
        <v>119</v>
      </c>
      <c r="S217" s="10" t="s">
        <v>2816</v>
      </c>
      <c r="T217" s="10" t="s">
        <v>2817</v>
      </c>
      <c r="U217" s="10" t="s">
        <v>2818</v>
      </c>
    </row>
    <row r="218" customFormat="false" ht="108" hidden="false" customHeight="true" outlineLevel="0" collapsed="false">
      <c r="A218" s="9" t="s">
        <v>2819</v>
      </c>
      <c r="B218" s="10" t="s">
        <v>2713</v>
      </c>
      <c r="C218" s="10" t="s">
        <v>2807</v>
      </c>
      <c r="D218" s="10" t="s">
        <v>2820</v>
      </c>
      <c r="E218" s="10" t="s">
        <v>2821</v>
      </c>
      <c r="F218" s="10" t="s">
        <v>2822</v>
      </c>
      <c r="G218" s="10" t="s">
        <v>2823</v>
      </c>
      <c r="H218" s="9" t="s">
        <v>112</v>
      </c>
      <c r="I218" s="10" t="s">
        <v>2824</v>
      </c>
      <c r="J218" s="10" t="s">
        <v>2825</v>
      </c>
      <c r="K218" s="10" t="s">
        <v>621</v>
      </c>
      <c r="L218" s="10" t="s">
        <v>2826</v>
      </c>
      <c r="M218" s="9" t="s">
        <v>133</v>
      </c>
      <c r="N218" s="9" t="s">
        <v>71</v>
      </c>
      <c r="O218" s="10" t="s">
        <v>118</v>
      </c>
      <c r="P218" s="12" t="s">
        <v>90</v>
      </c>
      <c r="Q218" s="9" t="n">
        <v>8</v>
      </c>
      <c r="R218" s="9" t="s">
        <v>74</v>
      </c>
      <c r="S218" s="10" t="s">
        <v>2827</v>
      </c>
      <c r="T218" s="10" t="s">
        <v>2828</v>
      </c>
      <c r="U218" s="10" t="s">
        <v>2829</v>
      </c>
    </row>
    <row r="219" customFormat="false" ht="108" hidden="false" customHeight="true" outlineLevel="0" collapsed="false">
      <c r="A219" s="9" t="s">
        <v>2830</v>
      </c>
      <c r="B219" s="10" t="s">
        <v>2713</v>
      </c>
      <c r="C219" s="10" t="s">
        <v>2807</v>
      </c>
      <c r="D219" s="10" t="s">
        <v>2831</v>
      </c>
      <c r="E219" s="10" t="s">
        <v>2832</v>
      </c>
      <c r="F219" s="10" t="s">
        <v>2833</v>
      </c>
      <c r="G219" s="10" t="s">
        <v>2834</v>
      </c>
      <c r="H219" s="9" t="s">
        <v>618</v>
      </c>
      <c r="I219" s="10" t="s">
        <v>2835</v>
      </c>
      <c r="J219" s="10" t="s">
        <v>2836</v>
      </c>
      <c r="K219" s="10" t="s">
        <v>2837</v>
      </c>
      <c r="L219" s="10" t="s">
        <v>2838</v>
      </c>
      <c r="M219" s="9" t="s">
        <v>70</v>
      </c>
      <c r="N219" s="9" t="s">
        <v>71</v>
      </c>
      <c r="O219" s="10" t="s">
        <v>118</v>
      </c>
      <c r="P219" s="12" t="s">
        <v>90</v>
      </c>
      <c r="Q219" s="9" t="n">
        <v>7</v>
      </c>
      <c r="R219" s="9" t="s">
        <v>74</v>
      </c>
      <c r="S219" s="10" t="s">
        <v>2839</v>
      </c>
      <c r="T219" s="10" t="s">
        <v>2840</v>
      </c>
      <c r="U219" s="10" t="s">
        <v>2841</v>
      </c>
    </row>
    <row r="220" customFormat="false" ht="108" hidden="true" customHeight="true" outlineLevel="0" collapsed="false">
      <c r="A220" s="9" t="s">
        <v>2842</v>
      </c>
      <c r="B220" s="10" t="s">
        <v>2713</v>
      </c>
      <c r="C220" s="10" t="s">
        <v>2807</v>
      </c>
      <c r="D220" s="10" t="s">
        <v>2843</v>
      </c>
      <c r="E220" s="10" t="s">
        <v>2844</v>
      </c>
      <c r="F220" s="10" t="s">
        <v>2845</v>
      </c>
      <c r="G220" s="10" t="s">
        <v>2846</v>
      </c>
      <c r="H220" s="9" t="s">
        <v>2847</v>
      </c>
      <c r="I220" s="10" t="s">
        <v>2848</v>
      </c>
      <c r="J220" s="10" t="s">
        <v>2849</v>
      </c>
      <c r="K220" s="10" t="s">
        <v>2850</v>
      </c>
      <c r="L220" s="10" t="s">
        <v>2722</v>
      </c>
      <c r="M220" s="9" t="s">
        <v>70</v>
      </c>
      <c r="N220" s="9" t="s">
        <v>117</v>
      </c>
      <c r="O220" s="10" t="s">
        <v>118</v>
      </c>
      <c r="P220" s="14" t="s">
        <v>74</v>
      </c>
      <c r="Q220" s="9" t="n">
        <v>5</v>
      </c>
      <c r="R220" s="9" t="s">
        <v>90</v>
      </c>
      <c r="S220" s="10" t="s">
        <v>2851</v>
      </c>
      <c r="T220" s="10" t="s">
        <v>2852</v>
      </c>
      <c r="U220" s="10" t="s">
        <v>2853</v>
      </c>
    </row>
    <row r="221" customFormat="false" ht="108" hidden="false" customHeight="true" outlineLevel="0" collapsed="false">
      <c r="A221" s="9" t="s">
        <v>2854</v>
      </c>
      <c r="B221" s="10" t="s">
        <v>2713</v>
      </c>
      <c r="C221" s="10" t="s">
        <v>2807</v>
      </c>
      <c r="D221" s="10" t="s">
        <v>2855</v>
      </c>
      <c r="E221" s="10" t="s">
        <v>2856</v>
      </c>
      <c r="F221" s="10" t="s">
        <v>2857</v>
      </c>
      <c r="G221" s="10" t="s">
        <v>2858</v>
      </c>
      <c r="H221" s="9" t="s">
        <v>2859</v>
      </c>
      <c r="I221" s="10" t="s">
        <v>2860</v>
      </c>
      <c r="J221" s="10" t="s">
        <v>2861</v>
      </c>
      <c r="K221" s="10" t="s">
        <v>2862</v>
      </c>
      <c r="L221" s="10" t="s">
        <v>2863</v>
      </c>
      <c r="M221" s="9" t="s">
        <v>133</v>
      </c>
      <c r="N221" s="9" t="s">
        <v>662</v>
      </c>
      <c r="O221" s="10" t="s">
        <v>118</v>
      </c>
      <c r="P221" s="12" t="s">
        <v>90</v>
      </c>
      <c r="Q221" s="9" t="n">
        <v>8</v>
      </c>
      <c r="R221" s="9" t="s">
        <v>74</v>
      </c>
      <c r="S221" s="10" t="s">
        <v>2864</v>
      </c>
      <c r="T221" s="10" t="s">
        <v>2865</v>
      </c>
      <c r="U221" s="10" t="s">
        <v>2866</v>
      </c>
    </row>
    <row r="222" customFormat="false" ht="108" hidden="true" customHeight="true" outlineLevel="0" collapsed="false">
      <c r="A222" s="9" t="s">
        <v>2867</v>
      </c>
      <c r="B222" s="10" t="s">
        <v>2713</v>
      </c>
      <c r="C222" s="10" t="s">
        <v>2868</v>
      </c>
      <c r="D222" s="10" t="s">
        <v>2869</v>
      </c>
      <c r="E222" s="10" t="s">
        <v>2870</v>
      </c>
      <c r="F222" s="10" t="s">
        <v>2871</v>
      </c>
      <c r="G222" s="10" t="s">
        <v>2872</v>
      </c>
      <c r="H222" s="9" t="s">
        <v>618</v>
      </c>
      <c r="I222" s="10" t="s">
        <v>2873</v>
      </c>
      <c r="J222" s="10" t="s">
        <v>2874</v>
      </c>
      <c r="K222" s="10" t="s">
        <v>2862</v>
      </c>
      <c r="L222" s="10" t="s">
        <v>2875</v>
      </c>
      <c r="M222" s="9" t="s">
        <v>133</v>
      </c>
      <c r="N222" s="9" t="s">
        <v>71</v>
      </c>
      <c r="O222" s="10" t="s">
        <v>118</v>
      </c>
      <c r="P222" s="14" t="s">
        <v>74</v>
      </c>
      <c r="Q222" s="9" t="n">
        <v>5</v>
      </c>
      <c r="R222" s="9" t="s">
        <v>74</v>
      </c>
      <c r="S222" s="10" t="s">
        <v>2876</v>
      </c>
      <c r="T222" s="10" t="s">
        <v>2877</v>
      </c>
      <c r="U222" s="10" t="s">
        <v>2878</v>
      </c>
    </row>
    <row r="223" customFormat="false" ht="108" hidden="true" customHeight="true" outlineLevel="0" collapsed="false">
      <c r="A223" s="9" t="s">
        <v>2879</v>
      </c>
      <c r="B223" s="10" t="s">
        <v>2713</v>
      </c>
      <c r="C223" s="10" t="s">
        <v>2868</v>
      </c>
      <c r="D223" s="10" t="s">
        <v>2880</v>
      </c>
      <c r="E223" s="10" t="s">
        <v>2881</v>
      </c>
      <c r="F223" s="10" t="s">
        <v>2882</v>
      </c>
      <c r="G223" s="10" t="s">
        <v>2883</v>
      </c>
      <c r="H223" s="9" t="s">
        <v>2884</v>
      </c>
      <c r="I223" s="10" t="s">
        <v>2885</v>
      </c>
      <c r="J223" s="10" t="s">
        <v>2886</v>
      </c>
      <c r="K223" s="10" t="s">
        <v>2887</v>
      </c>
      <c r="L223" s="10" t="s">
        <v>235</v>
      </c>
      <c r="M223" s="9" t="s">
        <v>133</v>
      </c>
      <c r="N223" s="9" t="s">
        <v>71</v>
      </c>
      <c r="O223" s="10" t="s">
        <v>118</v>
      </c>
      <c r="P223" s="13" t="s">
        <v>119</v>
      </c>
      <c r="Q223" s="9" t="n">
        <v>2</v>
      </c>
      <c r="R223" s="9" t="s">
        <v>90</v>
      </c>
      <c r="S223" s="10" t="s">
        <v>2888</v>
      </c>
      <c r="T223" s="10" t="s">
        <v>2889</v>
      </c>
      <c r="U223" s="10" t="s">
        <v>2890</v>
      </c>
    </row>
    <row r="224" customFormat="false" ht="108" hidden="true" customHeight="true" outlineLevel="0" collapsed="false">
      <c r="A224" s="9" t="s">
        <v>2891</v>
      </c>
      <c r="B224" s="10" t="s">
        <v>2713</v>
      </c>
      <c r="C224" s="10" t="s">
        <v>2868</v>
      </c>
      <c r="D224" s="10" t="s">
        <v>2892</v>
      </c>
      <c r="E224" s="10" t="s">
        <v>2893</v>
      </c>
      <c r="F224" s="10" t="s">
        <v>2894</v>
      </c>
      <c r="G224" s="10" t="s">
        <v>2895</v>
      </c>
      <c r="H224" s="9" t="s">
        <v>618</v>
      </c>
      <c r="I224" s="10" t="s">
        <v>2896</v>
      </c>
      <c r="J224" s="10" t="s">
        <v>2897</v>
      </c>
      <c r="K224" s="10" t="s">
        <v>146</v>
      </c>
      <c r="L224" s="10" t="s">
        <v>2722</v>
      </c>
      <c r="M224" s="9" t="s">
        <v>70</v>
      </c>
      <c r="N224" s="9" t="s">
        <v>71</v>
      </c>
      <c r="O224" s="10" t="s">
        <v>118</v>
      </c>
      <c r="P224" s="13" t="s">
        <v>119</v>
      </c>
      <c r="Q224" s="9" t="n">
        <v>2</v>
      </c>
      <c r="R224" s="9" t="s">
        <v>74</v>
      </c>
      <c r="S224" s="10" t="s">
        <v>2898</v>
      </c>
      <c r="T224" s="10" t="s">
        <v>2899</v>
      </c>
      <c r="U224" s="10" t="s">
        <v>2900</v>
      </c>
    </row>
    <row r="225" customFormat="false" ht="108" hidden="false" customHeight="true" outlineLevel="0" collapsed="false">
      <c r="A225" s="9" t="s">
        <v>2901</v>
      </c>
      <c r="B225" s="10" t="s">
        <v>2713</v>
      </c>
      <c r="C225" s="10" t="s">
        <v>2868</v>
      </c>
      <c r="D225" s="10" t="s">
        <v>2902</v>
      </c>
      <c r="E225" s="10" t="s">
        <v>2903</v>
      </c>
      <c r="F225" s="10" t="s">
        <v>2904</v>
      </c>
      <c r="G225" s="10" t="s">
        <v>2905</v>
      </c>
      <c r="H225" s="9" t="s">
        <v>2906</v>
      </c>
      <c r="I225" s="10" t="s">
        <v>2907</v>
      </c>
      <c r="J225" s="10" t="s">
        <v>2908</v>
      </c>
      <c r="K225" s="10" t="s">
        <v>2909</v>
      </c>
      <c r="L225" s="10" t="s">
        <v>374</v>
      </c>
      <c r="M225" s="9" t="s">
        <v>133</v>
      </c>
      <c r="N225" s="9" t="s">
        <v>71</v>
      </c>
      <c r="O225" s="10" t="s">
        <v>118</v>
      </c>
      <c r="P225" s="12" t="s">
        <v>90</v>
      </c>
      <c r="Q225" s="9" t="n">
        <v>7</v>
      </c>
      <c r="R225" s="9" t="s">
        <v>74</v>
      </c>
      <c r="S225" s="10" t="s">
        <v>2910</v>
      </c>
      <c r="T225" s="10" t="s">
        <v>2911</v>
      </c>
      <c r="U225" s="10" t="s">
        <v>2912</v>
      </c>
    </row>
    <row r="226" customFormat="false" ht="108" hidden="true" customHeight="true" outlineLevel="0" collapsed="false">
      <c r="A226" s="9" t="s">
        <v>2913</v>
      </c>
      <c r="B226" s="10" t="s">
        <v>2713</v>
      </c>
      <c r="C226" s="10" t="s">
        <v>2868</v>
      </c>
      <c r="D226" s="10" t="s">
        <v>2914</v>
      </c>
      <c r="E226" s="10" t="s">
        <v>2915</v>
      </c>
      <c r="F226" s="10" t="s">
        <v>2916</v>
      </c>
      <c r="G226" s="10" t="s">
        <v>2917</v>
      </c>
      <c r="H226" s="9" t="s">
        <v>618</v>
      </c>
      <c r="I226" s="10" t="s">
        <v>2918</v>
      </c>
      <c r="J226" s="10" t="s">
        <v>2919</v>
      </c>
      <c r="K226" s="10" t="s">
        <v>2920</v>
      </c>
      <c r="L226" s="10" t="s">
        <v>2722</v>
      </c>
      <c r="M226" s="9" t="s">
        <v>70</v>
      </c>
      <c r="N226" s="9" t="s">
        <v>117</v>
      </c>
      <c r="O226" s="10" t="s">
        <v>118</v>
      </c>
      <c r="P226" s="14" t="s">
        <v>74</v>
      </c>
      <c r="Q226" s="9" t="n">
        <v>4</v>
      </c>
      <c r="R226" s="9" t="s">
        <v>74</v>
      </c>
      <c r="S226" s="10" t="s">
        <v>2921</v>
      </c>
      <c r="T226" s="10" t="s">
        <v>2922</v>
      </c>
      <c r="U226" s="10" t="s">
        <v>2923</v>
      </c>
    </row>
    <row r="227" customFormat="false" ht="108" hidden="true" customHeight="true" outlineLevel="0" collapsed="false">
      <c r="A227" s="9" t="s">
        <v>2924</v>
      </c>
      <c r="B227" s="10" t="s">
        <v>2713</v>
      </c>
      <c r="C227" s="10" t="s">
        <v>2925</v>
      </c>
      <c r="D227" s="10" t="s">
        <v>2926</v>
      </c>
      <c r="E227" s="10" t="s">
        <v>2927</v>
      </c>
      <c r="F227" s="10" t="s">
        <v>2928</v>
      </c>
      <c r="G227" s="10" t="s">
        <v>2929</v>
      </c>
      <c r="H227" s="9" t="s">
        <v>2930</v>
      </c>
      <c r="I227" s="10" t="s">
        <v>2931</v>
      </c>
      <c r="J227" s="10" t="s">
        <v>2932</v>
      </c>
      <c r="K227" s="10" t="s">
        <v>2933</v>
      </c>
      <c r="L227" s="10" t="s">
        <v>87</v>
      </c>
      <c r="M227" s="9" t="s">
        <v>133</v>
      </c>
      <c r="N227" s="9" t="s">
        <v>71</v>
      </c>
      <c r="O227" s="10" t="s">
        <v>185</v>
      </c>
      <c r="P227" s="14" t="s">
        <v>74</v>
      </c>
      <c r="Q227" s="9" t="n">
        <v>5</v>
      </c>
      <c r="R227" s="9" t="s">
        <v>90</v>
      </c>
      <c r="S227" s="10" t="s">
        <v>2934</v>
      </c>
      <c r="T227" s="10" t="s">
        <v>2935</v>
      </c>
      <c r="U227" s="10" t="s">
        <v>2936</v>
      </c>
    </row>
    <row r="228" customFormat="false" ht="108" hidden="true" customHeight="true" outlineLevel="0" collapsed="false">
      <c r="A228" s="9" t="s">
        <v>2937</v>
      </c>
      <c r="B228" s="10" t="s">
        <v>2713</v>
      </c>
      <c r="C228" s="10" t="s">
        <v>2925</v>
      </c>
      <c r="D228" s="10" t="s">
        <v>2938</v>
      </c>
      <c r="E228" s="10" t="s">
        <v>2939</v>
      </c>
      <c r="F228" s="10" t="s">
        <v>2940</v>
      </c>
      <c r="G228" s="10" t="s">
        <v>2941</v>
      </c>
      <c r="H228" s="9" t="s">
        <v>2942</v>
      </c>
      <c r="I228" s="10" t="s">
        <v>2943</v>
      </c>
      <c r="J228" s="10" t="s">
        <v>2944</v>
      </c>
      <c r="K228" s="10" t="s">
        <v>2945</v>
      </c>
      <c r="L228" s="10" t="s">
        <v>2946</v>
      </c>
      <c r="M228" s="9" t="s">
        <v>133</v>
      </c>
      <c r="N228" s="9" t="s">
        <v>71</v>
      </c>
      <c r="O228" s="10" t="s">
        <v>118</v>
      </c>
      <c r="P228" s="14" t="s">
        <v>74</v>
      </c>
      <c r="Q228" s="9" t="n">
        <v>4</v>
      </c>
      <c r="R228" s="9" t="s">
        <v>90</v>
      </c>
      <c r="S228" s="10" t="s">
        <v>2947</v>
      </c>
      <c r="T228" s="10" t="s">
        <v>2948</v>
      </c>
      <c r="U228" s="10" t="s">
        <v>2949</v>
      </c>
    </row>
    <row r="229" customFormat="false" ht="108" hidden="false" customHeight="true" outlineLevel="0" collapsed="false">
      <c r="A229" s="9" t="s">
        <v>2950</v>
      </c>
      <c r="B229" s="10" t="s">
        <v>2713</v>
      </c>
      <c r="C229" s="10" t="s">
        <v>2925</v>
      </c>
      <c r="D229" s="10" t="s">
        <v>2951</v>
      </c>
      <c r="E229" s="10" t="s">
        <v>2952</v>
      </c>
      <c r="F229" s="10" t="s">
        <v>2953</v>
      </c>
      <c r="G229" s="10" t="s">
        <v>2954</v>
      </c>
      <c r="H229" s="9" t="s">
        <v>2955</v>
      </c>
      <c r="I229" s="10" t="s">
        <v>2956</v>
      </c>
      <c r="J229" s="10" t="s">
        <v>2957</v>
      </c>
      <c r="K229" s="10" t="s">
        <v>2958</v>
      </c>
      <c r="L229" s="10" t="s">
        <v>2959</v>
      </c>
      <c r="M229" s="9" t="s">
        <v>70</v>
      </c>
      <c r="N229" s="9" t="s">
        <v>71</v>
      </c>
      <c r="O229" s="10" t="s">
        <v>118</v>
      </c>
      <c r="P229" s="12" t="s">
        <v>90</v>
      </c>
      <c r="Q229" s="9" t="n">
        <v>7</v>
      </c>
      <c r="R229" s="9" t="s">
        <v>74</v>
      </c>
      <c r="S229" s="10" t="s">
        <v>2960</v>
      </c>
      <c r="T229" s="10" t="s">
        <v>2961</v>
      </c>
      <c r="U229" s="10" t="s">
        <v>2962</v>
      </c>
    </row>
    <row r="230" customFormat="false" ht="108" hidden="true" customHeight="true" outlineLevel="0" collapsed="false">
      <c r="A230" s="9" t="s">
        <v>2963</v>
      </c>
      <c r="B230" s="10" t="s">
        <v>2713</v>
      </c>
      <c r="C230" s="10" t="s">
        <v>2925</v>
      </c>
      <c r="D230" s="10" t="s">
        <v>2964</v>
      </c>
      <c r="E230" s="10" t="s">
        <v>2965</v>
      </c>
      <c r="F230" s="10" t="s">
        <v>2966</v>
      </c>
      <c r="G230" s="10" t="s">
        <v>2967</v>
      </c>
      <c r="H230" s="9" t="s">
        <v>618</v>
      </c>
      <c r="I230" s="10" t="s">
        <v>2968</v>
      </c>
      <c r="J230" s="10" t="s">
        <v>2969</v>
      </c>
      <c r="K230" s="10" t="s">
        <v>2837</v>
      </c>
      <c r="L230" s="10" t="s">
        <v>2970</v>
      </c>
      <c r="M230" s="9" t="s">
        <v>133</v>
      </c>
      <c r="N230" s="9" t="s">
        <v>71</v>
      </c>
      <c r="O230" s="10" t="s">
        <v>118</v>
      </c>
      <c r="P230" s="14" t="s">
        <v>74</v>
      </c>
      <c r="Q230" s="9" t="n">
        <v>5</v>
      </c>
      <c r="R230" s="9" t="s">
        <v>74</v>
      </c>
      <c r="S230" s="10" t="s">
        <v>2971</v>
      </c>
      <c r="T230" s="10" t="s">
        <v>2972</v>
      </c>
      <c r="U230" s="10" t="s">
        <v>2973</v>
      </c>
    </row>
    <row r="231" customFormat="false" ht="108" hidden="false" customHeight="true" outlineLevel="0" collapsed="false">
      <c r="A231" s="9" t="s">
        <v>2974</v>
      </c>
      <c r="B231" s="10" t="s">
        <v>2713</v>
      </c>
      <c r="C231" s="10" t="s">
        <v>2975</v>
      </c>
      <c r="D231" s="10" t="s">
        <v>2976</v>
      </c>
      <c r="E231" s="10" t="s">
        <v>2977</v>
      </c>
      <c r="F231" s="10" t="s">
        <v>2978</v>
      </c>
      <c r="G231" s="10" t="s">
        <v>2979</v>
      </c>
      <c r="H231" s="9" t="s">
        <v>2980</v>
      </c>
      <c r="I231" s="10" t="s">
        <v>2981</v>
      </c>
      <c r="J231" s="10" t="s">
        <v>2982</v>
      </c>
      <c r="K231" s="10" t="s">
        <v>2814</v>
      </c>
      <c r="L231" s="10" t="s">
        <v>2983</v>
      </c>
      <c r="M231" s="9" t="s">
        <v>821</v>
      </c>
      <c r="N231" s="9" t="s">
        <v>662</v>
      </c>
      <c r="O231" s="10" t="s">
        <v>118</v>
      </c>
      <c r="P231" s="12" t="s">
        <v>90</v>
      </c>
      <c r="Q231" s="9" t="n">
        <v>7</v>
      </c>
      <c r="R231" s="9" t="s">
        <v>74</v>
      </c>
      <c r="S231" s="10" t="s">
        <v>2984</v>
      </c>
      <c r="T231" s="10" t="s">
        <v>2985</v>
      </c>
      <c r="U231" s="10" t="s">
        <v>2986</v>
      </c>
    </row>
    <row r="232" customFormat="false" ht="108" hidden="false" customHeight="true" outlineLevel="0" collapsed="false">
      <c r="A232" s="9" t="s">
        <v>2987</v>
      </c>
      <c r="B232" s="10" t="s">
        <v>2713</v>
      </c>
      <c r="C232" s="10" t="s">
        <v>2975</v>
      </c>
      <c r="D232" s="10" t="s">
        <v>2988</v>
      </c>
      <c r="E232" s="10" t="s">
        <v>2989</v>
      </c>
      <c r="F232" s="10" t="s">
        <v>2990</v>
      </c>
      <c r="G232" s="10" t="s">
        <v>2991</v>
      </c>
      <c r="H232" s="9" t="s">
        <v>2992</v>
      </c>
      <c r="I232" s="10" t="s">
        <v>2993</v>
      </c>
      <c r="J232" s="10" t="s">
        <v>2994</v>
      </c>
      <c r="K232" s="10" t="s">
        <v>2814</v>
      </c>
      <c r="L232" s="10" t="s">
        <v>2995</v>
      </c>
      <c r="M232" s="9" t="s">
        <v>661</v>
      </c>
      <c r="N232" s="9" t="s">
        <v>662</v>
      </c>
      <c r="O232" s="10" t="s">
        <v>118</v>
      </c>
      <c r="P232" s="12" t="s">
        <v>90</v>
      </c>
      <c r="Q232" s="9" t="n">
        <v>7</v>
      </c>
      <c r="R232" s="9" t="s">
        <v>74</v>
      </c>
      <c r="S232" s="10" t="s">
        <v>2996</v>
      </c>
      <c r="T232" s="10" t="s">
        <v>2997</v>
      </c>
      <c r="U232" s="10" t="s">
        <v>2998</v>
      </c>
    </row>
    <row r="233" customFormat="false" ht="108" hidden="true" customHeight="true" outlineLevel="0" collapsed="false">
      <c r="A233" s="9" t="s">
        <v>2999</v>
      </c>
      <c r="B233" s="10" t="s">
        <v>2713</v>
      </c>
      <c r="C233" s="10" t="s">
        <v>2975</v>
      </c>
      <c r="D233" s="10" t="s">
        <v>3000</v>
      </c>
      <c r="E233" s="10" t="s">
        <v>3001</v>
      </c>
      <c r="F233" s="10" t="s">
        <v>3002</v>
      </c>
      <c r="G233" s="10" t="s">
        <v>3003</v>
      </c>
      <c r="H233" s="9" t="s">
        <v>112</v>
      </c>
      <c r="I233" s="10" t="s">
        <v>3004</v>
      </c>
      <c r="J233" s="10" t="s">
        <v>3005</v>
      </c>
      <c r="K233" s="10" t="s">
        <v>3006</v>
      </c>
      <c r="L233" s="10" t="s">
        <v>3007</v>
      </c>
      <c r="M233" s="9" t="s">
        <v>769</v>
      </c>
      <c r="N233" s="9" t="s">
        <v>117</v>
      </c>
      <c r="O233" s="10" t="s">
        <v>118</v>
      </c>
      <c r="P233" s="14" t="s">
        <v>74</v>
      </c>
      <c r="Q233" s="9" t="n">
        <v>4</v>
      </c>
      <c r="R233" s="9" t="s">
        <v>90</v>
      </c>
      <c r="S233" s="10" t="s">
        <v>3008</v>
      </c>
      <c r="T233" s="10" t="s">
        <v>3009</v>
      </c>
      <c r="U233" s="10" t="s">
        <v>3010</v>
      </c>
    </row>
    <row r="234" customFormat="false" ht="108" hidden="true" customHeight="true" outlineLevel="0" collapsed="false">
      <c r="A234" s="9" t="s">
        <v>3011</v>
      </c>
      <c r="B234" s="10" t="s">
        <v>2713</v>
      </c>
      <c r="C234" s="10" t="s">
        <v>2975</v>
      </c>
      <c r="D234" s="10" t="s">
        <v>3012</v>
      </c>
      <c r="E234" s="10" t="s">
        <v>3013</v>
      </c>
      <c r="F234" s="10" t="s">
        <v>3014</v>
      </c>
      <c r="G234" s="10" t="s">
        <v>3015</v>
      </c>
      <c r="H234" s="9" t="s">
        <v>84</v>
      </c>
      <c r="I234" s="10" t="s">
        <v>3016</v>
      </c>
      <c r="J234" s="10" t="s">
        <v>3017</v>
      </c>
      <c r="K234" s="10" t="s">
        <v>3018</v>
      </c>
      <c r="L234" s="10" t="s">
        <v>3019</v>
      </c>
      <c r="M234" s="9" t="s">
        <v>821</v>
      </c>
      <c r="N234" s="9" t="s">
        <v>71</v>
      </c>
      <c r="O234" s="10" t="s">
        <v>118</v>
      </c>
      <c r="P234" s="13" t="s">
        <v>119</v>
      </c>
      <c r="Q234" s="9" t="n">
        <v>2</v>
      </c>
      <c r="R234" s="9" t="s">
        <v>90</v>
      </c>
      <c r="S234" s="10" t="s">
        <v>3020</v>
      </c>
      <c r="T234" s="10" t="s">
        <v>3021</v>
      </c>
      <c r="U234" s="10" t="s">
        <v>3022</v>
      </c>
    </row>
    <row r="235" customFormat="false" ht="108" hidden="false" customHeight="true" outlineLevel="0" collapsed="false">
      <c r="A235" s="9" t="s">
        <v>3023</v>
      </c>
      <c r="B235" s="10" t="s">
        <v>2713</v>
      </c>
      <c r="C235" s="10" t="s">
        <v>3024</v>
      </c>
      <c r="D235" s="10" t="s">
        <v>3025</v>
      </c>
      <c r="E235" s="10" t="s">
        <v>3026</v>
      </c>
      <c r="F235" s="10" t="s">
        <v>3027</v>
      </c>
      <c r="G235" s="10" t="s">
        <v>3028</v>
      </c>
      <c r="H235" s="9" t="s">
        <v>3029</v>
      </c>
      <c r="I235" s="10" t="s">
        <v>3030</v>
      </c>
      <c r="J235" s="10" t="s">
        <v>3031</v>
      </c>
      <c r="K235" s="10" t="s">
        <v>3032</v>
      </c>
      <c r="L235" s="10" t="s">
        <v>146</v>
      </c>
      <c r="M235" s="9" t="s">
        <v>821</v>
      </c>
      <c r="N235" s="9" t="s">
        <v>71</v>
      </c>
      <c r="O235" s="10" t="s">
        <v>118</v>
      </c>
      <c r="P235" s="12" t="s">
        <v>90</v>
      </c>
      <c r="Q235" s="9" t="n">
        <v>7</v>
      </c>
      <c r="R235" s="9" t="s">
        <v>74</v>
      </c>
      <c r="S235" s="10" t="s">
        <v>3033</v>
      </c>
      <c r="T235" s="10" t="s">
        <v>3034</v>
      </c>
      <c r="U235" s="10" t="s">
        <v>3035</v>
      </c>
    </row>
    <row r="236" customFormat="false" ht="108" hidden="true" customHeight="true" outlineLevel="0" collapsed="false">
      <c r="A236" s="9" t="s">
        <v>3036</v>
      </c>
      <c r="B236" s="10" t="s">
        <v>2713</v>
      </c>
      <c r="C236" s="10" t="s">
        <v>3024</v>
      </c>
      <c r="D236" s="10" t="s">
        <v>3037</v>
      </c>
      <c r="E236" s="10" t="s">
        <v>3038</v>
      </c>
      <c r="F236" s="10" t="s">
        <v>3039</v>
      </c>
      <c r="G236" s="10" t="s">
        <v>3040</v>
      </c>
      <c r="H236" s="9" t="s">
        <v>618</v>
      </c>
      <c r="I236" s="10" t="s">
        <v>3041</v>
      </c>
      <c r="J236" s="10" t="s">
        <v>3042</v>
      </c>
      <c r="K236" s="10" t="s">
        <v>3032</v>
      </c>
      <c r="L236" s="10" t="s">
        <v>2850</v>
      </c>
      <c r="M236" s="9" t="s">
        <v>677</v>
      </c>
      <c r="N236" s="9" t="s">
        <v>71</v>
      </c>
      <c r="O236" s="10" t="s">
        <v>118</v>
      </c>
      <c r="P236" s="14" t="s">
        <v>74</v>
      </c>
      <c r="Q236" s="9" t="n">
        <v>5</v>
      </c>
      <c r="R236" s="9" t="s">
        <v>74</v>
      </c>
      <c r="S236" s="10" t="s">
        <v>3043</v>
      </c>
      <c r="T236" s="10" t="s">
        <v>3044</v>
      </c>
      <c r="U236" s="10" t="s">
        <v>3045</v>
      </c>
    </row>
    <row r="237" customFormat="false" ht="108" hidden="true" customHeight="true" outlineLevel="0" collapsed="false">
      <c r="A237" s="9" t="s">
        <v>3046</v>
      </c>
      <c r="B237" s="10" t="s">
        <v>2713</v>
      </c>
      <c r="C237" s="10" t="s">
        <v>3024</v>
      </c>
      <c r="D237" s="10" t="s">
        <v>3047</v>
      </c>
      <c r="E237" s="10" t="s">
        <v>3048</v>
      </c>
      <c r="F237" s="10" t="s">
        <v>3049</v>
      </c>
      <c r="G237" s="10" t="s">
        <v>3050</v>
      </c>
      <c r="H237" s="9" t="s">
        <v>3051</v>
      </c>
      <c r="I237" s="10" t="s">
        <v>3052</v>
      </c>
      <c r="J237" s="10" t="s">
        <v>3053</v>
      </c>
      <c r="K237" s="10" t="s">
        <v>3032</v>
      </c>
      <c r="L237" s="10" t="s">
        <v>3054</v>
      </c>
      <c r="M237" s="9" t="s">
        <v>70</v>
      </c>
      <c r="N237" s="9" t="s">
        <v>71</v>
      </c>
      <c r="O237" s="10" t="s">
        <v>118</v>
      </c>
      <c r="P237" s="13" t="s">
        <v>119</v>
      </c>
      <c r="Q237" s="9" t="n">
        <v>2</v>
      </c>
      <c r="R237" s="9" t="s">
        <v>90</v>
      </c>
      <c r="S237" s="10" t="s">
        <v>3055</v>
      </c>
      <c r="T237" s="10" t="s">
        <v>3056</v>
      </c>
      <c r="U237" s="10" t="s">
        <v>3057</v>
      </c>
    </row>
    <row r="238" customFormat="false" ht="108" hidden="true" customHeight="true" outlineLevel="0" collapsed="false">
      <c r="A238" s="9" t="s">
        <v>3058</v>
      </c>
      <c r="B238" s="10" t="s">
        <v>2713</v>
      </c>
      <c r="C238" s="10" t="s">
        <v>3024</v>
      </c>
      <c r="D238" s="10" t="s">
        <v>3059</v>
      </c>
      <c r="E238" s="10" t="s">
        <v>3060</v>
      </c>
      <c r="F238" s="10" t="s">
        <v>3061</v>
      </c>
      <c r="G238" s="10" t="s">
        <v>3062</v>
      </c>
      <c r="H238" s="9" t="s">
        <v>618</v>
      </c>
      <c r="I238" s="10" t="s">
        <v>3063</v>
      </c>
      <c r="J238" s="10" t="s">
        <v>3064</v>
      </c>
      <c r="K238" s="10" t="s">
        <v>898</v>
      </c>
      <c r="L238" s="10" t="s">
        <v>3065</v>
      </c>
      <c r="M238" s="9" t="s">
        <v>821</v>
      </c>
      <c r="N238" s="9" t="s">
        <v>117</v>
      </c>
      <c r="O238" s="10" t="s">
        <v>118</v>
      </c>
      <c r="P238" s="14" t="s">
        <v>74</v>
      </c>
      <c r="Q238" s="9" t="n">
        <v>5</v>
      </c>
      <c r="R238" s="9" t="s">
        <v>90</v>
      </c>
      <c r="S238" s="10" t="s">
        <v>3066</v>
      </c>
      <c r="T238" s="10" t="s">
        <v>3067</v>
      </c>
      <c r="U238" s="10" t="s">
        <v>3068</v>
      </c>
    </row>
    <row r="239" customFormat="false" ht="108" hidden="true" customHeight="true" outlineLevel="0" collapsed="false">
      <c r="A239" s="9" t="s">
        <v>3069</v>
      </c>
      <c r="B239" s="10" t="s">
        <v>2713</v>
      </c>
      <c r="C239" s="10" t="s">
        <v>3070</v>
      </c>
      <c r="D239" s="10" t="s">
        <v>3071</v>
      </c>
      <c r="E239" s="10" t="s">
        <v>3072</v>
      </c>
      <c r="F239" s="10" t="s">
        <v>3073</v>
      </c>
      <c r="G239" s="10" t="s">
        <v>3074</v>
      </c>
      <c r="H239" s="9" t="s">
        <v>618</v>
      </c>
      <c r="I239" s="10" t="s">
        <v>3075</v>
      </c>
      <c r="J239" s="10" t="s">
        <v>3076</v>
      </c>
      <c r="K239" s="10" t="s">
        <v>3077</v>
      </c>
      <c r="L239" s="10" t="s">
        <v>3078</v>
      </c>
      <c r="M239" s="9" t="s">
        <v>661</v>
      </c>
      <c r="N239" s="9" t="s">
        <v>662</v>
      </c>
      <c r="O239" s="10" t="s">
        <v>118</v>
      </c>
      <c r="P239" s="14" t="s">
        <v>74</v>
      </c>
      <c r="Q239" s="9" t="n">
        <v>4</v>
      </c>
      <c r="R239" s="9" t="s">
        <v>90</v>
      </c>
      <c r="S239" s="10" t="s">
        <v>3079</v>
      </c>
      <c r="T239" s="10" t="s">
        <v>3080</v>
      </c>
      <c r="U239" s="10" t="s">
        <v>3081</v>
      </c>
    </row>
    <row r="240" customFormat="false" ht="108" hidden="false" customHeight="true" outlineLevel="0" collapsed="false">
      <c r="A240" s="9" t="s">
        <v>3082</v>
      </c>
      <c r="B240" s="10" t="s">
        <v>2713</v>
      </c>
      <c r="C240" s="10" t="s">
        <v>627</v>
      </c>
      <c r="D240" s="10" t="s">
        <v>3083</v>
      </c>
      <c r="E240" s="10" t="s">
        <v>3084</v>
      </c>
      <c r="F240" s="10" t="s">
        <v>3085</v>
      </c>
      <c r="G240" s="10" t="s">
        <v>3086</v>
      </c>
      <c r="H240" s="9" t="s">
        <v>618</v>
      </c>
      <c r="I240" s="10" t="s">
        <v>3087</v>
      </c>
      <c r="J240" s="10" t="s">
        <v>3088</v>
      </c>
      <c r="K240" s="10" t="s">
        <v>634</v>
      </c>
      <c r="L240" s="10" t="s">
        <v>3089</v>
      </c>
      <c r="M240" s="9" t="s">
        <v>70</v>
      </c>
      <c r="N240" s="9" t="s">
        <v>117</v>
      </c>
      <c r="O240" s="10" t="s">
        <v>118</v>
      </c>
      <c r="P240" s="12" t="s">
        <v>90</v>
      </c>
      <c r="Q240" s="9" t="n">
        <v>6</v>
      </c>
      <c r="R240" s="9" t="s">
        <v>74</v>
      </c>
      <c r="S240" s="10" t="s">
        <v>3090</v>
      </c>
      <c r="T240" s="10" t="s">
        <v>3091</v>
      </c>
      <c r="U240" s="10" t="s">
        <v>3092</v>
      </c>
    </row>
    <row r="241" customFormat="false" ht="108" hidden="false" customHeight="true" outlineLevel="0" collapsed="false">
      <c r="A241" s="9" t="s">
        <v>3093</v>
      </c>
      <c r="B241" s="10" t="s">
        <v>2713</v>
      </c>
      <c r="C241" s="10" t="s">
        <v>3094</v>
      </c>
      <c r="D241" s="10" t="s">
        <v>3095</v>
      </c>
      <c r="E241" s="10" t="s">
        <v>3096</v>
      </c>
      <c r="F241" s="10" t="s">
        <v>3097</v>
      </c>
      <c r="G241" s="10" t="s">
        <v>3098</v>
      </c>
      <c r="H241" s="9" t="s">
        <v>84</v>
      </c>
      <c r="I241" s="10" t="s">
        <v>3099</v>
      </c>
      <c r="J241" s="10" t="s">
        <v>3100</v>
      </c>
      <c r="K241" s="10" t="s">
        <v>3101</v>
      </c>
      <c r="L241" s="10" t="s">
        <v>3102</v>
      </c>
      <c r="M241" s="9" t="s">
        <v>70</v>
      </c>
      <c r="N241" s="9" t="s">
        <v>71</v>
      </c>
      <c r="O241" s="10" t="s">
        <v>118</v>
      </c>
      <c r="P241" s="12" t="s">
        <v>90</v>
      </c>
      <c r="Q241" s="9" t="n">
        <v>7</v>
      </c>
      <c r="R241" s="9" t="s">
        <v>74</v>
      </c>
      <c r="S241" s="10" t="s">
        <v>3103</v>
      </c>
      <c r="T241" s="10" t="s">
        <v>3104</v>
      </c>
      <c r="U241" s="10" t="s">
        <v>3105</v>
      </c>
    </row>
    <row r="242" customFormat="false" ht="108" hidden="true" customHeight="true" outlineLevel="0" collapsed="false">
      <c r="A242" s="9" t="s">
        <v>3106</v>
      </c>
      <c r="B242" s="10" t="s">
        <v>2713</v>
      </c>
      <c r="C242" s="10" t="s">
        <v>3094</v>
      </c>
      <c r="D242" s="10" t="s">
        <v>3107</v>
      </c>
      <c r="E242" s="10" t="s">
        <v>3108</v>
      </c>
      <c r="F242" s="10" t="s">
        <v>3109</v>
      </c>
      <c r="G242" s="10" t="s">
        <v>3110</v>
      </c>
      <c r="H242" s="9" t="s">
        <v>65</v>
      </c>
      <c r="I242" s="10" t="s">
        <v>3111</v>
      </c>
      <c r="J242" s="10" t="s">
        <v>3112</v>
      </c>
      <c r="K242" s="10" t="s">
        <v>3113</v>
      </c>
      <c r="L242" s="10" t="s">
        <v>3114</v>
      </c>
      <c r="M242" s="9" t="s">
        <v>821</v>
      </c>
      <c r="N242" s="9" t="s">
        <v>71</v>
      </c>
      <c r="O242" s="10" t="s">
        <v>3115</v>
      </c>
      <c r="P242" s="13" t="s">
        <v>119</v>
      </c>
      <c r="Q242" s="9" t="n">
        <v>2</v>
      </c>
      <c r="R242" s="9" t="s">
        <v>90</v>
      </c>
      <c r="S242" s="10" t="s">
        <v>3116</v>
      </c>
      <c r="T242" s="10" t="s">
        <v>3117</v>
      </c>
      <c r="U242" s="10" t="s">
        <v>3118</v>
      </c>
    </row>
    <row r="243" customFormat="false" ht="108" hidden="true" customHeight="true" outlineLevel="0" collapsed="false">
      <c r="A243" s="9" t="s">
        <v>3119</v>
      </c>
      <c r="B243" s="10" t="s">
        <v>2713</v>
      </c>
      <c r="C243" s="10" t="s">
        <v>3120</v>
      </c>
      <c r="D243" s="10" t="s">
        <v>3121</v>
      </c>
      <c r="E243" s="10" t="s">
        <v>3122</v>
      </c>
      <c r="F243" s="10" t="s">
        <v>3123</v>
      </c>
      <c r="G243" s="10" t="s">
        <v>3124</v>
      </c>
      <c r="H243" s="9" t="s">
        <v>112</v>
      </c>
      <c r="I243" s="10" t="s">
        <v>3125</v>
      </c>
      <c r="J243" s="10" t="s">
        <v>3126</v>
      </c>
      <c r="K243" s="10" t="s">
        <v>3127</v>
      </c>
      <c r="L243" s="10" t="s">
        <v>2959</v>
      </c>
      <c r="M243" s="9" t="s">
        <v>70</v>
      </c>
      <c r="N243" s="9" t="s">
        <v>71</v>
      </c>
      <c r="O243" s="10" t="s">
        <v>118</v>
      </c>
      <c r="P243" s="14" t="s">
        <v>74</v>
      </c>
      <c r="Q243" s="9" t="n">
        <v>4</v>
      </c>
      <c r="R243" s="9" t="s">
        <v>74</v>
      </c>
      <c r="S243" s="10" t="s">
        <v>3128</v>
      </c>
      <c r="T243" s="10" t="s">
        <v>3129</v>
      </c>
      <c r="U243" s="10" t="s">
        <v>3130</v>
      </c>
    </row>
    <row r="244" customFormat="false" ht="108" hidden="true" customHeight="true" outlineLevel="0" collapsed="false">
      <c r="A244" s="9" t="s">
        <v>3131</v>
      </c>
      <c r="B244" s="10" t="s">
        <v>2713</v>
      </c>
      <c r="C244" s="10" t="s">
        <v>3120</v>
      </c>
      <c r="D244" s="10" t="s">
        <v>3132</v>
      </c>
      <c r="E244" s="10" t="s">
        <v>3133</v>
      </c>
      <c r="F244" s="10" t="s">
        <v>3134</v>
      </c>
      <c r="G244" s="10" t="s">
        <v>3135</v>
      </c>
      <c r="H244" s="9" t="s">
        <v>65</v>
      </c>
      <c r="I244" s="10" t="s">
        <v>3136</v>
      </c>
      <c r="J244" s="10" t="s">
        <v>3137</v>
      </c>
      <c r="K244" s="10" t="s">
        <v>3138</v>
      </c>
      <c r="L244" s="10" t="s">
        <v>3139</v>
      </c>
      <c r="M244" s="9" t="s">
        <v>133</v>
      </c>
      <c r="N244" s="9" t="s">
        <v>71</v>
      </c>
      <c r="O244" s="10" t="s">
        <v>118</v>
      </c>
      <c r="P244" s="14" t="s">
        <v>74</v>
      </c>
      <c r="Q244" s="9" t="n">
        <v>5</v>
      </c>
      <c r="R244" s="9" t="s">
        <v>74</v>
      </c>
      <c r="S244" s="10" t="s">
        <v>3140</v>
      </c>
      <c r="T244" s="10" t="s">
        <v>3141</v>
      </c>
      <c r="U244" s="10" t="s">
        <v>3142</v>
      </c>
    </row>
    <row r="245" customFormat="false" ht="108" hidden="true" customHeight="true" outlineLevel="0" collapsed="false">
      <c r="A245" s="9" t="s">
        <v>3143</v>
      </c>
      <c r="B245" s="10" t="s">
        <v>2713</v>
      </c>
      <c r="C245" s="10" t="s">
        <v>3144</v>
      </c>
      <c r="D245" s="10" t="s">
        <v>3145</v>
      </c>
      <c r="E245" s="10" t="s">
        <v>3146</v>
      </c>
      <c r="F245" s="10" t="s">
        <v>3147</v>
      </c>
      <c r="G245" s="10" t="s">
        <v>3148</v>
      </c>
      <c r="H245" s="9" t="s">
        <v>84</v>
      </c>
      <c r="I245" s="10" t="s">
        <v>3149</v>
      </c>
      <c r="J245" s="10" t="s">
        <v>3150</v>
      </c>
      <c r="K245" s="10" t="s">
        <v>3151</v>
      </c>
      <c r="L245" s="10" t="s">
        <v>555</v>
      </c>
      <c r="M245" s="9" t="s">
        <v>133</v>
      </c>
      <c r="N245" s="9" t="s">
        <v>662</v>
      </c>
      <c r="O245" s="10" t="s">
        <v>3152</v>
      </c>
      <c r="P245" s="11" t="s">
        <v>73</v>
      </c>
      <c r="Q245" s="9" t="n">
        <v>9</v>
      </c>
      <c r="R245" s="9" t="s">
        <v>119</v>
      </c>
      <c r="S245" s="10" t="s">
        <v>3153</v>
      </c>
      <c r="T245" s="10" t="s">
        <v>3154</v>
      </c>
      <c r="U245" s="10" t="s">
        <v>3155</v>
      </c>
    </row>
    <row r="246" customFormat="false" ht="108" hidden="false" customHeight="true" outlineLevel="0" collapsed="false">
      <c r="A246" s="9" t="s">
        <v>3156</v>
      </c>
      <c r="B246" s="10" t="s">
        <v>2713</v>
      </c>
      <c r="C246" s="10" t="s">
        <v>3144</v>
      </c>
      <c r="D246" s="10" t="s">
        <v>3157</v>
      </c>
      <c r="E246" s="10" t="s">
        <v>3158</v>
      </c>
      <c r="F246" s="10" t="s">
        <v>3159</v>
      </c>
      <c r="G246" s="10" t="s">
        <v>3160</v>
      </c>
      <c r="H246" s="9" t="s">
        <v>3161</v>
      </c>
      <c r="I246" s="10" t="s">
        <v>3162</v>
      </c>
      <c r="J246" s="10" t="s">
        <v>3163</v>
      </c>
      <c r="K246" s="10" t="s">
        <v>716</v>
      </c>
      <c r="L246" s="10" t="s">
        <v>3164</v>
      </c>
      <c r="M246" s="9" t="s">
        <v>70</v>
      </c>
      <c r="N246" s="9" t="s">
        <v>117</v>
      </c>
      <c r="O246" s="10" t="s">
        <v>678</v>
      </c>
      <c r="P246" s="12" t="s">
        <v>90</v>
      </c>
      <c r="Q246" s="9" t="n">
        <v>7</v>
      </c>
      <c r="R246" s="9" t="s">
        <v>74</v>
      </c>
      <c r="S246" s="10" t="s">
        <v>3165</v>
      </c>
      <c r="T246" s="10" t="s">
        <v>3166</v>
      </c>
      <c r="U246" s="10" t="s">
        <v>3167</v>
      </c>
    </row>
    <row r="247" customFormat="false" ht="108" hidden="true" customHeight="true" outlineLevel="0" collapsed="false">
      <c r="A247" s="9" t="s">
        <v>3168</v>
      </c>
      <c r="B247" s="10" t="s">
        <v>2713</v>
      </c>
      <c r="C247" s="10" t="s">
        <v>3169</v>
      </c>
      <c r="D247" s="10" t="s">
        <v>3170</v>
      </c>
      <c r="E247" s="10" t="s">
        <v>3171</v>
      </c>
      <c r="F247" s="10" t="s">
        <v>3172</v>
      </c>
      <c r="G247" s="10" t="s">
        <v>3173</v>
      </c>
      <c r="H247" s="9" t="s">
        <v>84</v>
      </c>
      <c r="I247" s="10" t="s">
        <v>3174</v>
      </c>
      <c r="J247" s="10" t="s">
        <v>3175</v>
      </c>
      <c r="K247" s="10" t="s">
        <v>3176</v>
      </c>
      <c r="L247" s="10" t="s">
        <v>3077</v>
      </c>
      <c r="M247" s="9" t="s">
        <v>70</v>
      </c>
      <c r="N247" s="9" t="s">
        <v>662</v>
      </c>
      <c r="O247" s="10" t="s">
        <v>118</v>
      </c>
      <c r="P247" s="11" t="s">
        <v>73</v>
      </c>
      <c r="Q247" s="9" t="n">
        <v>9</v>
      </c>
      <c r="R247" s="9" t="s">
        <v>74</v>
      </c>
      <c r="S247" s="10" t="s">
        <v>3177</v>
      </c>
      <c r="T247" s="10" t="s">
        <v>3178</v>
      </c>
      <c r="U247" s="10" t="s">
        <v>3179</v>
      </c>
    </row>
    <row r="248" customFormat="false" ht="108" hidden="false" customHeight="true" outlineLevel="0" collapsed="false">
      <c r="A248" s="9" t="s">
        <v>3180</v>
      </c>
      <c r="B248" s="10" t="s">
        <v>2713</v>
      </c>
      <c r="C248" s="10" t="s">
        <v>3181</v>
      </c>
      <c r="D248" s="10" t="s">
        <v>3182</v>
      </c>
      <c r="E248" s="10" t="s">
        <v>3183</v>
      </c>
      <c r="F248" s="10" t="s">
        <v>3184</v>
      </c>
      <c r="G248" s="10" t="s">
        <v>3185</v>
      </c>
      <c r="H248" s="9" t="s">
        <v>960</v>
      </c>
      <c r="I248" s="10" t="s">
        <v>3186</v>
      </c>
      <c r="J248" s="10" t="s">
        <v>3187</v>
      </c>
      <c r="K248" s="10" t="s">
        <v>3188</v>
      </c>
      <c r="L248" s="10" t="s">
        <v>3189</v>
      </c>
      <c r="M248" s="9" t="s">
        <v>133</v>
      </c>
      <c r="N248" s="9" t="s">
        <v>71</v>
      </c>
      <c r="O248" s="10" t="s">
        <v>3190</v>
      </c>
      <c r="P248" s="12" t="s">
        <v>90</v>
      </c>
      <c r="Q248" s="9" t="n">
        <v>7</v>
      </c>
      <c r="R248" s="9" t="s">
        <v>119</v>
      </c>
      <c r="S248" s="10" t="s">
        <v>3191</v>
      </c>
      <c r="T248" s="10" t="s">
        <v>3192</v>
      </c>
      <c r="U248" s="10" t="s">
        <v>3193</v>
      </c>
    </row>
    <row r="249" customFormat="false" ht="108" hidden="false" customHeight="true" outlineLevel="0" collapsed="false">
      <c r="A249" s="9" t="s">
        <v>3194</v>
      </c>
      <c r="B249" s="10" t="s">
        <v>2713</v>
      </c>
      <c r="C249" s="10" t="s">
        <v>3195</v>
      </c>
      <c r="D249" s="10" t="s">
        <v>3196</v>
      </c>
      <c r="E249" s="10" t="s">
        <v>3197</v>
      </c>
      <c r="F249" s="10" t="s">
        <v>3198</v>
      </c>
      <c r="G249" s="10" t="s">
        <v>3199</v>
      </c>
      <c r="H249" s="9" t="s">
        <v>65</v>
      </c>
      <c r="I249" s="10" t="s">
        <v>3200</v>
      </c>
      <c r="J249" s="10" t="s">
        <v>3201</v>
      </c>
      <c r="K249" s="10" t="s">
        <v>3202</v>
      </c>
      <c r="L249" s="10" t="s">
        <v>3203</v>
      </c>
      <c r="M249" s="9" t="s">
        <v>70</v>
      </c>
      <c r="N249" s="9" t="s">
        <v>117</v>
      </c>
      <c r="O249" s="10" t="s">
        <v>1173</v>
      </c>
      <c r="P249" s="12" t="s">
        <v>90</v>
      </c>
      <c r="Q249" s="9" t="n">
        <v>6</v>
      </c>
      <c r="R249" s="9" t="s">
        <v>74</v>
      </c>
      <c r="S249" s="10" t="s">
        <v>3204</v>
      </c>
      <c r="T249" s="10" t="s">
        <v>3205</v>
      </c>
      <c r="U249" s="10" t="s">
        <v>3206</v>
      </c>
    </row>
    <row r="250" customFormat="false" ht="108" hidden="false" customHeight="true" outlineLevel="0" collapsed="false">
      <c r="A250" s="9" t="s">
        <v>3207</v>
      </c>
      <c r="B250" s="10" t="s">
        <v>2713</v>
      </c>
      <c r="C250" s="10" t="s">
        <v>3208</v>
      </c>
      <c r="D250" s="10" t="s">
        <v>3209</v>
      </c>
      <c r="E250" s="10" t="s">
        <v>3210</v>
      </c>
      <c r="F250" s="10" t="s">
        <v>3211</v>
      </c>
      <c r="G250" s="10" t="s">
        <v>3212</v>
      </c>
      <c r="H250" s="9" t="s">
        <v>84</v>
      </c>
      <c r="I250" s="10" t="s">
        <v>3213</v>
      </c>
      <c r="J250" s="10" t="s">
        <v>3214</v>
      </c>
      <c r="K250" s="10" t="s">
        <v>3215</v>
      </c>
      <c r="L250" s="10" t="s">
        <v>374</v>
      </c>
      <c r="M250" s="9" t="s">
        <v>70</v>
      </c>
      <c r="N250" s="9" t="s">
        <v>117</v>
      </c>
      <c r="O250" s="10" t="s">
        <v>1173</v>
      </c>
      <c r="P250" s="12" t="s">
        <v>90</v>
      </c>
      <c r="Q250" s="9" t="n">
        <v>7</v>
      </c>
      <c r="R250" s="9" t="s">
        <v>74</v>
      </c>
      <c r="S250" s="10" t="s">
        <v>3216</v>
      </c>
      <c r="T250" s="10" t="s">
        <v>3217</v>
      </c>
      <c r="U250" s="10" t="s">
        <v>3218</v>
      </c>
    </row>
    <row r="251" customFormat="false" ht="108" hidden="true" customHeight="true" outlineLevel="0" collapsed="false">
      <c r="A251" s="9" t="s">
        <v>3219</v>
      </c>
      <c r="B251" s="10" t="s">
        <v>2713</v>
      </c>
      <c r="C251" s="10" t="s">
        <v>3195</v>
      </c>
      <c r="D251" s="10" t="s">
        <v>3220</v>
      </c>
      <c r="E251" s="10" t="s">
        <v>3221</v>
      </c>
      <c r="F251" s="10" t="s">
        <v>3222</v>
      </c>
      <c r="G251" s="10" t="s">
        <v>3223</v>
      </c>
      <c r="H251" s="9" t="s">
        <v>84</v>
      </c>
      <c r="I251" s="10" t="s">
        <v>3224</v>
      </c>
      <c r="J251" s="10" t="s">
        <v>3225</v>
      </c>
      <c r="K251" s="10" t="s">
        <v>3202</v>
      </c>
      <c r="L251" s="10" t="s">
        <v>3226</v>
      </c>
      <c r="M251" s="9" t="s">
        <v>70</v>
      </c>
      <c r="N251" s="9" t="s">
        <v>117</v>
      </c>
      <c r="O251" s="10" t="s">
        <v>1173</v>
      </c>
      <c r="P251" s="13" t="s">
        <v>119</v>
      </c>
      <c r="Q251" s="9" t="n">
        <v>2</v>
      </c>
      <c r="R251" s="9" t="s">
        <v>90</v>
      </c>
      <c r="S251" s="10" t="s">
        <v>3227</v>
      </c>
      <c r="T251" s="10" t="s">
        <v>3228</v>
      </c>
      <c r="U251" s="10" t="s">
        <v>3229</v>
      </c>
    </row>
    <row r="252" customFormat="false" ht="108" hidden="false" customHeight="true" outlineLevel="0" collapsed="false">
      <c r="A252" s="9" t="s">
        <v>3230</v>
      </c>
      <c r="B252" s="10" t="s">
        <v>2713</v>
      </c>
      <c r="C252" s="10" t="s">
        <v>3231</v>
      </c>
      <c r="D252" s="10" t="s">
        <v>3232</v>
      </c>
      <c r="E252" s="10" t="s">
        <v>3233</v>
      </c>
      <c r="F252" s="10" t="s">
        <v>3234</v>
      </c>
      <c r="G252" s="10" t="s">
        <v>3235</v>
      </c>
      <c r="H252" s="9" t="s">
        <v>618</v>
      </c>
      <c r="I252" s="10" t="s">
        <v>3236</v>
      </c>
      <c r="J252" s="10" t="s">
        <v>3237</v>
      </c>
      <c r="K252" s="10" t="s">
        <v>3238</v>
      </c>
      <c r="L252" s="10" t="s">
        <v>102</v>
      </c>
      <c r="M252" s="9" t="s">
        <v>133</v>
      </c>
      <c r="N252" s="9" t="s">
        <v>71</v>
      </c>
      <c r="O252" s="10" t="s">
        <v>118</v>
      </c>
      <c r="P252" s="12" t="s">
        <v>90</v>
      </c>
      <c r="Q252" s="9" t="n">
        <v>7</v>
      </c>
      <c r="R252" s="9" t="s">
        <v>74</v>
      </c>
      <c r="S252" s="10" t="s">
        <v>3239</v>
      </c>
      <c r="T252" s="10" t="s">
        <v>3240</v>
      </c>
      <c r="U252" s="10" t="s">
        <v>3241</v>
      </c>
    </row>
    <row r="253" customFormat="false" ht="108" hidden="true" customHeight="true" outlineLevel="0" collapsed="false">
      <c r="A253" s="9" t="s">
        <v>3242</v>
      </c>
      <c r="B253" s="10" t="s">
        <v>2713</v>
      </c>
      <c r="C253" s="10" t="s">
        <v>3231</v>
      </c>
      <c r="D253" s="10" t="s">
        <v>3243</v>
      </c>
      <c r="E253" s="10" t="s">
        <v>3244</v>
      </c>
      <c r="F253" s="10" t="s">
        <v>3245</v>
      </c>
      <c r="G253" s="10" t="s">
        <v>3246</v>
      </c>
      <c r="H253" s="9" t="s">
        <v>618</v>
      </c>
      <c r="I253" s="10" t="s">
        <v>3247</v>
      </c>
      <c r="J253" s="10" t="s">
        <v>3248</v>
      </c>
      <c r="K253" s="10" t="s">
        <v>3249</v>
      </c>
      <c r="L253" s="10" t="s">
        <v>3250</v>
      </c>
      <c r="M253" s="9" t="s">
        <v>133</v>
      </c>
      <c r="N253" s="9" t="s">
        <v>71</v>
      </c>
      <c r="O253" s="10" t="s">
        <v>118</v>
      </c>
      <c r="P253" s="11" t="s">
        <v>73</v>
      </c>
      <c r="Q253" s="9" t="n">
        <v>9</v>
      </c>
      <c r="R253" s="9" t="s">
        <v>74</v>
      </c>
      <c r="S253" s="10" t="s">
        <v>3251</v>
      </c>
      <c r="T253" s="10" t="s">
        <v>3252</v>
      </c>
      <c r="U253" s="10" t="s">
        <v>3253</v>
      </c>
    </row>
    <row r="254" customFormat="false" ht="108" hidden="false" customHeight="true" outlineLevel="0" collapsed="false">
      <c r="A254" s="9" t="s">
        <v>3254</v>
      </c>
      <c r="B254" s="10" t="s">
        <v>2713</v>
      </c>
      <c r="C254" s="10" t="s">
        <v>3231</v>
      </c>
      <c r="D254" s="10" t="s">
        <v>3255</v>
      </c>
      <c r="E254" s="10" t="s">
        <v>3256</v>
      </c>
      <c r="F254" s="10" t="s">
        <v>3257</v>
      </c>
      <c r="G254" s="10" t="s">
        <v>3258</v>
      </c>
      <c r="H254" s="9" t="s">
        <v>65</v>
      </c>
      <c r="I254" s="10" t="s">
        <v>3259</v>
      </c>
      <c r="J254" s="10" t="s">
        <v>3260</v>
      </c>
      <c r="K254" s="10" t="s">
        <v>3261</v>
      </c>
      <c r="L254" s="10" t="s">
        <v>3262</v>
      </c>
      <c r="M254" s="9" t="s">
        <v>70</v>
      </c>
      <c r="N254" s="9" t="s">
        <v>71</v>
      </c>
      <c r="O254" s="10" t="s">
        <v>118</v>
      </c>
      <c r="P254" s="12" t="s">
        <v>90</v>
      </c>
      <c r="Q254" s="9" t="n">
        <v>6</v>
      </c>
      <c r="R254" s="9" t="s">
        <v>74</v>
      </c>
      <c r="S254" s="10" t="s">
        <v>3263</v>
      </c>
      <c r="T254" s="10" t="s">
        <v>3264</v>
      </c>
      <c r="U254" s="10" t="s">
        <v>3265</v>
      </c>
    </row>
    <row r="255" customFormat="false" ht="108" hidden="true" customHeight="true" outlineLevel="0" collapsed="false">
      <c r="A255" s="9" t="s">
        <v>3266</v>
      </c>
      <c r="B255" s="10" t="s">
        <v>2713</v>
      </c>
      <c r="C255" s="10" t="s">
        <v>3267</v>
      </c>
      <c r="D255" s="10" t="s">
        <v>3268</v>
      </c>
      <c r="E255" s="10" t="s">
        <v>3269</v>
      </c>
      <c r="F255" s="10" t="s">
        <v>3270</v>
      </c>
      <c r="G255" s="10" t="s">
        <v>3271</v>
      </c>
      <c r="H255" s="9" t="s">
        <v>84</v>
      </c>
      <c r="I255" s="10" t="s">
        <v>3272</v>
      </c>
      <c r="J255" s="10" t="s">
        <v>3273</v>
      </c>
      <c r="K255" s="10" t="s">
        <v>3274</v>
      </c>
      <c r="L255" s="10" t="s">
        <v>3275</v>
      </c>
      <c r="M255" s="9" t="s">
        <v>70</v>
      </c>
      <c r="N255" s="9" t="s">
        <v>71</v>
      </c>
      <c r="O255" s="10" t="s">
        <v>1228</v>
      </c>
      <c r="P255" s="14" t="s">
        <v>74</v>
      </c>
      <c r="Q255" s="9" t="n">
        <v>3</v>
      </c>
      <c r="R255" s="9" t="s">
        <v>90</v>
      </c>
      <c r="S255" s="10" t="s">
        <v>3276</v>
      </c>
      <c r="T255" s="10" t="s">
        <v>3277</v>
      </c>
      <c r="U255" s="10" t="s">
        <v>3278</v>
      </c>
    </row>
    <row r="256" customFormat="false" ht="108" hidden="true" customHeight="true" outlineLevel="0" collapsed="false">
      <c r="A256" s="9" t="s">
        <v>3279</v>
      </c>
      <c r="B256" s="10" t="s">
        <v>2713</v>
      </c>
      <c r="C256" s="10" t="s">
        <v>627</v>
      </c>
      <c r="D256" s="10" t="s">
        <v>3280</v>
      </c>
      <c r="E256" s="10" t="s">
        <v>3281</v>
      </c>
      <c r="F256" s="10" t="s">
        <v>3282</v>
      </c>
      <c r="G256" s="10" t="s">
        <v>3283</v>
      </c>
      <c r="H256" s="9" t="s">
        <v>84</v>
      </c>
      <c r="I256" s="10" t="s">
        <v>3284</v>
      </c>
      <c r="J256" s="10" t="s">
        <v>3285</v>
      </c>
      <c r="K256" s="10" t="s">
        <v>2933</v>
      </c>
      <c r="L256" s="10" t="s">
        <v>3286</v>
      </c>
      <c r="M256" s="9" t="s">
        <v>70</v>
      </c>
      <c r="N256" s="9" t="s">
        <v>117</v>
      </c>
      <c r="O256" s="10" t="s">
        <v>118</v>
      </c>
      <c r="P256" s="14" t="s">
        <v>74</v>
      </c>
      <c r="Q256" s="9" t="n">
        <v>5</v>
      </c>
      <c r="R256" s="9" t="s">
        <v>74</v>
      </c>
      <c r="S256" s="10" t="s">
        <v>3287</v>
      </c>
      <c r="T256" s="10" t="s">
        <v>3288</v>
      </c>
      <c r="U256" s="10" t="s">
        <v>3289</v>
      </c>
    </row>
    <row r="257" customFormat="false" ht="108" hidden="false" customHeight="true" outlineLevel="0" collapsed="false">
      <c r="A257" s="9" t="s">
        <v>3290</v>
      </c>
      <c r="B257" s="10" t="s">
        <v>3291</v>
      </c>
      <c r="C257" s="10" t="s">
        <v>3292</v>
      </c>
      <c r="D257" s="10" t="s">
        <v>3293</v>
      </c>
      <c r="E257" s="10" t="s">
        <v>3294</v>
      </c>
      <c r="F257" s="10" t="s">
        <v>3295</v>
      </c>
      <c r="G257" s="10" t="s">
        <v>3296</v>
      </c>
      <c r="H257" s="9" t="s">
        <v>868</v>
      </c>
      <c r="I257" s="10" t="s">
        <v>3297</v>
      </c>
      <c r="J257" s="10" t="s">
        <v>3298</v>
      </c>
      <c r="K257" s="10" t="s">
        <v>3299</v>
      </c>
      <c r="L257" s="10" t="s">
        <v>3300</v>
      </c>
      <c r="M257" s="9" t="s">
        <v>661</v>
      </c>
      <c r="N257" s="9" t="s">
        <v>662</v>
      </c>
      <c r="O257" s="10" t="s">
        <v>118</v>
      </c>
      <c r="P257" s="12" t="s">
        <v>90</v>
      </c>
      <c r="Q257" s="9" t="n">
        <v>7</v>
      </c>
      <c r="R257" s="9" t="s">
        <v>74</v>
      </c>
      <c r="S257" s="10" t="s">
        <v>3301</v>
      </c>
      <c r="T257" s="10" t="s">
        <v>3302</v>
      </c>
      <c r="U257" s="10" t="s">
        <v>3303</v>
      </c>
    </row>
    <row r="258" customFormat="false" ht="108" hidden="true" customHeight="true" outlineLevel="0" collapsed="false">
      <c r="A258" s="9" t="s">
        <v>3304</v>
      </c>
      <c r="B258" s="10" t="s">
        <v>3291</v>
      </c>
      <c r="C258" s="10" t="s">
        <v>3305</v>
      </c>
      <c r="D258" s="10" t="s">
        <v>3306</v>
      </c>
      <c r="E258" s="10" t="s">
        <v>3307</v>
      </c>
      <c r="F258" s="10" t="s">
        <v>3308</v>
      </c>
      <c r="G258" s="10" t="s">
        <v>3309</v>
      </c>
      <c r="H258" s="9" t="s">
        <v>868</v>
      </c>
      <c r="I258" s="10" t="s">
        <v>3310</v>
      </c>
      <c r="J258" s="10" t="s">
        <v>3311</v>
      </c>
      <c r="K258" s="10" t="s">
        <v>3312</v>
      </c>
      <c r="L258" s="10" t="s">
        <v>3313</v>
      </c>
      <c r="M258" s="9" t="s">
        <v>769</v>
      </c>
      <c r="N258" s="9" t="s">
        <v>71</v>
      </c>
      <c r="O258" s="10" t="s">
        <v>118</v>
      </c>
      <c r="P258" s="14" t="s">
        <v>74</v>
      </c>
      <c r="Q258" s="9" t="n">
        <v>5</v>
      </c>
      <c r="R258" s="9" t="s">
        <v>90</v>
      </c>
      <c r="S258" s="10" t="s">
        <v>3314</v>
      </c>
      <c r="T258" s="10" t="s">
        <v>3315</v>
      </c>
      <c r="U258" s="10" t="s">
        <v>3316</v>
      </c>
    </row>
    <row r="259" customFormat="false" ht="108" hidden="false" customHeight="true" outlineLevel="0" collapsed="false">
      <c r="A259" s="9" t="s">
        <v>3317</v>
      </c>
      <c r="B259" s="10" t="s">
        <v>3291</v>
      </c>
      <c r="C259" s="10" t="s">
        <v>3318</v>
      </c>
      <c r="D259" s="10" t="s">
        <v>3319</v>
      </c>
      <c r="E259" s="10" t="s">
        <v>3320</v>
      </c>
      <c r="F259" s="10" t="s">
        <v>3321</v>
      </c>
      <c r="G259" s="10" t="s">
        <v>3322</v>
      </c>
      <c r="H259" s="9" t="s">
        <v>112</v>
      </c>
      <c r="I259" s="10" t="s">
        <v>3323</v>
      </c>
      <c r="J259" s="10" t="s">
        <v>3324</v>
      </c>
      <c r="K259" s="10" t="s">
        <v>3325</v>
      </c>
      <c r="L259" s="10" t="s">
        <v>1017</v>
      </c>
      <c r="M259" s="9" t="s">
        <v>769</v>
      </c>
      <c r="N259" s="9" t="s">
        <v>71</v>
      </c>
      <c r="O259" s="10" t="s">
        <v>185</v>
      </c>
      <c r="P259" s="12" t="s">
        <v>90</v>
      </c>
      <c r="Q259" s="9" t="n">
        <v>6</v>
      </c>
      <c r="R259" s="9" t="s">
        <v>74</v>
      </c>
      <c r="S259" s="10" t="s">
        <v>3326</v>
      </c>
      <c r="T259" s="10" t="s">
        <v>3327</v>
      </c>
      <c r="U259" s="10" t="s">
        <v>1600</v>
      </c>
    </row>
    <row r="260" customFormat="false" ht="108" hidden="false" customHeight="true" outlineLevel="0" collapsed="false">
      <c r="A260" s="9" t="s">
        <v>3328</v>
      </c>
      <c r="B260" s="10" t="s">
        <v>3291</v>
      </c>
      <c r="C260" s="10" t="s">
        <v>3329</v>
      </c>
      <c r="D260" s="10" t="s">
        <v>3330</v>
      </c>
      <c r="E260" s="10" t="s">
        <v>3331</v>
      </c>
      <c r="F260" s="10" t="s">
        <v>3332</v>
      </c>
      <c r="G260" s="10" t="s">
        <v>3333</v>
      </c>
      <c r="H260" s="9" t="s">
        <v>868</v>
      </c>
      <c r="I260" s="10" t="s">
        <v>3334</v>
      </c>
      <c r="J260" s="10" t="s">
        <v>3335</v>
      </c>
      <c r="K260" s="10" t="s">
        <v>3336</v>
      </c>
      <c r="L260" s="10" t="s">
        <v>3337</v>
      </c>
      <c r="M260" s="9" t="s">
        <v>677</v>
      </c>
      <c r="N260" s="9" t="s">
        <v>662</v>
      </c>
      <c r="O260" s="10" t="s">
        <v>72</v>
      </c>
      <c r="P260" s="12" t="s">
        <v>90</v>
      </c>
      <c r="Q260" s="9" t="n">
        <v>7</v>
      </c>
      <c r="R260" s="9" t="s">
        <v>119</v>
      </c>
      <c r="S260" s="10" t="s">
        <v>3338</v>
      </c>
      <c r="T260" s="10" t="s">
        <v>3339</v>
      </c>
      <c r="U260" s="10" t="s">
        <v>3340</v>
      </c>
    </row>
    <row r="261" customFormat="false" ht="108" hidden="true" customHeight="true" outlineLevel="0" collapsed="false">
      <c r="A261" s="9" t="s">
        <v>3341</v>
      </c>
      <c r="B261" s="10" t="s">
        <v>3291</v>
      </c>
      <c r="C261" s="10" t="s">
        <v>3342</v>
      </c>
      <c r="D261" s="10" t="s">
        <v>3343</v>
      </c>
      <c r="E261" s="10" t="s">
        <v>3344</v>
      </c>
      <c r="F261" s="10" t="s">
        <v>3345</v>
      </c>
      <c r="G261" s="10" t="s">
        <v>3346</v>
      </c>
      <c r="H261" s="9" t="s">
        <v>84</v>
      </c>
      <c r="I261" s="10" t="s">
        <v>3347</v>
      </c>
      <c r="J261" s="10" t="s">
        <v>3348</v>
      </c>
      <c r="K261" s="10" t="s">
        <v>3349</v>
      </c>
      <c r="L261" s="10" t="s">
        <v>3350</v>
      </c>
      <c r="M261" s="9" t="s">
        <v>821</v>
      </c>
      <c r="N261" s="9" t="s">
        <v>71</v>
      </c>
      <c r="O261" s="10" t="s">
        <v>72</v>
      </c>
      <c r="P261" s="14" t="s">
        <v>74</v>
      </c>
      <c r="Q261" s="9" t="n">
        <v>5</v>
      </c>
      <c r="R261" s="9" t="s">
        <v>74</v>
      </c>
      <c r="S261" s="10" t="s">
        <v>3351</v>
      </c>
      <c r="T261" s="10" t="s">
        <v>3352</v>
      </c>
      <c r="U261" s="10" t="s">
        <v>3353</v>
      </c>
    </row>
    <row r="262" customFormat="false" ht="108" hidden="false" customHeight="true" outlineLevel="0" collapsed="false">
      <c r="A262" s="9" t="s">
        <v>3354</v>
      </c>
      <c r="B262" s="10" t="s">
        <v>3291</v>
      </c>
      <c r="C262" s="10" t="s">
        <v>3355</v>
      </c>
      <c r="D262" s="10" t="s">
        <v>3356</v>
      </c>
      <c r="E262" s="10" t="s">
        <v>3357</v>
      </c>
      <c r="F262" s="10" t="s">
        <v>3358</v>
      </c>
      <c r="G262" s="10" t="s">
        <v>3359</v>
      </c>
      <c r="H262" s="9" t="s">
        <v>868</v>
      </c>
      <c r="I262" s="10" t="s">
        <v>3360</v>
      </c>
      <c r="J262" s="10" t="s">
        <v>3361</v>
      </c>
      <c r="K262" s="10" t="s">
        <v>3362</v>
      </c>
      <c r="L262" s="10" t="s">
        <v>3363</v>
      </c>
      <c r="M262" s="9" t="s">
        <v>677</v>
      </c>
      <c r="N262" s="9" t="s">
        <v>71</v>
      </c>
      <c r="O262" s="10" t="s">
        <v>678</v>
      </c>
      <c r="P262" s="12" t="s">
        <v>90</v>
      </c>
      <c r="Q262" s="9" t="n">
        <v>6</v>
      </c>
      <c r="R262" s="9" t="s">
        <v>74</v>
      </c>
      <c r="S262" s="10" t="s">
        <v>3364</v>
      </c>
      <c r="T262" s="10" t="s">
        <v>3365</v>
      </c>
      <c r="U262" s="10" t="s">
        <v>3366</v>
      </c>
    </row>
    <row r="263" customFormat="false" ht="108" hidden="true" customHeight="true" outlineLevel="0" collapsed="false">
      <c r="A263" s="9" t="s">
        <v>3367</v>
      </c>
      <c r="B263" s="10" t="s">
        <v>3291</v>
      </c>
      <c r="C263" s="10" t="s">
        <v>3368</v>
      </c>
      <c r="D263" s="10" t="s">
        <v>3369</v>
      </c>
      <c r="E263" s="10" t="s">
        <v>3370</v>
      </c>
      <c r="F263" s="10" t="s">
        <v>3371</v>
      </c>
      <c r="G263" s="10" t="s">
        <v>3372</v>
      </c>
      <c r="H263" s="9" t="s">
        <v>868</v>
      </c>
      <c r="I263" s="10" t="s">
        <v>3373</v>
      </c>
      <c r="J263" s="10" t="s">
        <v>3374</v>
      </c>
      <c r="K263" s="10" t="s">
        <v>3375</v>
      </c>
      <c r="L263" s="10" t="s">
        <v>3376</v>
      </c>
      <c r="M263" s="9" t="s">
        <v>70</v>
      </c>
      <c r="N263" s="9" t="s">
        <v>117</v>
      </c>
      <c r="O263" s="10" t="s">
        <v>118</v>
      </c>
      <c r="P263" s="14" t="s">
        <v>74</v>
      </c>
      <c r="Q263" s="9" t="n">
        <v>4</v>
      </c>
      <c r="R263" s="9" t="s">
        <v>90</v>
      </c>
      <c r="S263" s="10" t="s">
        <v>3377</v>
      </c>
      <c r="T263" s="10" t="s">
        <v>3378</v>
      </c>
      <c r="U263" s="10" t="s">
        <v>3379</v>
      </c>
    </row>
    <row r="264" customFormat="false" ht="108" hidden="true" customHeight="true" outlineLevel="0" collapsed="false">
      <c r="A264" s="9" t="s">
        <v>3380</v>
      </c>
      <c r="B264" s="10" t="s">
        <v>3291</v>
      </c>
      <c r="C264" s="10" t="s">
        <v>3381</v>
      </c>
      <c r="D264" s="10" t="s">
        <v>3382</v>
      </c>
      <c r="E264" s="10" t="s">
        <v>3383</v>
      </c>
      <c r="F264" s="10" t="s">
        <v>3384</v>
      </c>
      <c r="G264" s="10" t="s">
        <v>3385</v>
      </c>
      <c r="H264" s="9" t="s">
        <v>868</v>
      </c>
      <c r="I264" s="10" t="s">
        <v>3386</v>
      </c>
      <c r="J264" s="10" t="s">
        <v>3387</v>
      </c>
      <c r="K264" s="10" t="s">
        <v>3388</v>
      </c>
      <c r="L264" s="10" t="s">
        <v>3389</v>
      </c>
      <c r="M264" s="9" t="s">
        <v>677</v>
      </c>
      <c r="N264" s="9" t="s">
        <v>274</v>
      </c>
      <c r="O264" s="10" t="s">
        <v>118</v>
      </c>
      <c r="P264" s="14" t="s">
        <v>74</v>
      </c>
      <c r="Q264" s="9" t="n">
        <v>5</v>
      </c>
      <c r="R264" s="9" t="s">
        <v>74</v>
      </c>
      <c r="S264" s="10" t="s">
        <v>3390</v>
      </c>
      <c r="T264" s="10" t="s">
        <v>3391</v>
      </c>
      <c r="U264" s="10" t="s">
        <v>3392</v>
      </c>
    </row>
    <row r="265" customFormat="false" ht="108" hidden="false" customHeight="true" outlineLevel="0" collapsed="false">
      <c r="A265" s="9" t="s">
        <v>3393</v>
      </c>
      <c r="B265" s="10" t="s">
        <v>3291</v>
      </c>
      <c r="C265" s="10" t="s">
        <v>3394</v>
      </c>
      <c r="D265" s="10" t="s">
        <v>3395</v>
      </c>
      <c r="E265" s="10" t="s">
        <v>3396</v>
      </c>
      <c r="F265" s="10" t="s">
        <v>3397</v>
      </c>
      <c r="G265" s="10" t="s">
        <v>3398</v>
      </c>
      <c r="H265" s="9" t="s">
        <v>3399</v>
      </c>
      <c r="I265" s="10" t="s">
        <v>3400</v>
      </c>
      <c r="J265" s="10" t="s">
        <v>3401</v>
      </c>
      <c r="K265" s="10" t="s">
        <v>3402</v>
      </c>
      <c r="L265" s="10" t="s">
        <v>3403</v>
      </c>
      <c r="M265" s="9" t="s">
        <v>661</v>
      </c>
      <c r="N265" s="9" t="s">
        <v>662</v>
      </c>
      <c r="O265" s="10" t="s">
        <v>118</v>
      </c>
      <c r="P265" s="12" t="s">
        <v>90</v>
      </c>
      <c r="Q265" s="9" t="n">
        <v>7</v>
      </c>
      <c r="R265" s="9" t="s">
        <v>74</v>
      </c>
      <c r="S265" s="10" t="s">
        <v>3404</v>
      </c>
      <c r="T265" s="10" t="s">
        <v>3405</v>
      </c>
      <c r="U265" s="10" t="s">
        <v>3406</v>
      </c>
    </row>
    <row r="266" customFormat="false" ht="108" hidden="true" customHeight="true" outlineLevel="0" collapsed="false">
      <c r="A266" s="9" t="s">
        <v>3407</v>
      </c>
      <c r="B266" s="10" t="s">
        <v>3291</v>
      </c>
      <c r="C266" s="10" t="s">
        <v>3408</v>
      </c>
      <c r="D266" s="10" t="s">
        <v>3409</v>
      </c>
      <c r="E266" s="10" t="s">
        <v>3410</v>
      </c>
      <c r="F266" s="10" t="s">
        <v>3411</v>
      </c>
      <c r="G266" s="10" t="s">
        <v>3412</v>
      </c>
      <c r="H266" s="9" t="s">
        <v>112</v>
      </c>
      <c r="I266" s="10" t="s">
        <v>3413</v>
      </c>
      <c r="J266" s="10" t="s">
        <v>3414</v>
      </c>
      <c r="K266" s="10" t="s">
        <v>3415</v>
      </c>
      <c r="L266" s="10" t="s">
        <v>3416</v>
      </c>
      <c r="M266" s="9" t="s">
        <v>677</v>
      </c>
      <c r="N266" s="9" t="s">
        <v>71</v>
      </c>
      <c r="O266" s="10" t="s">
        <v>118</v>
      </c>
      <c r="P266" s="13" t="s">
        <v>119</v>
      </c>
      <c r="Q266" s="9" t="n">
        <v>2</v>
      </c>
      <c r="R266" s="9" t="s">
        <v>90</v>
      </c>
      <c r="S266" s="10" t="s">
        <v>3417</v>
      </c>
      <c r="T266" s="10" t="s">
        <v>3418</v>
      </c>
      <c r="U266" s="10" t="s">
        <v>3419</v>
      </c>
    </row>
    <row r="267" customFormat="false" ht="108" hidden="true" customHeight="true" outlineLevel="0" collapsed="false">
      <c r="A267" s="9" t="s">
        <v>3420</v>
      </c>
      <c r="B267" s="10" t="s">
        <v>3291</v>
      </c>
      <c r="C267" s="10" t="s">
        <v>3421</v>
      </c>
      <c r="D267" s="10" t="s">
        <v>3422</v>
      </c>
      <c r="E267" s="10" t="s">
        <v>3423</v>
      </c>
      <c r="F267" s="10" t="s">
        <v>3424</v>
      </c>
      <c r="G267" s="10" t="s">
        <v>3425</v>
      </c>
      <c r="H267" s="9" t="s">
        <v>84</v>
      </c>
      <c r="I267" s="10" t="s">
        <v>3426</v>
      </c>
      <c r="J267" s="10" t="s">
        <v>3427</v>
      </c>
      <c r="K267" s="10" t="s">
        <v>3428</v>
      </c>
      <c r="L267" s="10" t="s">
        <v>3429</v>
      </c>
      <c r="M267" s="9" t="s">
        <v>133</v>
      </c>
      <c r="N267" s="9" t="s">
        <v>117</v>
      </c>
      <c r="O267" s="10" t="s">
        <v>89</v>
      </c>
      <c r="P267" s="14" t="s">
        <v>74</v>
      </c>
      <c r="Q267" s="9" t="n">
        <v>5</v>
      </c>
      <c r="R267" s="9" t="s">
        <v>74</v>
      </c>
      <c r="S267" s="10" t="s">
        <v>3430</v>
      </c>
      <c r="T267" s="10" t="s">
        <v>3431</v>
      </c>
      <c r="U267" s="10" t="s">
        <v>3432</v>
      </c>
    </row>
    <row r="268" customFormat="false" ht="108" hidden="true" customHeight="true" outlineLevel="0" collapsed="false">
      <c r="A268" s="9" t="s">
        <v>3433</v>
      </c>
      <c r="B268" s="10" t="s">
        <v>3291</v>
      </c>
      <c r="C268" s="10" t="s">
        <v>3434</v>
      </c>
      <c r="D268" s="10" t="s">
        <v>3435</v>
      </c>
      <c r="E268" s="10" t="s">
        <v>3436</v>
      </c>
      <c r="F268" s="10" t="s">
        <v>3437</v>
      </c>
      <c r="G268" s="10" t="s">
        <v>3438</v>
      </c>
      <c r="H268" s="9" t="s">
        <v>112</v>
      </c>
      <c r="I268" s="10" t="s">
        <v>3439</v>
      </c>
      <c r="J268" s="10" t="s">
        <v>3440</v>
      </c>
      <c r="K268" s="10" t="s">
        <v>3441</v>
      </c>
      <c r="L268" s="10" t="s">
        <v>3442</v>
      </c>
      <c r="M268" s="9" t="s">
        <v>769</v>
      </c>
      <c r="N268" s="9" t="s">
        <v>71</v>
      </c>
      <c r="O268" s="10" t="s">
        <v>118</v>
      </c>
      <c r="P268" s="14" t="s">
        <v>74</v>
      </c>
      <c r="Q268" s="9" t="n">
        <v>4</v>
      </c>
      <c r="R268" s="9" t="s">
        <v>90</v>
      </c>
      <c r="S268" s="10" t="s">
        <v>3443</v>
      </c>
      <c r="T268" s="10" t="s">
        <v>3444</v>
      </c>
      <c r="U268" s="10" t="s">
        <v>3445</v>
      </c>
    </row>
    <row r="269" customFormat="false" ht="108" hidden="true" customHeight="true" outlineLevel="0" collapsed="false">
      <c r="A269" s="9" t="s">
        <v>3446</v>
      </c>
      <c r="B269" s="10" t="s">
        <v>3291</v>
      </c>
      <c r="C269" s="10" t="s">
        <v>3447</v>
      </c>
      <c r="D269" s="10" t="s">
        <v>3448</v>
      </c>
      <c r="E269" s="10" t="s">
        <v>3449</v>
      </c>
      <c r="F269" s="10" t="s">
        <v>3450</v>
      </c>
      <c r="G269" s="10" t="s">
        <v>3451</v>
      </c>
      <c r="H269" s="9" t="s">
        <v>3452</v>
      </c>
      <c r="I269" s="10" t="s">
        <v>3453</v>
      </c>
      <c r="J269" s="10" t="s">
        <v>3454</v>
      </c>
      <c r="K269" s="10" t="s">
        <v>3455</v>
      </c>
      <c r="L269" s="10" t="s">
        <v>3456</v>
      </c>
      <c r="M269" s="9" t="s">
        <v>70</v>
      </c>
      <c r="N269" s="9" t="s">
        <v>117</v>
      </c>
      <c r="O269" s="10" t="s">
        <v>185</v>
      </c>
      <c r="P269" s="11" t="s">
        <v>73</v>
      </c>
      <c r="Q269" s="9" t="n">
        <v>9</v>
      </c>
      <c r="R269" s="9" t="s">
        <v>119</v>
      </c>
      <c r="S269" s="10" t="s">
        <v>3457</v>
      </c>
      <c r="T269" s="10" t="s">
        <v>3458</v>
      </c>
      <c r="U269" s="10" t="s">
        <v>3459</v>
      </c>
    </row>
    <row r="270" customFormat="false" ht="108" hidden="false" customHeight="true" outlineLevel="0" collapsed="false">
      <c r="A270" s="9" t="s">
        <v>3460</v>
      </c>
      <c r="B270" s="10" t="s">
        <v>3291</v>
      </c>
      <c r="C270" s="10" t="s">
        <v>3461</v>
      </c>
      <c r="D270" s="10" t="s">
        <v>3462</v>
      </c>
      <c r="E270" s="10" t="s">
        <v>3463</v>
      </c>
      <c r="F270" s="10" t="s">
        <v>3464</v>
      </c>
      <c r="G270" s="10" t="s">
        <v>3465</v>
      </c>
      <c r="H270" s="9" t="s">
        <v>112</v>
      </c>
      <c r="I270" s="10" t="s">
        <v>3466</v>
      </c>
      <c r="J270" s="10" t="s">
        <v>3467</v>
      </c>
      <c r="K270" s="10" t="s">
        <v>3468</v>
      </c>
      <c r="L270" s="10" t="s">
        <v>3469</v>
      </c>
      <c r="M270" s="9" t="s">
        <v>133</v>
      </c>
      <c r="N270" s="9" t="s">
        <v>117</v>
      </c>
      <c r="O270" s="10" t="s">
        <v>185</v>
      </c>
      <c r="P270" s="12" t="s">
        <v>90</v>
      </c>
      <c r="Q270" s="9" t="n">
        <v>6</v>
      </c>
      <c r="R270" s="9" t="s">
        <v>74</v>
      </c>
      <c r="S270" s="10" t="s">
        <v>3470</v>
      </c>
      <c r="T270" s="10" t="s">
        <v>3471</v>
      </c>
      <c r="U270" s="10" t="s">
        <v>3472</v>
      </c>
    </row>
    <row r="271" customFormat="false" ht="108" hidden="true" customHeight="true" outlineLevel="0" collapsed="false">
      <c r="A271" s="9" t="s">
        <v>3473</v>
      </c>
      <c r="B271" s="10" t="s">
        <v>3291</v>
      </c>
      <c r="C271" s="10" t="s">
        <v>3474</v>
      </c>
      <c r="D271" s="10" t="s">
        <v>3475</v>
      </c>
      <c r="E271" s="10" t="s">
        <v>3476</v>
      </c>
      <c r="F271" s="10" t="s">
        <v>3477</v>
      </c>
      <c r="G271" s="10" t="s">
        <v>3478</v>
      </c>
      <c r="H271" s="9" t="s">
        <v>3479</v>
      </c>
      <c r="I271" s="10" t="s">
        <v>3480</v>
      </c>
      <c r="J271" s="10" t="s">
        <v>3481</v>
      </c>
      <c r="K271" s="10" t="s">
        <v>3482</v>
      </c>
      <c r="L271" s="10" t="s">
        <v>3483</v>
      </c>
      <c r="M271" s="9" t="s">
        <v>769</v>
      </c>
      <c r="N271" s="9" t="s">
        <v>274</v>
      </c>
      <c r="O271" s="10" t="s">
        <v>118</v>
      </c>
      <c r="P271" s="11" t="s">
        <v>73</v>
      </c>
      <c r="Q271" s="9" t="n">
        <v>9</v>
      </c>
      <c r="R271" s="9" t="s">
        <v>74</v>
      </c>
      <c r="S271" s="10" t="s">
        <v>3484</v>
      </c>
      <c r="T271" s="10" t="s">
        <v>3485</v>
      </c>
      <c r="U271" s="10" t="s">
        <v>3486</v>
      </c>
    </row>
    <row r="272" customFormat="false" ht="108" hidden="false" customHeight="true" outlineLevel="0" collapsed="false">
      <c r="A272" s="9" t="s">
        <v>3487</v>
      </c>
      <c r="B272" s="10" t="s">
        <v>3291</v>
      </c>
      <c r="C272" s="10" t="s">
        <v>3488</v>
      </c>
      <c r="D272" s="10" t="s">
        <v>3489</v>
      </c>
      <c r="E272" s="10" t="s">
        <v>3490</v>
      </c>
      <c r="F272" s="10" t="s">
        <v>3491</v>
      </c>
      <c r="G272" s="10" t="s">
        <v>3492</v>
      </c>
      <c r="H272" s="9" t="s">
        <v>112</v>
      </c>
      <c r="I272" s="10" t="s">
        <v>3493</v>
      </c>
      <c r="J272" s="10" t="s">
        <v>3494</v>
      </c>
      <c r="K272" s="10" t="s">
        <v>3495</v>
      </c>
      <c r="L272" s="10" t="s">
        <v>3496</v>
      </c>
      <c r="M272" s="9" t="s">
        <v>677</v>
      </c>
      <c r="N272" s="9" t="s">
        <v>71</v>
      </c>
      <c r="O272" s="10" t="s">
        <v>185</v>
      </c>
      <c r="P272" s="12" t="s">
        <v>90</v>
      </c>
      <c r="Q272" s="9" t="n">
        <v>7</v>
      </c>
      <c r="R272" s="9" t="s">
        <v>74</v>
      </c>
      <c r="S272" s="10" t="s">
        <v>3497</v>
      </c>
      <c r="T272" s="10" t="s">
        <v>3498</v>
      </c>
      <c r="U272" s="10" t="s">
        <v>3499</v>
      </c>
    </row>
    <row r="273" customFormat="false" ht="108" hidden="false" customHeight="true" outlineLevel="0" collapsed="false">
      <c r="A273" s="9" t="s">
        <v>3500</v>
      </c>
      <c r="B273" s="10" t="s">
        <v>3291</v>
      </c>
      <c r="C273" s="10" t="s">
        <v>3501</v>
      </c>
      <c r="D273" s="10" t="s">
        <v>3502</v>
      </c>
      <c r="E273" s="10" t="s">
        <v>3503</v>
      </c>
      <c r="F273" s="10" t="s">
        <v>3504</v>
      </c>
      <c r="G273" s="10" t="s">
        <v>3505</v>
      </c>
      <c r="H273" s="9" t="s">
        <v>618</v>
      </c>
      <c r="I273" s="10" t="s">
        <v>3506</v>
      </c>
      <c r="J273" s="10" t="s">
        <v>3507</v>
      </c>
      <c r="K273" s="10" t="s">
        <v>3508</v>
      </c>
      <c r="L273" s="10" t="s">
        <v>3509</v>
      </c>
      <c r="M273" s="9" t="s">
        <v>821</v>
      </c>
      <c r="N273" s="9" t="s">
        <v>71</v>
      </c>
      <c r="O273" s="10" t="s">
        <v>89</v>
      </c>
      <c r="P273" s="12" t="s">
        <v>90</v>
      </c>
      <c r="Q273" s="9" t="n">
        <v>7</v>
      </c>
      <c r="R273" s="9" t="s">
        <v>74</v>
      </c>
      <c r="S273" s="10" t="s">
        <v>3510</v>
      </c>
      <c r="T273" s="10" t="s">
        <v>3511</v>
      </c>
      <c r="U273" s="10" t="s">
        <v>3512</v>
      </c>
    </row>
    <row r="274" customFormat="false" ht="108" hidden="false" customHeight="true" outlineLevel="0" collapsed="false">
      <c r="A274" s="9" t="s">
        <v>3513</v>
      </c>
      <c r="B274" s="10" t="s">
        <v>3291</v>
      </c>
      <c r="C274" s="10" t="s">
        <v>3514</v>
      </c>
      <c r="D274" s="10" t="s">
        <v>3515</v>
      </c>
      <c r="E274" s="10" t="s">
        <v>3516</v>
      </c>
      <c r="F274" s="10" t="s">
        <v>3517</v>
      </c>
      <c r="G274" s="10" t="s">
        <v>3518</v>
      </c>
      <c r="H274" s="9" t="s">
        <v>3519</v>
      </c>
      <c r="I274" s="10" t="s">
        <v>3520</v>
      </c>
      <c r="J274" s="10" t="s">
        <v>3521</v>
      </c>
      <c r="K274" s="10" t="s">
        <v>3522</v>
      </c>
      <c r="L274" s="10" t="s">
        <v>3523</v>
      </c>
      <c r="M274" s="9" t="s">
        <v>70</v>
      </c>
      <c r="N274" s="9" t="s">
        <v>117</v>
      </c>
      <c r="O274" s="10" t="s">
        <v>300</v>
      </c>
      <c r="P274" s="12" t="s">
        <v>90</v>
      </c>
      <c r="Q274" s="9" t="n">
        <v>6</v>
      </c>
      <c r="R274" s="9" t="s">
        <v>74</v>
      </c>
      <c r="S274" s="10" t="s">
        <v>3524</v>
      </c>
      <c r="T274" s="10" t="s">
        <v>3525</v>
      </c>
      <c r="U274" s="10" t="s">
        <v>3526</v>
      </c>
    </row>
    <row r="275" customFormat="false" ht="108" hidden="true" customHeight="true" outlineLevel="0" collapsed="false">
      <c r="A275" s="9" t="s">
        <v>3527</v>
      </c>
      <c r="B275" s="10" t="s">
        <v>3291</v>
      </c>
      <c r="C275" s="10" t="s">
        <v>3528</v>
      </c>
      <c r="D275" s="10" t="s">
        <v>3529</v>
      </c>
      <c r="E275" s="10" t="s">
        <v>3530</v>
      </c>
      <c r="F275" s="10" t="s">
        <v>3531</v>
      </c>
      <c r="G275" s="10" t="s">
        <v>3532</v>
      </c>
      <c r="H275" s="9" t="s">
        <v>112</v>
      </c>
      <c r="I275" s="10" t="s">
        <v>3533</v>
      </c>
      <c r="J275" s="10" t="s">
        <v>3534</v>
      </c>
      <c r="K275" s="10" t="s">
        <v>3535</v>
      </c>
      <c r="L275" s="10" t="s">
        <v>3536</v>
      </c>
      <c r="M275" s="9" t="s">
        <v>677</v>
      </c>
      <c r="N275" s="9" t="s">
        <v>71</v>
      </c>
      <c r="O275" s="10" t="s">
        <v>185</v>
      </c>
      <c r="P275" s="14" t="s">
        <v>74</v>
      </c>
      <c r="Q275" s="9" t="n">
        <v>5</v>
      </c>
      <c r="R275" s="9" t="s">
        <v>90</v>
      </c>
      <c r="S275" s="10" t="s">
        <v>3537</v>
      </c>
      <c r="T275" s="10" t="s">
        <v>3538</v>
      </c>
      <c r="U275" s="10" t="s">
        <v>3539</v>
      </c>
    </row>
    <row r="276" customFormat="false" ht="108" hidden="true" customHeight="true" outlineLevel="0" collapsed="false">
      <c r="A276" s="9" t="s">
        <v>3540</v>
      </c>
      <c r="B276" s="10" t="s">
        <v>3291</v>
      </c>
      <c r="C276" s="10" t="s">
        <v>3541</v>
      </c>
      <c r="D276" s="10" t="s">
        <v>3542</v>
      </c>
      <c r="E276" s="10" t="s">
        <v>3543</v>
      </c>
      <c r="F276" s="10" t="s">
        <v>3544</v>
      </c>
      <c r="G276" s="10" t="s">
        <v>3545</v>
      </c>
      <c r="H276" s="9" t="s">
        <v>112</v>
      </c>
      <c r="I276" s="10" t="s">
        <v>3546</v>
      </c>
      <c r="J276" s="10" t="s">
        <v>3547</v>
      </c>
      <c r="K276" s="10" t="s">
        <v>3548</v>
      </c>
      <c r="L276" s="10" t="s">
        <v>3549</v>
      </c>
      <c r="M276" s="9" t="s">
        <v>677</v>
      </c>
      <c r="N276" s="9" t="s">
        <v>71</v>
      </c>
      <c r="O276" s="10" t="s">
        <v>185</v>
      </c>
      <c r="P276" s="13" t="s">
        <v>119</v>
      </c>
      <c r="Q276" s="9" t="n">
        <v>2</v>
      </c>
      <c r="R276" s="9" t="s">
        <v>90</v>
      </c>
      <c r="S276" s="10" t="s">
        <v>3550</v>
      </c>
      <c r="T276" s="10" t="s">
        <v>3551</v>
      </c>
      <c r="U276" s="10" t="s">
        <v>3552</v>
      </c>
    </row>
    <row r="277" customFormat="false" ht="108" hidden="false" customHeight="true" outlineLevel="0" collapsed="false">
      <c r="A277" s="9" t="s">
        <v>3553</v>
      </c>
      <c r="B277" s="10" t="s">
        <v>3291</v>
      </c>
      <c r="C277" s="10" t="s">
        <v>3554</v>
      </c>
      <c r="D277" s="10" t="s">
        <v>3555</v>
      </c>
      <c r="E277" s="10" t="s">
        <v>3556</v>
      </c>
      <c r="F277" s="10" t="s">
        <v>3557</v>
      </c>
      <c r="G277" s="10" t="s">
        <v>3558</v>
      </c>
      <c r="H277" s="9" t="s">
        <v>618</v>
      </c>
      <c r="I277" s="10" t="s">
        <v>3559</v>
      </c>
      <c r="J277" s="10" t="s">
        <v>3560</v>
      </c>
      <c r="K277" s="10" t="s">
        <v>3561</v>
      </c>
      <c r="L277" s="10" t="s">
        <v>3562</v>
      </c>
      <c r="M277" s="9" t="s">
        <v>70</v>
      </c>
      <c r="N277" s="9" t="s">
        <v>117</v>
      </c>
      <c r="O277" s="10" t="s">
        <v>118</v>
      </c>
      <c r="P277" s="12" t="s">
        <v>90</v>
      </c>
      <c r="Q277" s="9" t="n">
        <v>6</v>
      </c>
      <c r="R277" s="9" t="s">
        <v>74</v>
      </c>
      <c r="S277" s="10" t="s">
        <v>3563</v>
      </c>
      <c r="T277" s="10" t="s">
        <v>3564</v>
      </c>
      <c r="U277" s="10" t="s">
        <v>3565</v>
      </c>
    </row>
    <row r="278" customFormat="false" ht="108" hidden="false" customHeight="true" outlineLevel="0" collapsed="false">
      <c r="A278" s="9" t="s">
        <v>3566</v>
      </c>
      <c r="B278" s="10" t="s">
        <v>3291</v>
      </c>
      <c r="C278" s="10" t="s">
        <v>3567</v>
      </c>
      <c r="D278" s="10" t="s">
        <v>3568</v>
      </c>
      <c r="E278" s="10" t="s">
        <v>3569</v>
      </c>
      <c r="F278" s="10" t="s">
        <v>3570</v>
      </c>
      <c r="G278" s="10" t="s">
        <v>3571</v>
      </c>
      <c r="H278" s="9" t="s">
        <v>618</v>
      </c>
      <c r="I278" s="10" t="s">
        <v>3572</v>
      </c>
      <c r="J278" s="10" t="s">
        <v>3573</v>
      </c>
      <c r="K278" s="10" t="s">
        <v>3574</v>
      </c>
      <c r="L278" s="10" t="s">
        <v>3575</v>
      </c>
      <c r="M278" s="9" t="s">
        <v>70</v>
      </c>
      <c r="N278" s="9" t="s">
        <v>71</v>
      </c>
      <c r="O278" s="10" t="s">
        <v>118</v>
      </c>
      <c r="P278" s="12" t="s">
        <v>90</v>
      </c>
      <c r="Q278" s="9" t="n">
        <v>6</v>
      </c>
      <c r="R278" s="9" t="s">
        <v>74</v>
      </c>
      <c r="S278" s="10" t="s">
        <v>3576</v>
      </c>
      <c r="T278" s="10" t="s">
        <v>3577</v>
      </c>
      <c r="U278" s="10" t="s">
        <v>3578</v>
      </c>
    </row>
    <row r="279" customFormat="false" ht="108" hidden="true" customHeight="true" outlineLevel="0" collapsed="false">
      <c r="A279" s="9" t="s">
        <v>3579</v>
      </c>
      <c r="B279" s="10" t="s">
        <v>3291</v>
      </c>
      <c r="C279" s="10" t="s">
        <v>3580</v>
      </c>
      <c r="D279" s="10" t="s">
        <v>3581</v>
      </c>
      <c r="E279" s="10" t="s">
        <v>3582</v>
      </c>
      <c r="F279" s="10" t="s">
        <v>3583</v>
      </c>
      <c r="G279" s="10" t="s">
        <v>3584</v>
      </c>
      <c r="H279" s="9" t="s">
        <v>112</v>
      </c>
      <c r="I279" s="10" t="s">
        <v>3585</v>
      </c>
      <c r="J279" s="10" t="s">
        <v>3586</v>
      </c>
      <c r="K279" s="10" t="s">
        <v>3587</v>
      </c>
      <c r="L279" s="10" t="s">
        <v>3588</v>
      </c>
      <c r="M279" s="9" t="s">
        <v>70</v>
      </c>
      <c r="N279" s="9" t="s">
        <v>274</v>
      </c>
      <c r="O279" s="10" t="s">
        <v>118</v>
      </c>
      <c r="P279" s="14" t="s">
        <v>74</v>
      </c>
      <c r="Q279" s="9" t="n">
        <v>5</v>
      </c>
      <c r="R279" s="9" t="s">
        <v>90</v>
      </c>
      <c r="S279" s="10" t="s">
        <v>3589</v>
      </c>
      <c r="T279" s="10" t="s">
        <v>3590</v>
      </c>
      <c r="U279" s="10" t="s">
        <v>3591</v>
      </c>
    </row>
    <row r="280" customFormat="false" ht="108" hidden="false" customHeight="true" outlineLevel="0" collapsed="false">
      <c r="A280" s="9" t="s">
        <v>3592</v>
      </c>
      <c r="B280" s="10" t="s">
        <v>3291</v>
      </c>
      <c r="C280" s="10" t="s">
        <v>3593</v>
      </c>
      <c r="D280" s="10" t="s">
        <v>3594</v>
      </c>
      <c r="E280" s="10" t="s">
        <v>3595</v>
      </c>
      <c r="F280" s="10" t="s">
        <v>3596</v>
      </c>
      <c r="G280" s="10" t="s">
        <v>3597</v>
      </c>
      <c r="H280" s="9" t="s">
        <v>618</v>
      </c>
      <c r="I280" s="10" t="s">
        <v>3598</v>
      </c>
      <c r="J280" s="10" t="s">
        <v>3599</v>
      </c>
      <c r="K280" s="10" t="s">
        <v>3600</v>
      </c>
      <c r="L280" s="10" t="s">
        <v>3601</v>
      </c>
      <c r="M280" s="9" t="s">
        <v>133</v>
      </c>
      <c r="N280" s="9" t="s">
        <v>71</v>
      </c>
      <c r="O280" s="10" t="s">
        <v>72</v>
      </c>
      <c r="P280" s="12" t="s">
        <v>90</v>
      </c>
      <c r="Q280" s="9" t="n">
        <v>7</v>
      </c>
      <c r="R280" s="9" t="s">
        <v>119</v>
      </c>
      <c r="S280" s="10" t="s">
        <v>3602</v>
      </c>
      <c r="T280" s="10" t="s">
        <v>3603</v>
      </c>
      <c r="U280" s="10" t="s">
        <v>3604</v>
      </c>
    </row>
    <row r="281" customFormat="false" ht="108" hidden="true" customHeight="true" outlineLevel="0" collapsed="false">
      <c r="A281" s="9" t="s">
        <v>3605</v>
      </c>
      <c r="B281" s="10" t="s">
        <v>3291</v>
      </c>
      <c r="C281" s="10" t="s">
        <v>3606</v>
      </c>
      <c r="D281" s="10" t="s">
        <v>3607</v>
      </c>
      <c r="E281" s="10" t="s">
        <v>3608</v>
      </c>
      <c r="F281" s="10" t="s">
        <v>3609</v>
      </c>
      <c r="G281" s="10" t="s">
        <v>3610</v>
      </c>
      <c r="H281" s="9" t="s">
        <v>868</v>
      </c>
      <c r="I281" s="10" t="s">
        <v>3611</v>
      </c>
      <c r="J281" s="10" t="s">
        <v>3612</v>
      </c>
      <c r="K281" s="10" t="s">
        <v>3613</v>
      </c>
      <c r="L281" s="10" t="s">
        <v>3614</v>
      </c>
      <c r="M281" s="9" t="s">
        <v>677</v>
      </c>
      <c r="N281" s="9" t="s">
        <v>71</v>
      </c>
      <c r="O281" s="10" t="s">
        <v>118</v>
      </c>
      <c r="P281" s="14" t="s">
        <v>74</v>
      </c>
      <c r="Q281" s="9" t="n">
        <v>3</v>
      </c>
      <c r="R281" s="9" t="s">
        <v>90</v>
      </c>
      <c r="S281" s="10" t="s">
        <v>3615</v>
      </c>
      <c r="T281" s="10" t="s">
        <v>3616</v>
      </c>
      <c r="U281" s="10" t="s">
        <v>3617</v>
      </c>
    </row>
    <row r="282" customFormat="false" ht="108" hidden="true" customHeight="true" outlineLevel="0" collapsed="false">
      <c r="A282" s="9" t="s">
        <v>3618</v>
      </c>
      <c r="B282" s="10" t="s">
        <v>3291</v>
      </c>
      <c r="C282" s="10" t="s">
        <v>3619</v>
      </c>
      <c r="D282" s="10" t="s">
        <v>3620</v>
      </c>
      <c r="E282" s="10" t="s">
        <v>3621</v>
      </c>
      <c r="F282" s="10" t="s">
        <v>3622</v>
      </c>
      <c r="G282" s="10" t="s">
        <v>3623</v>
      </c>
      <c r="H282" s="9" t="s">
        <v>618</v>
      </c>
      <c r="I282" s="10" t="s">
        <v>3624</v>
      </c>
      <c r="J282" s="10" t="s">
        <v>3625</v>
      </c>
      <c r="K282" s="10" t="s">
        <v>3626</v>
      </c>
      <c r="L282" s="10" t="s">
        <v>3627</v>
      </c>
      <c r="M282" s="9" t="s">
        <v>677</v>
      </c>
      <c r="N282" s="9" t="s">
        <v>71</v>
      </c>
      <c r="O282" s="10" t="s">
        <v>118</v>
      </c>
      <c r="P282" s="11" t="s">
        <v>73</v>
      </c>
      <c r="Q282" s="9" t="n">
        <v>9</v>
      </c>
      <c r="R282" s="9" t="s">
        <v>119</v>
      </c>
      <c r="S282" s="10" t="s">
        <v>3628</v>
      </c>
      <c r="T282" s="10" t="s">
        <v>3629</v>
      </c>
      <c r="U282" s="10" t="s">
        <v>3630</v>
      </c>
    </row>
    <row r="283" customFormat="false" ht="108" hidden="true" customHeight="true" outlineLevel="0" collapsed="false">
      <c r="A283" s="9" t="s">
        <v>3631</v>
      </c>
      <c r="B283" s="10" t="s">
        <v>3291</v>
      </c>
      <c r="C283" s="10" t="s">
        <v>3632</v>
      </c>
      <c r="D283" s="10" t="s">
        <v>3633</v>
      </c>
      <c r="E283" s="10" t="s">
        <v>3634</v>
      </c>
      <c r="F283" s="10" t="s">
        <v>3635</v>
      </c>
      <c r="G283" s="10" t="s">
        <v>3636</v>
      </c>
      <c r="H283" s="9" t="s">
        <v>3637</v>
      </c>
      <c r="I283" s="10" t="s">
        <v>3638</v>
      </c>
      <c r="J283" s="10" t="s">
        <v>3639</v>
      </c>
      <c r="K283" s="10" t="s">
        <v>3640</v>
      </c>
      <c r="L283" s="10" t="s">
        <v>3641</v>
      </c>
      <c r="M283" s="9" t="s">
        <v>70</v>
      </c>
      <c r="N283" s="9" t="s">
        <v>117</v>
      </c>
      <c r="O283" s="10" t="s">
        <v>185</v>
      </c>
      <c r="P283" s="11" t="s">
        <v>73</v>
      </c>
      <c r="Q283" s="9" t="n">
        <v>9</v>
      </c>
      <c r="R283" s="9" t="s">
        <v>119</v>
      </c>
      <c r="S283" s="10" t="s">
        <v>3642</v>
      </c>
      <c r="T283" s="10" t="s">
        <v>3643</v>
      </c>
      <c r="U283" s="10" t="s">
        <v>3644</v>
      </c>
    </row>
    <row r="284" customFormat="false" ht="108" hidden="true" customHeight="true" outlineLevel="0" collapsed="false">
      <c r="A284" s="9" t="s">
        <v>3645</v>
      </c>
      <c r="B284" s="10" t="s">
        <v>3291</v>
      </c>
      <c r="C284" s="10" t="s">
        <v>3646</v>
      </c>
      <c r="D284" s="10" t="s">
        <v>3647</v>
      </c>
      <c r="E284" s="10" t="s">
        <v>3648</v>
      </c>
      <c r="F284" s="10" t="s">
        <v>3649</v>
      </c>
      <c r="G284" s="10" t="s">
        <v>3650</v>
      </c>
      <c r="H284" s="9" t="s">
        <v>112</v>
      </c>
      <c r="I284" s="10" t="s">
        <v>3651</v>
      </c>
      <c r="J284" s="10" t="s">
        <v>3652</v>
      </c>
      <c r="K284" s="10" t="s">
        <v>222</v>
      </c>
      <c r="L284" s="10" t="s">
        <v>3653</v>
      </c>
      <c r="M284" s="9" t="s">
        <v>70</v>
      </c>
      <c r="N284" s="9" t="s">
        <v>71</v>
      </c>
      <c r="O284" s="10" t="s">
        <v>118</v>
      </c>
      <c r="P284" s="14" t="s">
        <v>74</v>
      </c>
      <c r="Q284" s="9" t="n">
        <v>5</v>
      </c>
      <c r="R284" s="9" t="s">
        <v>90</v>
      </c>
      <c r="S284" s="10" t="s">
        <v>3654</v>
      </c>
      <c r="T284" s="10" t="s">
        <v>3655</v>
      </c>
      <c r="U284" s="10" t="s">
        <v>3656</v>
      </c>
    </row>
    <row r="285" customFormat="false" ht="108" hidden="true" customHeight="true" outlineLevel="0" collapsed="false">
      <c r="A285" s="9" t="s">
        <v>3657</v>
      </c>
      <c r="B285" s="10" t="s">
        <v>3291</v>
      </c>
      <c r="C285" s="10" t="s">
        <v>3658</v>
      </c>
      <c r="D285" s="10" t="s">
        <v>3659</v>
      </c>
      <c r="E285" s="10" t="s">
        <v>3660</v>
      </c>
      <c r="F285" s="10" t="s">
        <v>3661</v>
      </c>
      <c r="G285" s="10" t="s">
        <v>3662</v>
      </c>
      <c r="H285" s="9" t="s">
        <v>112</v>
      </c>
      <c r="I285" s="10" t="s">
        <v>3663</v>
      </c>
      <c r="J285" s="10" t="s">
        <v>3664</v>
      </c>
      <c r="K285" s="10" t="s">
        <v>3665</v>
      </c>
      <c r="L285" s="10" t="s">
        <v>3666</v>
      </c>
      <c r="M285" s="9" t="s">
        <v>677</v>
      </c>
      <c r="N285" s="9" t="s">
        <v>71</v>
      </c>
      <c r="O285" s="10" t="s">
        <v>185</v>
      </c>
      <c r="P285" s="14" t="s">
        <v>74</v>
      </c>
      <c r="Q285" s="9" t="n">
        <v>4</v>
      </c>
      <c r="R285" s="9" t="s">
        <v>74</v>
      </c>
      <c r="S285" s="10" t="s">
        <v>3667</v>
      </c>
      <c r="T285" s="10" t="s">
        <v>3668</v>
      </c>
      <c r="U285" s="10" t="s">
        <v>3669</v>
      </c>
    </row>
    <row r="286" customFormat="false" ht="108" hidden="true" customHeight="true" outlineLevel="0" collapsed="false">
      <c r="A286" s="9" t="s">
        <v>3670</v>
      </c>
      <c r="B286" s="10" t="s">
        <v>3291</v>
      </c>
      <c r="C286" s="10" t="s">
        <v>3671</v>
      </c>
      <c r="D286" s="10" t="s">
        <v>3672</v>
      </c>
      <c r="E286" s="10" t="s">
        <v>3673</v>
      </c>
      <c r="F286" s="10" t="s">
        <v>3674</v>
      </c>
      <c r="G286" s="10" t="s">
        <v>3675</v>
      </c>
      <c r="H286" s="9" t="s">
        <v>112</v>
      </c>
      <c r="I286" s="10" t="s">
        <v>3676</v>
      </c>
      <c r="J286" s="10" t="s">
        <v>3677</v>
      </c>
      <c r="K286" s="10" t="s">
        <v>3678</v>
      </c>
      <c r="L286" s="10" t="s">
        <v>3679</v>
      </c>
      <c r="M286" s="9" t="s">
        <v>70</v>
      </c>
      <c r="N286" s="9" t="s">
        <v>117</v>
      </c>
      <c r="O286" s="10" t="s">
        <v>118</v>
      </c>
      <c r="P286" s="14" t="s">
        <v>74</v>
      </c>
      <c r="Q286" s="9" t="n">
        <v>5</v>
      </c>
      <c r="R286" s="9" t="s">
        <v>74</v>
      </c>
      <c r="S286" s="10" t="s">
        <v>3680</v>
      </c>
      <c r="T286" s="10" t="s">
        <v>3681</v>
      </c>
      <c r="U286" s="10" t="s">
        <v>3682</v>
      </c>
    </row>
    <row r="287" customFormat="false" ht="108" hidden="false" customHeight="true" outlineLevel="0" collapsed="false">
      <c r="A287" s="9" t="s">
        <v>3683</v>
      </c>
      <c r="B287" s="10" t="s">
        <v>3291</v>
      </c>
      <c r="C287" s="10" t="s">
        <v>3684</v>
      </c>
      <c r="D287" s="10" t="s">
        <v>3685</v>
      </c>
      <c r="E287" s="10" t="s">
        <v>3686</v>
      </c>
      <c r="F287" s="10" t="s">
        <v>3687</v>
      </c>
      <c r="G287" s="10" t="s">
        <v>3688</v>
      </c>
      <c r="H287" s="9" t="s">
        <v>84</v>
      </c>
      <c r="I287" s="10" t="s">
        <v>3689</v>
      </c>
      <c r="J287" s="10" t="s">
        <v>3690</v>
      </c>
      <c r="K287" s="10" t="s">
        <v>3691</v>
      </c>
      <c r="L287" s="10" t="s">
        <v>3692</v>
      </c>
      <c r="M287" s="9" t="s">
        <v>912</v>
      </c>
      <c r="N287" s="9" t="s">
        <v>71</v>
      </c>
      <c r="O287" s="10" t="s">
        <v>118</v>
      </c>
      <c r="P287" s="12" t="s">
        <v>90</v>
      </c>
      <c r="Q287" s="9" t="n">
        <v>6</v>
      </c>
      <c r="R287" s="9" t="s">
        <v>74</v>
      </c>
      <c r="S287" s="10" t="s">
        <v>3693</v>
      </c>
      <c r="T287" s="10" t="s">
        <v>3694</v>
      </c>
      <c r="U287" s="10" t="s">
        <v>3695</v>
      </c>
    </row>
    <row r="288" customFormat="false" ht="108" hidden="true" customHeight="true" outlineLevel="0" collapsed="false">
      <c r="A288" s="9" t="s">
        <v>3696</v>
      </c>
      <c r="B288" s="10" t="s">
        <v>3291</v>
      </c>
      <c r="C288" s="10" t="s">
        <v>3697</v>
      </c>
      <c r="D288" s="10" t="s">
        <v>3698</v>
      </c>
      <c r="E288" s="10" t="s">
        <v>3699</v>
      </c>
      <c r="F288" s="10" t="s">
        <v>3700</v>
      </c>
      <c r="G288" s="10" t="s">
        <v>3701</v>
      </c>
      <c r="H288" s="9" t="s">
        <v>868</v>
      </c>
      <c r="I288" s="10" t="s">
        <v>3702</v>
      </c>
      <c r="J288" s="10" t="s">
        <v>3703</v>
      </c>
      <c r="K288" s="10" t="s">
        <v>3704</v>
      </c>
      <c r="L288" s="10" t="s">
        <v>3705</v>
      </c>
      <c r="M288" s="9" t="s">
        <v>70</v>
      </c>
      <c r="N288" s="9" t="s">
        <v>274</v>
      </c>
      <c r="O288" s="10" t="s">
        <v>118</v>
      </c>
      <c r="P288" s="14" t="s">
        <v>74</v>
      </c>
      <c r="Q288" s="9" t="n">
        <v>4</v>
      </c>
      <c r="R288" s="9" t="s">
        <v>90</v>
      </c>
      <c r="S288" s="10" t="s">
        <v>3706</v>
      </c>
      <c r="T288" s="10" t="s">
        <v>3707</v>
      </c>
      <c r="U288" s="10" t="s">
        <v>3708</v>
      </c>
    </row>
    <row r="289" customFormat="false" ht="108" hidden="true" customHeight="true" outlineLevel="0" collapsed="false">
      <c r="A289" s="9" t="s">
        <v>3709</v>
      </c>
      <c r="B289" s="10" t="s">
        <v>3291</v>
      </c>
      <c r="C289" s="10" t="s">
        <v>3710</v>
      </c>
      <c r="D289" s="10" t="s">
        <v>3711</v>
      </c>
      <c r="E289" s="10" t="s">
        <v>3712</v>
      </c>
      <c r="F289" s="10" t="s">
        <v>3713</v>
      </c>
      <c r="G289" s="10" t="s">
        <v>3714</v>
      </c>
      <c r="H289" s="9" t="s">
        <v>868</v>
      </c>
      <c r="I289" s="10" t="s">
        <v>3715</v>
      </c>
      <c r="J289" s="10" t="s">
        <v>3716</v>
      </c>
      <c r="K289" s="10" t="s">
        <v>3717</v>
      </c>
      <c r="L289" s="10" t="s">
        <v>3718</v>
      </c>
      <c r="M289" s="9" t="s">
        <v>677</v>
      </c>
      <c r="N289" s="9" t="s">
        <v>71</v>
      </c>
      <c r="O289" s="10" t="s">
        <v>118</v>
      </c>
      <c r="P289" s="13" t="s">
        <v>119</v>
      </c>
      <c r="Q289" s="9" t="n">
        <v>2</v>
      </c>
      <c r="R289" s="9" t="s">
        <v>90</v>
      </c>
      <c r="S289" s="10" t="s">
        <v>3719</v>
      </c>
      <c r="T289" s="10" t="s">
        <v>3720</v>
      </c>
      <c r="U289" s="10" t="s">
        <v>3721</v>
      </c>
    </row>
    <row r="290" customFormat="false" ht="108" hidden="true" customHeight="true" outlineLevel="0" collapsed="false">
      <c r="A290" s="9" t="s">
        <v>3722</v>
      </c>
      <c r="B290" s="10" t="s">
        <v>3291</v>
      </c>
      <c r="C290" s="10" t="s">
        <v>3723</v>
      </c>
      <c r="D290" s="10" t="s">
        <v>3724</v>
      </c>
      <c r="E290" s="10" t="s">
        <v>3725</v>
      </c>
      <c r="F290" s="10" t="s">
        <v>3726</v>
      </c>
      <c r="G290" s="10" t="s">
        <v>3727</v>
      </c>
      <c r="H290" s="9" t="s">
        <v>868</v>
      </c>
      <c r="I290" s="10" t="s">
        <v>3728</v>
      </c>
      <c r="J290" s="10" t="s">
        <v>3729</v>
      </c>
      <c r="K290" s="10" t="s">
        <v>3730</v>
      </c>
      <c r="L290" s="10" t="s">
        <v>3731</v>
      </c>
      <c r="M290" s="9" t="s">
        <v>769</v>
      </c>
      <c r="N290" s="9" t="s">
        <v>71</v>
      </c>
      <c r="O290" s="10" t="s">
        <v>118</v>
      </c>
      <c r="P290" s="14" t="s">
        <v>74</v>
      </c>
      <c r="Q290" s="9" t="n">
        <v>3</v>
      </c>
      <c r="R290" s="9" t="s">
        <v>90</v>
      </c>
      <c r="S290" s="10" t="s">
        <v>3732</v>
      </c>
      <c r="T290" s="10" t="s">
        <v>3733</v>
      </c>
      <c r="U290" s="10" t="s">
        <v>3734</v>
      </c>
    </row>
    <row r="291" customFormat="false" ht="108" hidden="true" customHeight="true" outlineLevel="0" collapsed="false">
      <c r="A291" s="9" t="s">
        <v>3735</v>
      </c>
      <c r="B291" s="10" t="s">
        <v>3291</v>
      </c>
      <c r="C291" s="10" t="s">
        <v>3736</v>
      </c>
      <c r="D291" s="10" t="s">
        <v>3737</v>
      </c>
      <c r="E291" s="10" t="s">
        <v>3738</v>
      </c>
      <c r="F291" s="10" t="s">
        <v>3739</v>
      </c>
      <c r="G291" s="10" t="s">
        <v>3740</v>
      </c>
      <c r="H291" s="9" t="s">
        <v>868</v>
      </c>
      <c r="I291" s="10" t="s">
        <v>3741</v>
      </c>
      <c r="J291" s="10" t="s">
        <v>3742</v>
      </c>
      <c r="K291" s="10" t="s">
        <v>3743</v>
      </c>
      <c r="L291" s="10" t="s">
        <v>3744</v>
      </c>
      <c r="M291" s="9" t="s">
        <v>821</v>
      </c>
      <c r="N291" s="9" t="s">
        <v>71</v>
      </c>
      <c r="O291" s="10" t="s">
        <v>118</v>
      </c>
      <c r="P291" s="13" t="s">
        <v>119</v>
      </c>
      <c r="Q291" s="9" t="n">
        <v>2</v>
      </c>
      <c r="R291" s="9" t="s">
        <v>90</v>
      </c>
      <c r="S291" s="10" t="s">
        <v>3745</v>
      </c>
      <c r="T291" s="10" t="s">
        <v>3746</v>
      </c>
      <c r="U291" s="10" t="s">
        <v>3747</v>
      </c>
    </row>
    <row r="292" customFormat="false" ht="108" hidden="true" customHeight="true" outlineLevel="0" collapsed="false">
      <c r="A292" s="9" t="s">
        <v>3748</v>
      </c>
      <c r="B292" s="10" t="s">
        <v>3291</v>
      </c>
      <c r="C292" s="10" t="s">
        <v>3749</v>
      </c>
      <c r="D292" s="10" t="s">
        <v>3750</v>
      </c>
      <c r="E292" s="10" t="s">
        <v>3751</v>
      </c>
      <c r="F292" s="10" t="s">
        <v>3752</v>
      </c>
      <c r="G292" s="10" t="s">
        <v>3753</v>
      </c>
      <c r="H292" s="9" t="s">
        <v>84</v>
      </c>
      <c r="I292" s="10" t="s">
        <v>3754</v>
      </c>
      <c r="J292" s="10" t="s">
        <v>3755</v>
      </c>
      <c r="K292" s="10" t="s">
        <v>3756</v>
      </c>
      <c r="L292" s="10" t="s">
        <v>3757</v>
      </c>
      <c r="M292" s="9" t="s">
        <v>821</v>
      </c>
      <c r="N292" s="9" t="s">
        <v>71</v>
      </c>
      <c r="O292" s="10" t="s">
        <v>118</v>
      </c>
      <c r="P292" s="13" t="s">
        <v>119</v>
      </c>
      <c r="Q292" s="9" t="n">
        <v>2</v>
      </c>
      <c r="R292" s="9" t="s">
        <v>90</v>
      </c>
      <c r="S292" s="10" t="s">
        <v>3758</v>
      </c>
      <c r="T292" s="10" t="s">
        <v>3759</v>
      </c>
      <c r="U292" s="10" t="s">
        <v>3760</v>
      </c>
    </row>
    <row r="293" customFormat="false" ht="108" hidden="true" customHeight="true" outlineLevel="0" collapsed="false">
      <c r="A293" s="9" t="s">
        <v>3761</v>
      </c>
      <c r="B293" s="10" t="s">
        <v>3291</v>
      </c>
      <c r="C293" s="10" t="s">
        <v>3762</v>
      </c>
      <c r="D293" s="10" t="s">
        <v>3763</v>
      </c>
      <c r="E293" s="10" t="s">
        <v>3764</v>
      </c>
      <c r="F293" s="10" t="s">
        <v>3765</v>
      </c>
      <c r="G293" s="10" t="s">
        <v>3766</v>
      </c>
      <c r="H293" s="9" t="s">
        <v>868</v>
      </c>
      <c r="I293" s="10" t="s">
        <v>3767</v>
      </c>
      <c r="J293" s="10" t="s">
        <v>3768</v>
      </c>
      <c r="K293" s="10" t="s">
        <v>3769</v>
      </c>
      <c r="L293" s="10" t="s">
        <v>3770</v>
      </c>
      <c r="M293" s="9" t="s">
        <v>70</v>
      </c>
      <c r="N293" s="9" t="s">
        <v>117</v>
      </c>
      <c r="O293" s="10" t="s">
        <v>118</v>
      </c>
      <c r="P293" s="14" t="s">
        <v>74</v>
      </c>
      <c r="Q293" s="9" t="n">
        <v>4</v>
      </c>
      <c r="R293" s="9" t="s">
        <v>90</v>
      </c>
      <c r="S293" s="10" t="s">
        <v>3771</v>
      </c>
      <c r="T293" s="10" t="s">
        <v>3772</v>
      </c>
      <c r="U293" s="10" t="s">
        <v>3773</v>
      </c>
    </row>
    <row r="294" customFormat="false" ht="108" hidden="true" customHeight="true" outlineLevel="0" collapsed="false">
      <c r="A294" s="9" t="s">
        <v>3774</v>
      </c>
      <c r="B294" s="10" t="s">
        <v>3291</v>
      </c>
      <c r="C294" s="10" t="s">
        <v>3775</v>
      </c>
      <c r="D294" s="10" t="s">
        <v>3776</v>
      </c>
      <c r="E294" s="10" t="s">
        <v>3777</v>
      </c>
      <c r="F294" s="10" t="s">
        <v>3778</v>
      </c>
      <c r="G294" s="10" t="s">
        <v>3779</v>
      </c>
      <c r="H294" s="9" t="s">
        <v>112</v>
      </c>
      <c r="I294" s="10" t="s">
        <v>3780</v>
      </c>
      <c r="J294" s="10" t="s">
        <v>3781</v>
      </c>
      <c r="K294" s="10" t="s">
        <v>3782</v>
      </c>
      <c r="L294" s="10" t="s">
        <v>3783</v>
      </c>
      <c r="M294" s="9" t="s">
        <v>769</v>
      </c>
      <c r="N294" s="9" t="s">
        <v>71</v>
      </c>
      <c r="O294" s="10" t="s">
        <v>118</v>
      </c>
      <c r="P294" s="14" t="s">
        <v>74</v>
      </c>
      <c r="Q294" s="9" t="n">
        <v>5</v>
      </c>
      <c r="R294" s="9" t="s">
        <v>74</v>
      </c>
      <c r="S294" s="10" t="s">
        <v>3784</v>
      </c>
      <c r="T294" s="10" t="s">
        <v>3785</v>
      </c>
      <c r="U294" s="10" t="s">
        <v>3786</v>
      </c>
    </row>
    <row r="295" customFormat="false" ht="108" hidden="true" customHeight="true" outlineLevel="0" collapsed="false">
      <c r="A295" s="9" t="s">
        <v>3787</v>
      </c>
      <c r="B295" s="10" t="s">
        <v>3291</v>
      </c>
      <c r="C295" s="10" t="s">
        <v>3788</v>
      </c>
      <c r="D295" s="10" t="s">
        <v>3789</v>
      </c>
      <c r="E295" s="10" t="s">
        <v>3790</v>
      </c>
      <c r="F295" s="10" t="s">
        <v>3791</v>
      </c>
      <c r="G295" s="10" t="s">
        <v>3792</v>
      </c>
      <c r="H295" s="9" t="s">
        <v>3793</v>
      </c>
      <c r="I295" s="10" t="s">
        <v>3794</v>
      </c>
      <c r="J295" s="10" t="s">
        <v>3795</v>
      </c>
      <c r="K295" s="10" t="s">
        <v>3796</v>
      </c>
      <c r="L295" s="10" t="s">
        <v>3797</v>
      </c>
      <c r="M295" s="9" t="s">
        <v>912</v>
      </c>
      <c r="N295" s="9" t="s">
        <v>662</v>
      </c>
      <c r="O295" s="10" t="s">
        <v>118</v>
      </c>
      <c r="P295" s="11" t="s">
        <v>73</v>
      </c>
      <c r="Q295" s="9" t="n">
        <v>9</v>
      </c>
      <c r="R295" s="9" t="s">
        <v>74</v>
      </c>
      <c r="S295" s="10" t="s">
        <v>3798</v>
      </c>
      <c r="T295" s="10" t="s">
        <v>3799</v>
      </c>
      <c r="U295" s="10" t="s">
        <v>3800</v>
      </c>
    </row>
    <row r="296" customFormat="false" ht="108" hidden="true" customHeight="true" outlineLevel="0" collapsed="false">
      <c r="A296" s="9" t="s">
        <v>3801</v>
      </c>
      <c r="B296" s="10" t="s">
        <v>3291</v>
      </c>
      <c r="C296" s="10" t="s">
        <v>3802</v>
      </c>
      <c r="D296" s="10" t="s">
        <v>3803</v>
      </c>
      <c r="E296" s="10" t="s">
        <v>3804</v>
      </c>
      <c r="F296" s="10" t="s">
        <v>3805</v>
      </c>
      <c r="G296" s="10" t="s">
        <v>3806</v>
      </c>
      <c r="H296" s="9" t="s">
        <v>3807</v>
      </c>
      <c r="I296" s="10" t="s">
        <v>3808</v>
      </c>
      <c r="J296" s="10" t="s">
        <v>3809</v>
      </c>
      <c r="K296" s="10" t="s">
        <v>3810</v>
      </c>
      <c r="L296" s="10" t="s">
        <v>3811</v>
      </c>
      <c r="M296" s="9" t="s">
        <v>70</v>
      </c>
      <c r="N296" s="9" t="s">
        <v>117</v>
      </c>
      <c r="O296" s="10" t="s">
        <v>118</v>
      </c>
      <c r="P296" s="11" t="s">
        <v>73</v>
      </c>
      <c r="Q296" s="9" t="n">
        <v>9</v>
      </c>
      <c r="R296" s="9" t="s">
        <v>74</v>
      </c>
      <c r="S296" s="10" t="s">
        <v>3812</v>
      </c>
      <c r="T296" s="10" t="s">
        <v>3813</v>
      </c>
      <c r="U296" s="10" t="s">
        <v>3814</v>
      </c>
    </row>
    <row r="297" customFormat="false" ht="108" hidden="false" customHeight="true" outlineLevel="0" collapsed="false">
      <c r="A297" s="9" t="s">
        <v>3815</v>
      </c>
      <c r="B297" s="10" t="s">
        <v>3291</v>
      </c>
      <c r="C297" s="10" t="s">
        <v>3816</v>
      </c>
      <c r="D297" s="10" t="s">
        <v>3817</v>
      </c>
      <c r="E297" s="10" t="s">
        <v>3818</v>
      </c>
      <c r="F297" s="10" t="s">
        <v>3819</v>
      </c>
      <c r="G297" s="10" t="s">
        <v>3820</v>
      </c>
      <c r="H297" s="9" t="s">
        <v>960</v>
      </c>
      <c r="I297" s="10" t="s">
        <v>3821</v>
      </c>
      <c r="J297" s="10" t="s">
        <v>3822</v>
      </c>
      <c r="K297" s="10" t="s">
        <v>3823</v>
      </c>
      <c r="L297" s="10" t="s">
        <v>3824</v>
      </c>
      <c r="M297" s="9" t="s">
        <v>70</v>
      </c>
      <c r="N297" s="9" t="s">
        <v>117</v>
      </c>
      <c r="O297" s="10" t="s">
        <v>118</v>
      </c>
      <c r="P297" s="12" t="s">
        <v>90</v>
      </c>
      <c r="Q297" s="9" t="n">
        <v>8</v>
      </c>
      <c r="R297" s="9" t="s">
        <v>119</v>
      </c>
      <c r="S297" s="10" t="s">
        <v>3825</v>
      </c>
      <c r="T297" s="10" t="s">
        <v>3826</v>
      </c>
      <c r="U297" s="10" t="s">
        <v>3827</v>
      </c>
    </row>
    <row r="298" customFormat="false" ht="108" hidden="false" customHeight="true" outlineLevel="0" collapsed="false">
      <c r="A298" s="9" t="s">
        <v>3828</v>
      </c>
      <c r="B298" s="10" t="s">
        <v>3291</v>
      </c>
      <c r="C298" s="10" t="s">
        <v>3829</v>
      </c>
      <c r="D298" s="10" t="s">
        <v>3830</v>
      </c>
      <c r="E298" s="10" t="s">
        <v>3831</v>
      </c>
      <c r="F298" s="10" t="s">
        <v>3832</v>
      </c>
      <c r="G298" s="10" t="s">
        <v>3833</v>
      </c>
      <c r="H298" s="9" t="s">
        <v>960</v>
      </c>
      <c r="I298" s="10" t="s">
        <v>3834</v>
      </c>
      <c r="J298" s="10" t="s">
        <v>3835</v>
      </c>
      <c r="K298" s="10" t="s">
        <v>3836</v>
      </c>
      <c r="L298" s="10" t="s">
        <v>3837</v>
      </c>
      <c r="M298" s="9" t="s">
        <v>912</v>
      </c>
      <c r="N298" s="9" t="s">
        <v>71</v>
      </c>
      <c r="O298" s="10" t="s">
        <v>72</v>
      </c>
      <c r="P298" s="12" t="s">
        <v>90</v>
      </c>
      <c r="Q298" s="9" t="n">
        <v>8</v>
      </c>
      <c r="R298" s="9" t="s">
        <v>119</v>
      </c>
      <c r="S298" s="10" t="s">
        <v>3838</v>
      </c>
      <c r="T298" s="10" t="s">
        <v>3839</v>
      </c>
      <c r="U298" s="10" t="s">
        <v>3840</v>
      </c>
    </row>
    <row r="299" customFormat="false" ht="108" hidden="false" customHeight="true" outlineLevel="0" collapsed="false">
      <c r="A299" s="9" t="s">
        <v>3841</v>
      </c>
      <c r="B299" s="10" t="s">
        <v>3842</v>
      </c>
      <c r="C299" s="10" t="s">
        <v>3843</v>
      </c>
      <c r="D299" s="10" t="s">
        <v>3844</v>
      </c>
      <c r="E299" s="10" t="s">
        <v>3845</v>
      </c>
      <c r="F299" s="10" t="s">
        <v>3846</v>
      </c>
      <c r="G299" s="10" t="s">
        <v>3847</v>
      </c>
      <c r="H299" s="9" t="s">
        <v>618</v>
      </c>
      <c r="I299" s="10" t="s">
        <v>3848</v>
      </c>
      <c r="J299" s="10" t="s">
        <v>3849</v>
      </c>
      <c r="K299" s="10" t="s">
        <v>3850</v>
      </c>
      <c r="L299" s="10" t="s">
        <v>3851</v>
      </c>
      <c r="M299" s="9" t="s">
        <v>70</v>
      </c>
      <c r="N299" s="9" t="s">
        <v>117</v>
      </c>
      <c r="O299" s="10" t="s">
        <v>118</v>
      </c>
      <c r="P299" s="12" t="s">
        <v>90</v>
      </c>
      <c r="Q299" s="9" t="n">
        <v>7</v>
      </c>
      <c r="R299" s="9" t="s">
        <v>74</v>
      </c>
      <c r="S299" s="10" t="s">
        <v>3852</v>
      </c>
      <c r="T299" s="10" t="s">
        <v>3853</v>
      </c>
      <c r="U299" s="10" t="s">
        <v>3854</v>
      </c>
    </row>
    <row r="300" customFormat="false" ht="108" hidden="false" customHeight="true" outlineLevel="0" collapsed="false">
      <c r="A300" s="9" t="s">
        <v>3855</v>
      </c>
      <c r="B300" s="10" t="s">
        <v>3842</v>
      </c>
      <c r="C300" s="10" t="s">
        <v>3843</v>
      </c>
      <c r="D300" s="10" t="s">
        <v>3856</v>
      </c>
      <c r="E300" s="10" t="s">
        <v>3857</v>
      </c>
      <c r="F300" s="10" t="s">
        <v>3858</v>
      </c>
      <c r="G300" s="10" t="s">
        <v>3859</v>
      </c>
      <c r="H300" s="9" t="s">
        <v>618</v>
      </c>
      <c r="I300" s="10" t="s">
        <v>3860</v>
      </c>
      <c r="J300" s="10" t="s">
        <v>3861</v>
      </c>
      <c r="K300" s="10" t="s">
        <v>3850</v>
      </c>
      <c r="L300" s="10" t="s">
        <v>3862</v>
      </c>
      <c r="M300" s="9" t="s">
        <v>70</v>
      </c>
      <c r="N300" s="9" t="s">
        <v>117</v>
      </c>
      <c r="O300" s="10" t="s">
        <v>118</v>
      </c>
      <c r="P300" s="12" t="s">
        <v>90</v>
      </c>
      <c r="Q300" s="9" t="n">
        <v>7</v>
      </c>
      <c r="R300" s="9" t="s">
        <v>74</v>
      </c>
      <c r="S300" s="10" t="s">
        <v>3863</v>
      </c>
      <c r="T300" s="10" t="s">
        <v>3864</v>
      </c>
      <c r="U300" s="10" t="s">
        <v>3854</v>
      </c>
    </row>
    <row r="301" customFormat="false" ht="108" hidden="true" customHeight="true" outlineLevel="0" collapsed="false">
      <c r="A301" s="9" t="s">
        <v>3865</v>
      </c>
      <c r="B301" s="10" t="s">
        <v>3842</v>
      </c>
      <c r="C301" s="10" t="s">
        <v>3866</v>
      </c>
      <c r="D301" s="10" t="s">
        <v>3867</v>
      </c>
      <c r="E301" s="10" t="s">
        <v>3868</v>
      </c>
      <c r="F301" s="10" t="s">
        <v>3869</v>
      </c>
      <c r="G301" s="10" t="s">
        <v>3870</v>
      </c>
      <c r="H301" s="9" t="s">
        <v>3871</v>
      </c>
      <c r="I301" s="10" t="s">
        <v>3872</v>
      </c>
      <c r="J301" s="10" t="s">
        <v>3873</v>
      </c>
      <c r="K301" s="10" t="s">
        <v>3874</v>
      </c>
      <c r="L301" s="10" t="s">
        <v>3875</v>
      </c>
      <c r="M301" s="9" t="s">
        <v>70</v>
      </c>
      <c r="N301" s="9" t="s">
        <v>117</v>
      </c>
      <c r="O301" s="10" t="s">
        <v>118</v>
      </c>
      <c r="P301" s="14" t="s">
        <v>74</v>
      </c>
      <c r="Q301" s="9" t="n">
        <v>5</v>
      </c>
      <c r="R301" s="9" t="s">
        <v>74</v>
      </c>
      <c r="S301" s="10" t="s">
        <v>3876</v>
      </c>
      <c r="T301" s="10" t="s">
        <v>3877</v>
      </c>
      <c r="U301" s="10" t="s">
        <v>3878</v>
      </c>
    </row>
    <row r="302" customFormat="false" ht="108" hidden="true" customHeight="true" outlineLevel="0" collapsed="false">
      <c r="A302" s="9" t="s">
        <v>3879</v>
      </c>
      <c r="B302" s="10" t="s">
        <v>3842</v>
      </c>
      <c r="C302" s="10" t="s">
        <v>3880</v>
      </c>
      <c r="D302" s="10" t="s">
        <v>3881</v>
      </c>
      <c r="E302" s="10" t="s">
        <v>3882</v>
      </c>
      <c r="F302" s="10" t="s">
        <v>3883</v>
      </c>
      <c r="G302" s="10" t="s">
        <v>3884</v>
      </c>
      <c r="H302" s="9" t="s">
        <v>3885</v>
      </c>
      <c r="I302" s="10" t="s">
        <v>3886</v>
      </c>
      <c r="J302" s="10" t="s">
        <v>3887</v>
      </c>
      <c r="K302" s="10" t="s">
        <v>3874</v>
      </c>
      <c r="L302" s="10" t="s">
        <v>3888</v>
      </c>
      <c r="M302" s="9" t="s">
        <v>769</v>
      </c>
      <c r="N302" s="9" t="s">
        <v>117</v>
      </c>
      <c r="O302" s="10" t="s">
        <v>118</v>
      </c>
      <c r="P302" s="14" t="s">
        <v>74</v>
      </c>
      <c r="Q302" s="9" t="n">
        <v>4</v>
      </c>
      <c r="R302" s="9" t="s">
        <v>90</v>
      </c>
      <c r="S302" s="10" t="s">
        <v>3889</v>
      </c>
      <c r="T302" s="10" t="s">
        <v>3890</v>
      </c>
      <c r="U302" s="10" t="s">
        <v>3891</v>
      </c>
    </row>
    <row r="303" customFormat="false" ht="108" hidden="false" customHeight="true" outlineLevel="0" collapsed="false">
      <c r="A303" s="9" t="s">
        <v>3892</v>
      </c>
      <c r="B303" s="10" t="s">
        <v>3842</v>
      </c>
      <c r="C303" s="10" t="s">
        <v>3880</v>
      </c>
      <c r="D303" s="10" t="s">
        <v>3893</v>
      </c>
      <c r="E303" s="10" t="s">
        <v>3894</v>
      </c>
      <c r="F303" s="10" t="s">
        <v>3895</v>
      </c>
      <c r="G303" s="10" t="s">
        <v>3896</v>
      </c>
      <c r="H303" s="9" t="s">
        <v>3897</v>
      </c>
      <c r="I303" s="10" t="s">
        <v>3898</v>
      </c>
      <c r="J303" s="10" t="s">
        <v>3899</v>
      </c>
      <c r="K303" s="10" t="s">
        <v>3900</v>
      </c>
      <c r="L303" s="10" t="s">
        <v>3901</v>
      </c>
      <c r="M303" s="9" t="s">
        <v>2696</v>
      </c>
      <c r="N303" s="9" t="s">
        <v>117</v>
      </c>
      <c r="O303" s="10" t="s">
        <v>118</v>
      </c>
      <c r="P303" s="12" t="s">
        <v>90</v>
      </c>
      <c r="Q303" s="9" t="n">
        <v>6</v>
      </c>
      <c r="R303" s="9" t="s">
        <v>74</v>
      </c>
      <c r="S303" s="10" t="s">
        <v>3902</v>
      </c>
      <c r="T303" s="10" t="s">
        <v>3903</v>
      </c>
      <c r="U303" s="10" t="s">
        <v>3904</v>
      </c>
    </row>
    <row r="304" customFormat="false" ht="108" hidden="true" customHeight="true" outlineLevel="0" collapsed="false">
      <c r="A304" s="9" t="s">
        <v>3905</v>
      </c>
      <c r="B304" s="10" t="s">
        <v>3842</v>
      </c>
      <c r="C304" s="10" t="s">
        <v>3866</v>
      </c>
      <c r="D304" s="10" t="s">
        <v>3906</v>
      </c>
      <c r="E304" s="10" t="s">
        <v>3907</v>
      </c>
      <c r="F304" s="10" t="s">
        <v>3908</v>
      </c>
      <c r="G304" s="10" t="s">
        <v>3909</v>
      </c>
      <c r="H304" s="9" t="s">
        <v>3897</v>
      </c>
      <c r="I304" s="10" t="s">
        <v>3910</v>
      </c>
      <c r="J304" s="10" t="s">
        <v>3911</v>
      </c>
      <c r="K304" s="10" t="s">
        <v>3912</v>
      </c>
      <c r="L304" s="10" t="s">
        <v>3913</v>
      </c>
      <c r="M304" s="9" t="s">
        <v>133</v>
      </c>
      <c r="N304" s="9" t="s">
        <v>71</v>
      </c>
      <c r="O304" s="10" t="s">
        <v>118</v>
      </c>
      <c r="P304" s="11" t="s">
        <v>73</v>
      </c>
      <c r="Q304" s="9" t="n">
        <v>9</v>
      </c>
      <c r="R304" s="9" t="s">
        <v>119</v>
      </c>
      <c r="S304" s="10" t="s">
        <v>3914</v>
      </c>
      <c r="T304" s="10" t="s">
        <v>3915</v>
      </c>
      <c r="U304" s="10" t="s">
        <v>3916</v>
      </c>
    </row>
    <row r="305" customFormat="false" ht="108" hidden="true" customHeight="true" outlineLevel="0" collapsed="false">
      <c r="A305" s="9" t="s">
        <v>3917</v>
      </c>
      <c r="B305" s="10" t="s">
        <v>3842</v>
      </c>
      <c r="C305" s="10" t="s">
        <v>3918</v>
      </c>
      <c r="D305" s="10" t="s">
        <v>3919</v>
      </c>
      <c r="E305" s="10" t="s">
        <v>3920</v>
      </c>
      <c r="F305" s="10" t="s">
        <v>3921</v>
      </c>
      <c r="G305" s="10" t="s">
        <v>3922</v>
      </c>
      <c r="H305" s="9" t="s">
        <v>618</v>
      </c>
      <c r="I305" s="10" t="s">
        <v>3923</v>
      </c>
      <c r="J305" s="10" t="s">
        <v>3924</v>
      </c>
      <c r="K305" s="10" t="s">
        <v>3925</v>
      </c>
      <c r="L305" s="10" t="s">
        <v>3926</v>
      </c>
      <c r="M305" s="9" t="s">
        <v>70</v>
      </c>
      <c r="N305" s="9" t="s">
        <v>117</v>
      </c>
      <c r="O305" s="10" t="s">
        <v>118</v>
      </c>
      <c r="P305" s="14" t="s">
        <v>74</v>
      </c>
      <c r="Q305" s="9" t="n">
        <v>4</v>
      </c>
      <c r="R305" s="9" t="s">
        <v>90</v>
      </c>
      <c r="S305" s="10" t="s">
        <v>3927</v>
      </c>
      <c r="T305" s="10" t="s">
        <v>3928</v>
      </c>
      <c r="U305" s="10" t="s">
        <v>3929</v>
      </c>
    </row>
    <row r="306" customFormat="false" ht="108" hidden="true" customHeight="true" outlineLevel="0" collapsed="false">
      <c r="A306" s="9" t="s">
        <v>3930</v>
      </c>
      <c r="B306" s="10" t="s">
        <v>3842</v>
      </c>
      <c r="C306" s="10" t="s">
        <v>3931</v>
      </c>
      <c r="D306" s="10" t="s">
        <v>3932</v>
      </c>
      <c r="E306" s="10" t="s">
        <v>3933</v>
      </c>
      <c r="F306" s="10" t="s">
        <v>3934</v>
      </c>
      <c r="G306" s="10" t="s">
        <v>3935</v>
      </c>
      <c r="H306" s="9" t="s">
        <v>3936</v>
      </c>
      <c r="I306" s="10" t="s">
        <v>3937</v>
      </c>
      <c r="J306" s="10" t="s">
        <v>3938</v>
      </c>
      <c r="K306" s="10" t="s">
        <v>3939</v>
      </c>
      <c r="L306" s="10" t="s">
        <v>3940</v>
      </c>
      <c r="M306" s="9" t="s">
        <v>821</v>
      </c>
      <c r="N306" s="9" t="s">
        <v>71</v>
      </c>
      <c r="O306" s="10" t="s">
        <v>118</v>
      </c>
      <c r="P306" s="14" t="s">
        <v>74</v>
      </c>
      <c r="Q306" s="9" t="n">
        <v>5</v>
      </c>
      <c r="R306" s="9" t="s">
        <v>74</v>
      </c>
      <c r="S306" s="10" t="s">
        <v>3941</v>
      </c>
      <c r="T306" s="10" t="s">
        <v>3942</v>
      </c>
      <c r="U306" s="10" t="s">
        <v>3943</v>
      </c>
    </row>
    <row r="307" customFormat="false" ht="108" hidden="true" customHeight="true" outlineLevel="0" collapsed="false">
      <c r="A307" s="9" t="s">
        <v>3944</v>
      </c>
      <c r="B307" s="10" t="s">
        <v>3842</v>
      </c>
      <c r="C307" s="10" t="s">
        <v>3931</v>
      </c>
      <c r="D307" s="10" t="s">
        <v>3945</v>
      </c>
      <c r="E307" s="10" t="s">
        <v>3946</v>
      </c>
      <c r="F307" s="10" t="s">
        <v>3947</v>
      </c>
      <c r="G307" s="10" t="s">
        <v>3948</v>
      </c>
      <c r="H307" s="9" t="s">
        <v>1053</v>
      </c>
      <c r="I307" s="10" t="s">
        <v>3949</v>
      </c>
      <c r="J307" s="10" t="s">
        <v>3950</v>
      </c>
      <c r="K307" s="10" t="s">
        <v>3951</v>
      </c>
      <c r="L307" s="10" t="s">
        <v>3952</v>
      </c>
      <c r="M307" s="9" t="s">
        <v>661</v>
      </c>
      <c r="N307" s="9" t="s">
        <v>662</v>
      </c>
      <c r="O307" s="10" t="s">
        <v>118</v>
      </c>
      <c r="P307" s="11" t="s">
        <v>73</v>
      </c>
      <c r="Q307" s="9" t="n">
        <v>9</v>
      </c>
      <c r="R307" s="9" t="s">
        <v>119</v>
      </c>
      <c r="S307" s="10" t="s">
        <v>3953</v>
      </c>
      <c r="T307" s="10" t="s">
        <v>3954</v>
      </c>
      <c r="U307" s="10" t="s">
        <v>3955</v>
      </c>
    </row>
    <row r="308" customFormat="false" ht="108" hidden="false" customHeight="true" outlineLevel="0" collapsed="false">
      <c r="A308" s="9" t="s">
        <v>3956</v>
      </c>
      <c r="B308" s="10" t="s">
        <v>3842</v>
      </c>
      <c r="C308" s="10" t="s">
        <v>3957</v>
      </c>
      <c r="D308" s="10" t="s">
        <v>3958</v>
      </c>
      <c r="E308" s="10" t="s">
        <v>3959</v>
      </c>
      <c r="F308" s="10" t="s">
        <v>3960</v>
      </c>
      <c r="G308" s="10" t="s">
        <v>3961</v>
      </c>
      <c r="H308" s="9" t="s">
        <v>3962</v>
      </c>
      <c r="I308" s="10" t="s">
        <v>3963</v>
      </c>
      <c r="J308" s="10" t="s">
        <v>3964</v>
      </c>
      <c r="K308" s="10" t="s">
        <v>3965</v>
      </c>
      <c r="L308" s="10" t="s">
        <v>3966</v>
      </c>
      <c r="M308" s="9" t="s">
        <v>661</v>
      </c>
      <c r="N308" s="9" t="s">
        <v>662</v>
      </c>
      <c r="O308" s="10" t="s">
        <v>118</v>
      </c>
      <c r="P308" s="12" t="s">
        <v>90</v>
      </c>
      <c r="Q308" s="9" t="n">
        <v>7</v>
      </c>
      <c r="R308" s="9" t="s">
        <v>74</v>
      </c>
      <c r="S308" s="10" t="s">
        <v>3967</v>
      </c>
      <c r="T308" s="10" t="s">
        <v>3968</v>
      </c>
      <c r="U308" s="10" t="s">
        <v>3969</v>
      </c>
    </row>
    <row r="309" customFormat="false" ht="108" hidden="false" customHeight="true" outlineLevel="0" collapsed="false">
      <c r="A309" s="9" t="s">
        <v>3970</v>
      </c>
      <c r="B309" s="10" t="s">
        <v>3842</v>
      </c>
      <c r="C309" s="10" t="s">
        <v>3971</v>
      </c>
      <c r="D309" s="10" t="s">
        <v>3972</v>
      </c>
      <c r="E309" s="10" t="s">
        <v>3973</v>
      </c>
      <c r="F309" s="10" t="s">
        <v>3974</v>
      </c>
      <c r="G309" s="10" t="s">
        <v>3975</v>
      </c>
      <c r="H309" s="9" t="s">
        <v>618</v>
      </c>
      <c r="I309" s="10" t="s">
        <v>3976</v>
      </c>
      <c r="J309" s="10" t="s">
        <v>3977</v>
      </c>
      <c r="K309" s="10" t="s">
        <v>3978</v>
      </c>
      <c r="L309" s="10" t="s">
        <v>3979</v>
      </c>
      <c r="M309" s="9" t="s">
        <v>677</v>
      </c>
      <c r="N309" s="9" t="s">
        <v>71</v>
      </c>
      <c r="O309" s="10" t="s">
        <v>118</v>
      </c>
      <c r="P309" s="12" t="s">
        <v>90</v>
      </c>
      <c r="Q309" s="9" t="n">
        <v>7</v>
      </c>
      <c r="R309" s="9" t="s">
        <v>74</v>
      </c>
      <c r="S309" s="10" t="s">
        <v>3980</v>
      </c>
      <c r="T309" s="10" t="s">
        <v>3981</v>
      </c>
      <c r="U309" s="10" t="s">
        <v>3982</v>
      </c>
    </row>
    <row r="310" customFormat="false" ht="108" hidden="true" customHeight="true" outlineLevel="0" collapsed="false">
      <c r="A310" s="9" t="s">
        <v>3983</v>
      </c>
      <c r="B310" s="10" t="s">
        <v>3842</v>
      </c>
      <c r="C310" s="10" t="s">
        <v>3984</v>
      </c>
      <c r="D310" s="10" t="s">
        <v>3985</v>
      </c>
      <c r="E310" s="10" t="s">
        <v>3986</v>
      </c>
      <c r="F310" s="10" t="s">
        <v>3987</v>
      </c>
      <c r="G310" s="10" t="s">
        <v>3988</v>
      </c>
      <c r="H310" s="9" t="s">
        <v>3989</v>
      </c>
      <c r="I310" s="10" t="s">
        <v>3990</v>
      </c>
      <c r="J310" s="10" t="s">
        <v>3991</v>
      </c>
      <c r="K310" s="10" t="s">
        <v>3992</v>
      </c>
      <c r="L310" s="10" t="s">
        <v>3993</v>
      </c>
      <c r="M310" s="9" t="s">
        <v>70</v>
      </c>
      <c r="N310" s="9" t="s">
        <v>117</v>
      </c>
      <c r="O310" s="10" t="s">
        <v>185</v>
      </c>
      <c r="P310" s="14" t="s">
        <v>74</v>
      </c>
      <c r="Q310" s="9" t="n">
        <v>5</v>
      </c>
      <c r="R310" s="9" t="s">
        <v>74</v>
      </c>
      <c r="S310" s="10" t="s">
        <v>3994</v>
      </c>
      <c r="T310" s="10" t="s">
        <v>3995</v>
      </c>
      <c r="U310" s="10" t="s">
        <v>3996</v>
      </c>
    </row>
    <row r="311" customFormat="false" ht="108" hidden="true" customHeight="true" outlineLevel="0" collapsed="false">
      <c r="A311" s="9" t="s">
        <v>3997</v>
      </c>
      <c r="B311" s="10" t="s">
        <v>3842</v>
      </c>
      <c r="C311" s="10" t="s">
        <v>3998</v>
      </c>
      <c r="D311" s="10" t="s">
        <v>3999</v>
      </c>
      <c r="E311" s="10" t="s">
        <v>4000</v>
      </c>
      <c r="F311" s="10" t="s">
        <v>4001</v>
      </c>
      <c r="G311" s="10" t="s">
        <v>4002</v>
      </c>
      <c r="H311" s="9" t="s">
        <v>3897</v>
      </c>
      <c r="I311" s="10" t="s">
        <v>4003</v>
      </c>
      <c r="J311" s="10" t="s">
        <v>4004</v>
      </c>
      <c r="K311" s="10" t="s">
        <v>4005</v>
      </c>
      <c r="L311" s="10" t="s">
        <v>4006</v>
      </c>
      <c r="M311" s="9" t="s">
        <v>677</v>
      </c>
      <c r="N311" s="9" t="s">
        <v>71</v>
      </c>
      <c r="O311" s="10" t="s">
        <v>118</v>
      </c>
      <c r="P311" s="11" t="s">
        <v>73</v>
      </c>
      <c r="Q311" s="9" t="n">
        <v>10</v>
      </c>
      <c r="R311" s="9" t="s">
        <v>119</v>
      </c>
      <c r="S311" s="10" t="s">
        <v>4007</v>
      </c>
      <c r="T311" s="10" t="s">
        <v>4008</v>
      </c>
      <c r="U311" s="10" t="s">
        <v>4009</v>
      </c>
    </row>
    <row r="312" customFormat="false" ht="108" hidden="false" customHeight="true" outlineLevel="0" collapsed="false">
      <c r="A312" s="9" t="s">
        <v>4010</v>
      </c>
      <c r="B312" s="10" t="s">
        <v>3842</v>
      </c>
      <c r="C312" s="10" t="s">
        <v>3998</v>
      </c>
      <c r="D312" s="10" t="s">
        <v>4011</v>
      </c>
      <c r="E312" s="10" t="s">
        <v>4012</v>
      </c>
      <c r="F312" s="10" t="s">
        <v>4013</v>
      </c>
      <c r="G312" s="10" t="s">
        <v>4014</v>
      </c>
      <c r="H312" s="9" t="s">
        <v>1053</v>
      </c>
      <c r="I312" s="10" t="s">
        <v>4015</v>
      </c>
      <c r="J312" s="10" t="s">
        <v>4016</v>
      </c>
      <c r="K312" s="10" t="s">
        <v>4017</v>
      </c>
      <c r="L312" s="10" t="s">
        <v>4018</v>
      </c>
      <c r="M312" s="9" t="s">
        <v>677</v>
      </c>
      <c r="N312" s="9" t="s">
        <v>71</v>
      </c>
      <c r="O312" s="10" t="s">
        <v>118</v>
      </c>
      <c r="P312" s="12" t="s">
        <v>90</v>
      </c>
      <c r="Q312" s="9" t="n">
        <v>8</v>
      </c>
      <c r="R312" s="9" t="s">
        <v>119</v>
      </c>
      <c r="S312" s="10" t="s">
        <v>4019</v>
      </c>
      <c r="T312" s="10" t="s">
        <v>4020</v>
      </c>
      <c r="U312" s="10" t="s">
        <v>4021</v>
      </c>
    </row>
    <row r="313" customFormat="false" ht="108" hidden="true" customHeight="true" outlineLevel="0" collapsed="false">
      <c r="A313" s="9" t="s">
        <v>4022</v>
      </c>
      <c r="B313" s="10" t="s">
        <v>3842</v>
      </c>
      <c r="C313" s="10" t="s">
        <v>4023</v>
      </c>
      <c r="D313" s="10" t="s">
        <v>4024</v>
      </c>
      <c r="E313" s="10" t="s">
        <v>4025</v>
      </c>
      <c r="F313" s="10" t="s">
        <v>4026</v>
      </c>
      <c r="G313" s="10" t="s">
        <v>4027</v>
      </c>
      <c r="H313" s="9" t="s">
        <v>4028</v>
      </c>
      <c r="I313" s="10" t="s">
        <v>4029</v>
      </c>
      <c r="J313" s="10" t="s">
        <v>4030</v>
      </c>
      <c r="K313" s="10" t="s">
        <v>4031</v>
      </c>
      <c r="L313" s="10" t="s">
        <v>4032</v>
      </c>
      <c r="M313" s="9" t="s">
        <v>70</v>
      </c>
      <c r="N313" s="9" t="s">
        <v>117</v>
      </c>
      <c r="O313" s="10" t="s">
        <v>118</v>
      </c>
      <c r="P313" s="13" t="s">
        <v>119</v>
      </c>
      <c r="Q313" s="9" t="n">
        <v>2</v>
      </c>
      <c r="R313" s="9" t="s">
        <v>90</v>
      </c>
      <c r="S313" s="10" t="s">
        <v>4033</v>
      </c>
      <c r="T313" s="10" t="s">
        <v>4034</v>
      </c>
      <c r="U313" s="10" t="s">
        <v>4035</v>
      </c>
    </row>
    <row r="314" customFormat="false" ht="108" hidden="true" customHeight="true" outlineLevel="0" collapsed="false">
      <c r="A314" s="9" t="s">
        <v>4036</v>
      </c>
      <c r="B314" s="10" t="s">
        <v>3842</v>
      </c>
      <c r="C314" s="10" t="s">
        <v>4037</v>
      </c>
      <c r="D314" s="10" t="s">
        <v>4038</v>
      </c>
      <c r="E314" s="10" t="s">
        <v>4039</v>
      </c>
      <c r="F314" s="10" t="s">
        <v>4040</v>
      </c>
      <c r="G314" s="10" t="s">
        <v>4041</v>
      </c>
      <c r="H314" s="9" t="s">
        <v>618</v>
      </c>
      <c r="I314" s="10" t="s">
        <v>4042</v>
      </c>
      <c r="J314" s="10" t="s">
        <v>4043</v>
      </c>
      <c r="K314" s="10" t="s">
        <v>4044</v>
      </c>
      <c r="L314" s="10" t="s">
        <v>4045</v>
      </c>
      <c r="M314" s="9" t="s">
        <v>769</v>
      </c>
      <c r="N314" s="9" t="s">
        <v>71</v>
      </c>
      <c r="O314" s="10" t="s">
        <v>118</v>
      </c>
      <c r="P314" s="13" t="s">
        <v>119</v>
      </c>
      <c r="Q314" s="9" t="n">
        <v>2</v>
      </c>
      <c r="R314" s="9" t="s">
        <v>90</v>
      </c>
      <c r="S314" s="10" t="s">
        <v>4046</v>
      </c>
      <c r="T314" s="10" t="s">
        <v>4047</v>
      </c>
      <c r="U314" s="10" t="s">
        <v>4048</v>
      </c>
    </row>
    <row r="315" customFormat="false" ht="108" hidden="true" customHeight="true" outlineLevel="0" collapsed="false">
      <c r="A315" s="9" t="s">
        <v>4049</v>
      </c>
      <c r="B315" s="10" t="s">
        <v>3842</v>
      </c>
      <c r="C315" s="10" t="s">
        <v>4050</v>
      </c>
      <c r="D315" s="10" t="s">
        <v>4051</v>
      </c>
      <c r="E315" s="10" t="s">
        <v>4052</v>
      </c>
      <c r="F315" s="10" t="s">
        <v>4053</v>
      </c>
      <c r="G315" s="10" t="s">
        <v>4054</v>
      </c>
      <c r="H315" s="9" t="s">
        <v>3897</v>
      </c>
      <c r="I315" s="10" t="s">
        <v>4055</v>
      </c>
      <c r="J315" s="10" t="s">
        <v>4056</v>
      </c>
      <c r="K315" s="10" t="s">
        <v>4057</v>
      </c>
      <c r="L315" s="10" t="s">
        <v>4058</v>
      </c>
      <c r="M315" s="9" t="s">
        <v>70</v>
      </c>
      <c r="N315" s="9" t="s">
        <v>71</v>
      </c>
      <c r="O315" s="10" t="s">
        <v>118</v>
      </c>
      <c r="P315" s="14" t="s">
        <v>74</v>
      </c>
      <c r="Q315" s="9" t="n">
        <v>4</v>
      </c>
      <c r="R315" s="9" t="s">
        <v>90</v>
      </c>
      <c r="S315" s="10" t="s">
        <v>4059</v>
      </c>
      <c r="T315" s="10" t="s">
        <v>4060</v>
      </c>
      <c r="U315" s="10" t="s">
        <v>4061</v>
      </c>
    </row>
    <row r="316" customFormat="false" ht="108" hidden="true" customHeight="true" outlineLevel="0" collapsed="false">
      <c r="A316" s="9" t="s">
        <v>4062</v>
      </c>
      <c r="B316" s="10" t="s">
        <v>3842</v>
      </c>
      <c r="C316" s="10" t="s">
        <v>4050</v>
      </c>
      <c r="D316" s="10" t="s">
        <v>4063</v>
      </c>
      <c r="E316" s="10" t="s">
        <v>4064</v>
      </c>
      <c r="F316" s="10" t="s">
        <v>4065</v>
      </c>
      <c r="G316" s="10" t="s">
        <v>4066</v>
      </c>
      <c r="H316" s="9" t="s">
        <v>4067</v>
      </c>
      <c r="I316" s="10" t="s">
        <v>4068</v>
      </c>
      <c r="J316" s="10" t="s">
        <v>4069</v>
      </c>
      <c r="K316" s="10" t="s">
        <v>4070</v>
      </c>
      <c r="L316" s="10" t="s">
        <v>4071</v>
      </c>
      <c r="M316" s="9" t="s">
        <v>133</v>
      </c>
      <c r="N316" s="9" t="s">
        <v>117</v>
      </c>
      <c r="O316" s="10" t="s">
        <v>118</v>
      </c>
      <c r="P316" s="13" t="s">
        <v>119</v>
      </c>
      <c r="Q316" s="9" t="n">
        <v>2</v>
      </c>
      <c r="R316" s="9" t="s">
        <v>90</v>
      </c>
      <c r="S316" s="10" t="s">
        <v>4072</v>
      </c>
      <c r="T316" s="10" t="s">
        <v>4073</v>
      </c>
      <c r="U316" s="10" t="s">
        <v>4074</v>
      </c>
    </row>
    <row r="317" customFormat="false" ht="108" hidden="false" customHeight="true" outlineLevel="0" collapsed="false">
      <c r="A317" s="9" t="s">
        <v>4075</v>
      </c>
      <c r="B317" s="10" t="s">
        <v>3842</v>
      </c>
      <c r="C317" s="10" t="s">
        <v>4076</v>
      </c>
      <c r="D317" s="10" t="s">
        <v>4077</v>
      </c>
      <c r="E317" s="10" t="s">
        <v>4078</v>
      </c>
      <c r="F317" s="10" t="s">
        <v>4079</v>
      </c>
      <c r="G317" s="10" t="s">
        <v>4080</v>
      </c>
      <c r="H317" s="9" t="s">
        <v>3989</v>
      </c>
      <c r="I317" s="10" t="s">
        <v>4081</v>
      </c>
      <c r="J317" s="10" t="s">
        <v>4082</v>
      </c>
      <c r="K317" s="10" t="s">
        <v>4083</v>
      </c>
      <c r="L317" s="10" t="s">
        <v>4084</v>
      </c>
      <c r="M317" s="9" t="s">
        <v>70</v>
      </c>
      <c r="N317" s="9" t="s">
        <v>117</v>
      </c>
      <c r="O317" s="10" t="s">
        <v>1173</v>
      </c>
      <c r="P317" s="12" t="s">
        <v>90</v>
      </c>
      <c r="Q317" s="9" t="n">
        <v>7</v>
      </c>
      <c r="R317" s="9" t="s">
        <v>74</v>
      </c>
      <c r="S317" s="10" t="s">
        <v>4085</v>
      </c>
      <c r="T317" s="10" t="s">
        <v>4086</v>
      </c>
      <c r="U317" s="10" t="s">
        <v>4087</v>
      </c>
    </row>
    <row r="318" customFormat="false" ht="108" hidden="false" customHeight="true" outlineLevel="0" collapsed="false">
      <c r="A318" s="9" t="s">
        <v>4088</v>
      </c>
      <c r="B318" s="10" t="s">
        <v>3842</v>
      </c>
      <c r="C318" s="10" t="s">
        <v>4076</v>
      </c>
      <c r="D318" s="10" t="s">
        <v>4089</v>
      </c>
      <c r="E318" s="10" t="s">
        <v>4090</v>
      </c>
      <c r="F318" s="10" t="s">
        <v>4091</v>
      </c>
      <c r="G318" s="10" t="s">
        <v>4092</v>
      </c>
      <c r="H318" s="9" t="s">
        <v>3989</v>
      </c>
      <c r="I318" s="10" t="s">
        <v>4093</v>
      </c>
      <c r="J318" s="10" t="s">
        <v>4094</v>
      </c>
      <c r="K318" s="10" t="s">
        <v>4095</v>
      </c>
      <c r="L318" s="10" t="s">
        <v>4084</v>
      </c>
      <c r="M318" s="9" t="s">
        <v>70</v>
      </c>
      <c r="N318" s="9" t="s">
        <v>117</v>
      </c>
      <c r="O318" s="10" t="s">
        <v>1173</v>
      </c>
      <c r="P318" s="12" t="s">
        <v>90</v>
      </c>
      <c r="Q318" s="9" t="n">
        <v>7</v>
      </c>
      <c r="R318" s="9" t="s">
        <v>74</v>
      </c>
      <c r="S318" s="10" t="s">
        <v>4096</v>
      </c>
      <c r="T318" s="10" t="s">
        <v>4097</v>
      </c>
      <c r="U318" s="10" t="s">
        <v>4098</v>
      </c>
    </row>
    <row r="319" customFormat="false" ht="108" hidden="true" customHeight="true" outlineLevel="0" collapsed="false">
      <c r="A319" s="9" t="s">
        <v>4099</v>
      </c>
      <c r="B319" s="10" t="s">
        <v>3842</v>
      </c>
      <c r="C319" s="10" t="s">
        <v>4100</v>
      </c>
      <c r="D319" s="10" t="s">
        <v>4101</v>
      </c>
      <c r="E319" s="10" t="s">
        <v>4102</v>
      </c>
      <c r="F319" s="10" t="s">
        <v>4103</v>
      </c>
      <c r="G319" s="10" t="s">
        <v>4104</v>
      </c>
      <c r="H319" s="9" t="s">
        <v>1053</v>
      </c>
      <c r="I319" s="10" t="s">
        <v>4105</v>
      </c>
      <c r="J319" s="10" t="s">
        <v>4106</v>
      </c>
      <c r="K319" s="10" t="s">
        <v>4107</v>
      </c>
      <c r="L319" s="10" t="s">
        <v>4108</v>
      </c>
      <c r="M319" s="9" t="s">
        <v>133</v>
      </c>
      <c r="N319" s="9" t="s">
        <v>71</v>
      </c>
      <c r="O319" s="10" t="s">
        <v>118</v>
      </c>
      <c r="P319" s="14" t="s">
        <v>74</v>
      </c>
      <c r="Q319" s="9" t="n">
        <v>5</v>
      </c>
      <c r="R319" s="9" t="s">
        <v>74</v>
      </c>
      <c r="S319" s="10" t="s">
        <v>4109</v>
      </c>
      <c r="T319" s="10" t="s">
        <v>4110</v>
      </c>
      <c r="U319" s="10" t="s">
        <v>4111</v>
      </c>
    </row>
    <row r="320" customFormat="false" ht="108" hidden="true" customHeight="true" outlineLevel="0" collapsed="false">
      <c r="A320" s="9" t="s">
        <v>4112</v>
      </c>
      <c r="B320" s="10" t="s">
        <v>3842</v>
      </c>
      <c r="C320" s="10" t="s">
        <v>4100</v>
      </c>
      <c r="D320" s="10" t="s">
        <v>4113</v>
      </c>
      <c r="E320" s="10" t="s">
        <v>4114</v>
      </c>
      <c r="F320" s="10" t="s">
        <v>4115</v>
      </c>
      <c r="G320" s="10" t="s">
        <v>4116</v>
      </c>
      <c r="H320" s="9" t="s">
        <v>1053</v>
      </c>
      <c r="I320" s="10" t="s">
        <v>4117</v>
      </c>
      <c r="J320" s="10" t="s">
        <v>4118</v>
      </c>
      <c r="K320" s="10" t="s">
        <v>2630</v>
      </c>
      <c r="L320" s="10" t="s">
        <v>4119</v>
      </c>
      <c r="M320" s="9" t="s">
        <v>133</v>
      </c>
      <c r="N320" s="9" t="s">
        <v>71</v>
      </c>
      <c r="O320" s="10" t="s">
        <v>118</v>
      </c>
      <c r="P320" s="11" t="s">
        <v>73</v>
      </c>
      <c r="Q320" s="9" t="n">
        <v>9</v>
      </c>
      <c r="R320" s="9" t="s">
        <v>119</v>
      </c>
      <c r="S320" s="10" t="s">
        <v>4120</v>
      </c>
      <c r="T320" s="10" t="s">
        <v>4121</v>
      </c>
      <c r="U320" s="10" t="s">
        <v>4122</v>
      </c>
    </row>
    <row r="321" customFormat="false" ht="108" hidden="true" customHeight="true" outlineLevel="0" collapsed="false">
      <c r="A321" s="9" t="s">
        <v>4123</v>
      </c>
      <c r="B321" s="10" t="s">
        <v>3842</v>
      </c>
      <c r="C321" s="10" t="s">
        <v>4124</v>
      </c>
      <c r="D321" s="10" t="s">
        <v>4125</v>
      </c>
      <c r="E321" s="10" t="s">
        <v>4126</v>
      </c>
      <c r="F321" s="10" t="s">
        <v>4127</v>
      </c>
      <c r="G321" s="10" t="s">
        <v>4128</v>
      </c>
      <c r="H321" s="9" t="s">
        <v>4129</v>
      </c>
      <c r="I321" s="10" t="s">
        <v>4130</v>
      </c>
      <c r="J321" s="10" t="s">
        <v>4131</v>
      </c>
      <c r="K321" s="10" t="s">
        <v>4132</v>
      </c>
      <c r="L321" s="10" t="s">
        <v>4133</v>
      </c>
      <c r="M321" s="9" t="s">
        <v>821</v>
      </c>
      <c r="N321" s="9" t="s">
        <v>71</v>
      </c>
      <c r="O321" s="10" t="s">
        <v>118</v>
      </c>
      <c r="P321" s="14" t="s">
        <v>74</v>
      </c>
      <c r="Q321" s="9" t="n">
        <v>5</v>
      </c>
      <c r="R321" s="9" t="s">
        <v>74</v>
      </c>
      <c r="S321" s="10" t="s">
        <v>4134</v>
      </c>
      <c r="T321" s="10" t="s">
        <v>4135</v>
      </c>
      <c r="U321" s="10" t="s">
        <v>4136</v>
      </c>
    </row>
    <row r="322" customFormat="false" ht="108" hidden="false" customHeight="true" outlineLevel="0" collapsed="false">
      <c r="A322" s="9" t="s">
        <v>4137</v>
      </c>
      <c r="B322" s="10" t="s">
        <v>3842</v>
      </c>
      <c r="C322" s="10" t="s">
        <v>4124</v>
      </c>
      <c r="D322" s="10" t="s">
        <v>4138</v>
      </c>
      <c r="E322" s="10" t="s">
        <v>4139</v>
      </c>
      <c r="F322" s="10" t="s">
        <v>4140</v>
      </c>
      <c r="G322" s="10" t="s">
        <v>4141</v>
      </c>
      <c r="H322" s="9" t="s">
        <v>4142</v>
      </c>
      <c r="I322" s="10" t="s">
        <v>4143</v>
      </c>
      <c r="J322" s="10" t="s">
        <v>4144</v>
      </c>
      <c r="K322" s="10" t="s">
        <v>4145</v>
      </c>
      <c r="L322" s="10" t="s">
        <v>4146</v>
      </c>
      <c r="M322" s="9" t="s">
        <v>769</v>
      </c>
      <c r="N322" s="9" t="s">
        <v>71</v>
      </c>
      <c r="O322" s="10" t="s">
        <v>118</v>
      </c>
      <c r="P322" s="12" t="s">
        <v>90</v>
      </c>
      <c r="Q322" s="9" t="n">
        <v>8</v>
      </c>
      <c r="R322" s="9" t="s">
        <v>119</v>
      </c>
      <c r="S322" s="10" t="s">
        <v>4147</v>
      </c>
      <c r="T322" s="10" t="s">
        <v>4148</v>
      </c>
      <c r="U322" s="10" t="s">
        <v>4149</v>
      </c>
    </row>
    <row r="323" customFormat="false" ht="108" hidden="true" customHeight="true" outlineLevel="0" collapsed="false">
      <c r="A323" s="9" t="s">
        <v>4150</v>
      </c>
      <c r="B323" s="10" t="s">
        <v>3842</v>
      </c>
      <c r="C323" s="10" t="s">
        <v>4151</v>
      </c>
      <c r="D323" s="10" t="s">
        <v>4152</v>
      </c>
      <c r="E323" s="10" t="s">
        <v>4153</v>
      </c>
      <c r="F323" s="10" t="s">
        <v>4154</v>
      </c>
      <c r="G323" s="10" t="s">
        <v>4155</v>
      </c>
      <c r="H323" s="9" t="s">
        <v>3989</v>
      </c>
      <c r="I323" s="10" t="s">
        <v>4156</v>
      </c>
      <c r="J323" s="10" t="s">
        <v>4157</v>
      </c>
      <c r="K323" s="10" t="s">
        <v>3249</v>
      </c>
      <c r="L323" s="10" t="s">
        <v>4158</v>
      </c>
      <c r="M323" s="9" t="s">
        <v>70</v>
      </c>
      <c r="N323" s="9" t="s">
        <v>117</v>
      </c>
      <c r="O323" s="10" t="s">
        <v>118</v>
      </c>
      <c r="P323" s="14" t="s">
        <v>74</v>
      </c>
      <c r="Q323" s="9" t="n">
        <v>5</v>
      </c>
      <c r="R323" s="9" t="s">
        <v>74</v>
      </c>
      <c r="S323" s="10" t="s">
        <v>4159</v>
      </c>
      <c r="T323" s="10" t="s">
        <v>4160</v>
      </c>
      <c r="U323" s="10" t="s">
        <v>4161</v>
      </c>
    </row>
    <row r="324" customFormat="false" ht="108" hidden="true" customHeight="true" outlineLevel="0" collapsed="false">
      <c r="A324" s="9" t="s">
        <v>4162</v>
      </c>
      <c r="B324" s="10" t="s">
        <v>3842</v>
      </c>
      <c r="C324" s="10" t="s">
        <v>4163</v>
      </c>
      <c r="D324" s="10" t="s">
        <v>4164</v>
      </c>
      <c r="E324" s="10" t="s">
        <v>4165</v>
      </c>
      <c r="F324" s="10" t="s">
        <v>4166</v>
      </c>
      <c r="G324" s="10" t="s">
        <v>4167</v>
      </c>
      <c r="H324" s="9" t="s">
        <v>4168</v>
      </c>
      <c r="I324" s="10" t="s">
        <v>4169</v>
      </c>
      <c r="J324" s="10" t="s">
        <v>4170</v>
      </c>
      <c r="K324" s="10" t="s">
        <v>4171</v>
      </c>
      <c r="L324" s="10" t="s">
        <v>4172</v>
      </c>
      <c r="M324" s="9" t="s">
        <v>70</v>
      </c>
      <c r="N324" s="9" t="s">
        <v>71</v>
      </c>
      <c r="O324" s="10" t="s">
        <v>118</v>
      </c>
      <c r="P324" s="14" t="s">
        <v>74</v>
      </c>
      <c r="Q324" s="9" t="n">
        <v>5</v>
      </c>
      <c r="R324" s="9" t="s">
        <v>74</v>
      </c>
      <c r="S324" s="10" t="s">
        <v>4173</v>
      </c>
      <c r="T324" s="10" t="s">
        <v>4174</v>
      </c>
      <c r="U324" s="10" t="s">
        <v>4175</v>
      </c>
    </row>
    <row r="325" customFormat="false" ht="108" hidden="true" customHeight="true" outlineLevel="0" collapsed="false">
      <c r="A325" s="9" t="s">
        <v>4176</v>
      </c>
      <c r="B325" s="10" t="s">
        <v>3842</v>
      </c>
      <c r="C325" s="10" t="s">
        <v>4177</v>
      </c>
      <c r="D325" s="10" t="s">
        <v>4178</v>
      </c>
      <c r="E325" s="10" t="s">
        <v>4179</v>
      </c>
      <c r="F325" s="10" t="s">
        <v>4180</v>
      </c>
      <c r="G325" s="10" t="s">
        <v>4181</v>
      </c>
      <c r="H325" s="9" t="s">
        <v>84</v>
      </c>
      <c r="I325" s="10" t="s">
        <v>4182</v>
      </c>
      <c r="J325" s="10" t="s">
        <v>4183</v>
      </c>
      <c r="K325" s="10" t="s">
        <v>4184</v>
      </c>
      <c r="L325" s="10" t="s">
        <v>4185</v>
      </c>
      <c r="M325" s="9" t="s">
        <v>70</v>
      </c>
      <c r="N325" s="9" t="s">
        <v>117</v>
      </c>
      <c r="O325" s="10" t="s">
        <v>118</v>
      </c>
      <c r="P325" s="13" t="s">
        <v>119</v>
      </c>
      <c r="Q325" s="9" t="n">
        <v>2</v>
      </c>
      <c r="R325" s="9" t="s">
        <v>90</v>
      </c>
      <c r="S325" s="10" t="s">
        <v>4186</v>
      </c>
      <c r="T325" s="10" t="s">
        <v>4187</v>
      </c>
      <c r="U325" s="10" t="s">
        <v>4188</v>
      </c>
    </row>
    <row r="326" customFormat="false" ht="108" hidden="false" customHeight="true" outlineLevel="0" collapsed="false">
      <c r="A326" s="9" t="s">
        <v>4189</v>
      </c>
      <c r="B326" s="10" t="s">
        <v>3842</v>
      </c>
      <c r="C326" s="10" t="s">
        <v>4190</v>
      </c>
      <c r="D326" s="10" t="s">
        <v>4191</v>
      </c>
      <c r="E326" s="10" t="s">
        <v>4192</v>
      </c>
      <c r="F326" s="10" t="s">
        <v>4193</v>
      </c>
      <c r="G326" s="10" t="s">
        <v>4194</v>
      </c>
      <c r="H326" s="9" t="s">
        <v>1053</v>
      </c>
      <c r="I326" s="10" t="s">
        <v>4195</v>
      </c>
      <c r="J326" s="10" t="s">
        <v>4196</v>
      </c>
      <c r="K326" s="10" t="s">
        <v>4197</v>
      </c>
      <c r="L326" s="10" t="s">
        <v>4198</v>
      </c>
      <c r="M326" s="9" t="s">
        <v>661</v>
      </c>
      <c r="N326" s="9" t="s">
        <v>662</v>
      </c>
      <c r="O326" s="10" t="s">
        <v>118</v>
      </c>
      <c r="P326" s="12" t="s">
        <v>90</v>
      </c>
      <c r="Q326" s="9" t="n">
        <v>7</v>
      </c>
      <c r="R326" s="9" t="s">
        <v>119</v>
      </c>
      <c r="S326" s="10" t="s">
        <v>4199</v>
      </c>
      <c r="T326" s="10" t="s">
        <v>4200</v>
      </c>
      <c r="U326" s="10" t="s">
        <v>4201</v>
      </c>
    </row>
    <row r="327" customFormat="false" ht="108" hidden="true" customHeight="true" outlineLevel="0" collapsed="false">
      <c r="A327" s="9" t="s">
        <v>4202</v>
      </c>
      <c r="B327" s="10" t="s">
        <v>4203</v>
      </c>
      <c r="C327" s="10" t="s">
        <v>4204</v>
      </c>
      <c r="D327" s="10" t="s">
        <v>4205</v>
      </c>
      <c r="E327" s="10" t="s">
        <v>4206</v>
      </c>
      <c r="F327" s="10" t="s">
        <v>4207</v>
      </c>
      <c r="G327" s="10" t="s">
        <v>4208</v>
      </c>
      <c r="H327" s="9" t="s">
        <v>4209</v>
      </c>
      <c r="I327" s="10" t="s">
        <v>4210</v>
      </c>
      <c r="J327" s="10" t="s">
        <v>4211</v>
      </c>
      <c r="K327" s="10" t="s">
        <v>4212</v>
      </c>
      <c r="L327" s="10" t="s">
        <v>4213</v>
      </c>
      <c r="M327" s="9" t="s">
        <v>769</v>
      </c>
      <c r="N327" s="9" t="s">
        <v>662</v>
      </c>
      <c r="O327" s="10" t="s">
        <v>118</v>
      </c>
      <c r="P327" s="11" t="s">
        <v>73</v>
      </c>
      <c r="Q327" s="9" t="n">
        <v>9</v>
      </c>
      <c r="R327" s="9" t="s">
        <v>74</v>
      </c>
      <c r="S327" s="10" t="s">
        <v>4214</v>
      </c>
      <c r="T327" s="10" t="s">
        <v>4215</v>
      </c>
      <c r="U327" s="10" t="s">
        <v>4216</v>
      </c>
    </row>
    <row r="328" customFormat="false" ht="108" hidden="false" customHeight="true" outlineLevel="0" collapsed="false">
      <c r="A328" s="9" t="s">
        <v>4217</v>
      </c>
      <c r="B328" s="10" t="s">
        <v>4203</v>
      </c>
      <c r="C328" s="10" t="s">
        <v>4218</v>
      </c>
      <c r="D328" s="10" t="s">
        <v>4219</v>
      </c>
      <c r="E328" s="10" t="s">
        <v>4220</v>
      </c>
      <c r="F328" s="10" t="s">
        <v>4221</v>
      </c>
      <c r="G328" s="10" t="s">
        <v>4222</v>
      </c>
      <c r="H328" s="9" t="s">
        <v>4223</v>
      </c>
      <c r="I328" s="10" t="s">
        <v>4224</v>
      </c>
      <c r="J328" s="10" t="s">
        <v>4225</v>
      </c>
      <c r="K328" s="10" t="s">
        <v>4226</v>
      </c>
      <c r="L328" s="10" t="s">
        <v>4227</v>
      </c>
      <c r="M328" s="9" t="s">
        <v>912</v>
      </c>
      <c r="N328" s="9" t="s">
        <v>71</v>
      </c>
      <c r="O328" s="10" t="s">
        <v>118</v>
      </c>
      <c r="P328" s="12" t="s">
        <v>90</v>
      </c>
      <c r="Q328" s="9" t="n">
        <v>7</v>
      </c>
      <c r="R328" s="9" t="s">
        <v>74</v>
      </c>
      <c r="S328" s="10" t="s">
        <v>4228</v>
      </c>
      <c r="T328" s="10" t="s">
        <v>4229</v>
      </c>
      <c r="U328" s="10" t="s">
        <v>4230</v>
      </c>
    </row>
    <row r="329" customFormat="false" ht="108" hidden="false" customHeight="true" outlineLevel="0" collapsed="false">
      <c r="A329" s="9" t="s">
        <v>4231</v>
      </c>
      <c r="B329" s="10" t="s">
        <v>4203</v>
      </c>
      <c r="C329" s="10" t="s">
        <v>4218</v>
      </c>
      <c r="D329" s="10" t="s">
        <v>4232</v>
      </c>
      <c r="E329" s="10" t="s">
        <v>4233</v>
      </c>
      <c r="F329" s="10" t="s">
        <v>4234</v>
      </c>
      <c r="G329" s="10" t="s">
        <v>4235</v>
      </c>
      <c r="H329" s="9" t="s">
        <v>4236</v>
      </c>
      <c r="I329" s="10" t="s">
        <v>4237</v>
      </c>
      <c r="J329" s="10" t="s">
        <v>4238</v>
      </c>
      <c r="K329" s="10" t="s">
        <v>4239</v>
      </c>
      <c r="L329" s="10" t="s">
        <v>2683</v>
      </c>
      <c r="M329" s="9" t="s">
        <v>821</v>
      </c>
      <c r="N329" s="9" t="s">
        <v>117</v>
      </c>
      <c r="O329" s="10" t="s">
        <v>118</v>
      </c>
      <c r="P329" s="12" t="s">
        <v>90</v>
      </c>
      <c r="Q329" s="9" t="n">
        <v>6</v>
      </c>
      <c r="R329" s="9" t="s">
        <v>90</v>
      </c>
      <c r="S329" s="10" t="s">
        <v>4240</v>
      </c>
      <c r="T329" s="10" t="s">
        <v>4241</v>
      </c>
      <c r="U329" s="10" t="s">
        <v>4242</v>
      </c>
    </row>
    <row r="330" customFormat="false" ht="108" hidden="true" customHeight="true" outlineLevel="0" collapsed="false">
      <c r="A330" s="9" t="s">
        <v>4243</v>
      </c>
      <c r="B330" s="10" t="s">
        <v>4203</v>
      </c>
      <c r="C330" s="10" t="s">
        <v>4244</v>
      </c>
      <c r="D330" s="10" t="s">
        <v>4245</v>
      </c>
      <c r="E330" s="10" t="s">
        <v>4246</v>
      </c>
      <c r="F330" s="10" t="s">
        <v>4247</v>
      </c>
      <c r="G330" s="10" t="s">
        <v>4248</v>
      </c>
      <c r="H330" s="9" t="s">
        <v>4223</v>
      </c>
      <c r="I330" s="10" t="s">
        <v>4249</v>
      </c>
      <c r="J330" s="10" t="s">
        <v>4250</v>
      </c>
      <c r="K330" s="10" t="s">
        <v>4251</v>
      </c>
      <c r="L330" s="10" t="s">
        <v>4252</v>
      </c>
      <c r="M330" s="9" t="s">
        <v>912</v>
      </c>
      <c r="N330" s="9" t="s">
        <v>71</v>
      </c>
      <c r="O330" s="10" t="s">
        <v>118</v>
      </c>
      <c r="P330" s="14" t="s">
        <v>74</v>
      </c>
      <c r="Q330" s="9" t="n">
        <v>3</v>
      </c>
      <c r="R330" s="9" t="s">
        <v>90</v>
      </c>
      <c r="S330" s="10" t="s">
        <v>4253</v>
      </c>
      <c r="T330" s="10" t="s">
        <v>4254</v>
      </c>
      <c r="U330" s="10" t="s">
        <v>4255</v>
      </c>
    </row>
    <row r="331" customFormat="false" ht="108" hidden="true" customHeight="true" outlineLevel="0" collapsed="false">
      <c r="A331" s="9" t="s">
        <v>4256</v>
      </c>
      <c r="B331" s="10" t="s">
        <v>4203</v>
      </c>
      <c r="C331" s="10" t="s">
        <v>4257</v>
      </c>
      <c r="D331" s="10" t="s">
        <v>4258</v>
      </c>
      <c r="E331" s="10" t="s">
        <v>4259</v>
      </c>
      <c r="F331" s="10" t="s">
        <v>4260</v>
      </c>
      <c r="G331" s="10" t="s">
        <v>4261</v>
      </c>
      <c r="H331" s="9" t="s">
        <v>4262</v>
      </c>
      <c r="I331" s="10" t="s">
        <v>4263</v>
      </c>
      <c r="J331" s="10" t="s">
        <v>4264</v>
      </c>
      <c r="K331" s="10" t="s">
        <v>4265</v>
      </c>
      <c r="L331" s="10" t="s">
        <v>4266</v>
      </c>
      <c r="M331" s="9" t="s">
        <v>70</v>
      </c>
      <c r="N331" s="9" t="s">
        <v>117</v>
      </c>
      <c r="O331" s="10" t="s">
        <v>118</v>
      </c>
      <c r="P331" s="14" t="s">
        <v>74</v>
      </c>
      <c r="Q331" s="9" t="n">
        <v>5</v>
      </c>
      <c r="R331" s="9" t="s">
        <v>90</v>
      </c>
      <c r="S331" s="10" t="s">
        <v>4267</v>
      </c>
      <c r="T331" s="10" t="s">
        <v>4268</v>
      </c>
      <c r="U331" s="10" t="s">
        <v>4269</v>
      </c>
    </row>
    <row r="332" customFormat="false" ht="108" hidden="false" customHeight="true" outlineLevel="0" collapsed="false">
      <c r="A332" s="9" t="s">
        <v>4270</v>
      </c>
      <c r="B332" s="10" t="s">
        <v>4203</v>
      </c>
      <c r="C332" s="10" t="s">
        <v>4271</v>
      </c>
      <c r="D332" s="10" t="s">
        <v>4272</v>
      </c>
      <c r="E332" s="10" t="s">
        <v>4273</v>
      </c>
      <c r="F332" s="10" t="s">
        <v>4274</v>
      </c>
      <c r="G332" s="10" t="s">
        <v>4275</v>
      </c>
      <c r="H332" s="9" t="s">
        <v>1210</v>
      </c>
      <c r="I332" s="10" t="s">
        <v>4276</v>
      </c>
      <c r="J332" s="10" t="s">
        <v>4277</v>
      </c>
      <c r="K332" s="10" t="s">
        <v>4278</v>
      </c>
      <c r="L332" s="10" t="s">
        <v>146</v>
      </c>
      <c r="M332" s="9" t="s">
        <v>821</v>
      </c>
      <c r="N332" s="9" t="s">
        <v>71</v>
      </c>
      <c r="O332" s="10" t="s">
        <v>118</v>
      </c>
      <c r="P332" s="12" t="s">
        <v>90</v>
      </c>
      <c r="Q332" s="9" t="n">
        <v>7</v>
      </c>
      <c r="R332" s="9" t="s">
        <v>74</v>
      </c>
      <c r="S332" s="10" t="s">
        <v>4279</v>
      </c>
      <c r="T332" s="10" t="s">
        <v>4280</v>
      </c>
      <c r="U332" s="10" t="s">
        <v>4281</v>
      </c>
    </row>
    <row r="333" customFormat="false" ht="108" hidden="true" customHeight="true" outlineLevel="0" collapsed="false">
      <c r="A333" s="9" t="s">
        <v>4282</v>
      </c>
      <c r="B333" s="10" t="s">
        <v>4203</v>
      </c>
      <c r="C333" s="10" t="s">
        <v>4283</v>
      </c>
      <c r="D333" s="10" t="s">
        <v>4284</v>
      </c>
      <c r="E333" s="10" t="s">
        <v>4285</v>
      </c>
      <c r="F333" s="10" t="s">
        <v>4286</v>
      </c>
      <c r="G333" s="10" t="s">
        <v>4287</v>
      </c>
      <c r="H333" s="9" t="s">
        <v>4288</v>
      </c>
      <c r="I333" s="10" t="s">
        <v>4289</v>
      </c>
      <c r="J333" s="10" t="s">
        <v>4290</v>
      </c>
      <c r="K333" s="10" t="s">
        <v>4291</v>
      </c>
      <c r="L333" s="10" t="s">
        <v>1984</v>
      </c>
      <c r="M333" s="9" t="s">
        <v>677</v>
      </c>
      <c r="N333" s="9" t="s">
        <v>662</v>
      </c>
      <c r="O333" s="10" t="s">
        <v>118</v>
      </c>
      <c r="P333" s="11" t="s">
        <v>73</v>
      </c>
      <c r="Q333" s="9" t="n">
        <v>10</v>
      </c>
      <c r="R333" s="9" t="s">
        <v>119</v>
      </c>
      <c r="S333" s="10" t="s">
        <v>4292</v>
      </c>
      <c r="T333" s="10" t="s">
        <v>4293</v>
      </c>
      <c r="U333" s="10" t="s">
        <v>4294</v>
      </c>
    </row>
    <row r="334" customFormat="false" ht="108" hidden="false" customHeight="true" outlineLevel="0" collapsed="false">
      <c r="A334" s="9" t="s">
        <v>4295</v>
      </c>
      <c r="B334" s="10" t="s">
        <v>4203</v>
      </c>
      <c r="C334" s="10" t="s">
        <v>4283</v>
      </c>
      <c r="D334" s="10" t="s">
        <v>4296</v>
      </c>
      <c r="E334" s="10" t="s">
        <v>4297</v>
      </c>
      <c r="F334" s="10" t="s">
        <v>4298</v>
      </c>
      <c r="G334" s="10" t="s">
        <v>4299</v>
      </c>
      <c r="H334" s="9" t="s">
        <v>4288</v>
      </c>
      <c r="I334" s="10" t="s">
        <v>4300</v>
      </c>
      <c r="J334" s="10" t="s">
        <v>4301</v>
      </c>
      <c r="K334" s="10" t="s">
        <v>4212</v>
      </c>
      <c r="L334" s="10" t="s">
        <v>4302</v>
      </c>
      <c r="M334" s="9" t="s">
        <v>677</v>
      </c>
      <c r="N334" s="9" t="s">
        <v>662</v>
      </c>
      <c r="O334" s="10" t="s">
        <v>118</v>
      </c>
      <c r="P334" s="12" t="s">
        <v>90</v>
      </c>
      <c r="Q334" s="9" t="n">
        <v>7</v>
      </c>
      <c r="R334" s="9" t="s">
        <v>119</v>
      </c>
      <c r="S334" s="10" t="s">
        <v>4303</v>
      </c>
      <c r="T334" s="10" t="s">
        <v>4304</v>
      </c>
      <c r="U334" s="10" t="s">
        <v>4305</v>
      </c>
    </row>
    <row r="335" customFormat="false" ht="108" hidden="false" customHeight="true" outlineLevel="0" collapsed="false">
      <c r="A335" s="9" t="s">
        <v>4306</v>
      </c>
      <c r="B335" s="10" t="s">
        <v>4203</v>
      </c>
      <c r="C335" s="10" t="s">
        <v>4307</v>
      </c>
      <c r="D335" s="10" t="s">
        <v>4308</v>
      </c>
      <c r="E335" s="10" t="s">
        <v>4309</v>
      </c>
      <c r="F335" s="10" t="s">
        <v>4310</v>
      </c>
      <c r="G335" s="10" t="s">
        <v>4311</v>
      </c>
      <c r="H335" s="9" t="s">
        <v>4223</v>
      </c>
      <c r="I335" s="10" t="s">
        <v>4312</v>
      </c>
      <c r="J335" s="10" t="s">
        <v>4313</v>
      </c>
      <c r="K335" s="10" t="s">
        <v>4314</v>
      </c>
      <c r="L335" s="10" t="s">
        <v>2162</v>
      </c>
      <c r="M335" s="9" t="s">
        <v>677</v>
      </c>
      <c r="N335" s="9" t="s">
        <v>71</v>
      </c>
      <c r="O335" s="10" t="s">
        <v>118</v>
      </c>
      <c r="P335" s="12" t="s">
        <v>90</v>
      </c>
      <c r="Q335" s="9" t="n">
        <v>8</v>
      </c>
      <c r="R335" s="9" t="s">
        <v>119</v>
      </c>
      <c r="S335" s="10" t="s">
        <v>4315</v>
      </c>
      <c r="T335" s="10" t="s">
        <v>4316</v>
      </c>
      <c r="U335" s="10" t="s">
        <v>4317</v>
      </c>
    </row>
    <row r="336" customFormat="false" ht="108" hidden="true" customHeight="true" outlineLevel="0" collapsed="false">
      <c r="A336" s="9" t="s">
        <v>4318</v>
      </c>
      <c r="B336" s="10" t="s">
        <v>4203</v>
      </c>
      <c r="C336" s="10" t="s">
        <v>4319</v>
      </c>
      <c r="D336" s="10" t="s">
        <v>4320</v>
      </c>
      <c r="E336" s="10" t="s">
        <v>4321</v>
      </c>
      <c r="F336" s="10" t="s">
        <v>4322</v>
      </c>
      <c r="G336" s="10" t="s">
        <v>4323</v>
      </c>
      <c r="H336" s="9" t="s">
        <v>4223</v>
      </c>
      <c r="I336" s="10" t="s">
        <v>4324</v>
      </c>
      <c r="J336" s="10" t="s">
        <v>4325</v>
      </c>
      <c r="K336" s="10" t="s">
        <v>4251</v>
      </c>
      <c r="L336" s="10" t="s">
        <v>4326</v>
      </c>
      <c r="M336" s="9" t="s">
        <v>677</v>
      </c>
      <c r="N336" s="9" t="s">
        <v>117</v>
      </c>
      <c r="O336" s="10" t="s">
        <v>118</v>
      </c>
      <c r="P336" s="13" t="s">
        <v>119</v>
      </c>
      <c r="Q336" s="9" t="n">
        <v>2</v>
      </c>
      <c r="R336" s="9" t="s">
        <v>90</v>
      </c>
      <c r="S336" s="10" t="s">
        <v>4327</v>
      </c>
      <c r="T336" s="10" t="s">
        <v>4328</v>
      </c>
      <c r="U336" s="10" t="s">
        <v>4329</v>
      </c>
    </row>
    <row r="337" customFormat="false" ht="108" hidden="false" customHeight="true" outlineLevel="0" collapsed="false">
      <c r="A337" s="9" t="s">
        <v>4330</v>
      </c>
      <c r="B337" s="10" t="s">
        <v>4203</v>
      </c>
      <c r="C337" s="10" t="s">
        <v>4331</v>
      </c>
      <c r="D337" s="10" t="s">
        <v>4332</v>
      </c>
      <c r="E337" s="10" t="s">
        <v>4333</v>
      </c>
      <c r="F337" s="10" t="s">
        <v>4334</v>
      </c>
      <c r="G337" s="10" t="s">
        <v>4335</v>
      </c>
      <c r="H337" s="9" t="s">
        <v>4223</v>
      </c>
      <c r="I337" s="10" t="s">
        <v>4336</v>
      </c>
      <c r="J337" s="10" t="s">
        <v>4337</v>
      </c>
      <c r="K337" s="10" t="s">
        <v>4338</v>
      </c>
      <c r="L337" s="10" t="s">
        <v>4339</v>
      </c>
      <c r="M337" s="9" t="s">
        <v>677</v>
      </c>
      <c r="N337" s="9" t="s">
        <v>71</v>
      </c>
      <c r="O337" s="10" t="s">
        <v>118</v>
      </c>
      <c r="P337" s="12" t="s">
        <v>90</v>
      </c>
      <c r="Q337" s="9" t="n">
        <v>8</v>
      </c>
      <c r="R337" s="9" t="s">
        <v>119</v>
      </c>
      <c r="S337" s="10" t="s">
        <v>4340</v>
      </c>
      <c r="T337" s="10" t="s">
        <v>4341</v>
      </c>
      <c r="U337" s="10" t="s">
        <v>4317</v>
      </c>
    </row>
    <row r="338" customFormat="false" ht="108" hidden="true" customHeight="true" outlineLevel="0" collapsed="false">
      <c r="A338" s="9" t="s">
        <v>4342</v>
      </c>
      <c r="B338" s="10" t="s">
        <v>4203</v>
      </c>
      <c r="C338" s="10" t="s">
        <v>4343</v>
      </c>
      <c r="D338" s="10" t="s">
        <v>4344</v>
      </c>
      <c r="E338" s="10" t="s">
        <v>4345</v>
      </c>
      <c r="F338" s="10" t="s">
        <v>4346</v>
      </c>
      <c r="G338" s="10" t="s">
        <v>4347</v>
      </c>
      <c r="H338" s="9" t="s">
        <v>4223</v>
      </c>
      <c r="I338" s="10" t="s">
        <v>4348</v>
      </c>
      <c r="J338" s="10" t="s">
        <v>4349</v>
      </c>
      <c r="K338" s="10" t="s">
        <v>4251</v>
      </c>
      <c r="L338" s="10" t="s">
        <v>208</v>
      </c>
      <c r="M338" s="9" t="s">
        <v>821</v>
      </c>
      <c r="N338" s="9" t="s">
        <v>71</v>
      </c>
      <c r="O338" s="10" t="s">
        <v>118</v>
      </c>
      <c r="P338" s="13" t="s">
        <v>119</v>
      </c>
      <c r="Q338" s="9" t="n">
        <v>2</v>
      </c>
      <c r="R338" s="9" t="s">
        <v>90</v>
      </c>
      <c r="S338" s="10" t="s">
        <v>4350</v>
      </c>
      <c r="T338" s="10" t="s">
        <v>4351</v>
      </c>
      <c r="U338" s="10" t="s">
        <v>4352</v>
      </c>
    </row>
    <row r="339" customFormat="false" ht="108" hidden="true" customHeight="true" outlineLevel="0" collapsed="false">
      <c r="A339" s="9" t="s">
        <v>4353</v>
      </c>
      <c r="B339" s="10" t="s">
        <v>4203</v>
      </c>
      <c r="C339" s="10" t="s">
        <v>4354</v>
      </c>
      <c r="D339" s="10" t="s">
        <v>4355</v>
      </c>
      <c r="E339" s="10" t="s">
        <v>4356</v>
      </c>
      <c r="F339" s="10" t="s">
        <v>4357</v>
      </c>
      <c r="G339" s="10" t="s">
        <v>4358</v>
      </c>
      <c r="H339" s="9" t="s">
        <v>4359</v>
      </c>
      <c r="I339" s="10" t="s">
        <v>4360</v>
      </c>
      <c r="J339" s="10" t="s">
        <v>4361</v>
      </c>
      <c r="K339" s="10" t="s">
        <v>4362</v>
      </c>
      <c r="L339" s="10" t="s">
        <v>4363</v>
      </c>
      <c r="M339" s="9" t="s">
        <v>677</v>
      </c>
      <c r="N339" s="9" t="s">
        <v>71</v>
      </c>
      <c r="O339" s="10" t="s">
        <v>118</v>
      </c>
      <c r="P339" s="14" t="s">
        <v>74</v>
      </c>
      <c r="Q339" s="9" t="n">
        <v>5</v>
      </c>
      <c r="R339" s="9" t="s">
        <v>74</v>
      </c>
      <c r="S339" s="10" t="s">
        <v>4364</v>
      </c>
      <c r="T339" s="10" t="s">
        <v>4365</v>
      </c>
      <c r="U339" s="10" t="s">
        <v>4366</v>
      </c>
    </row>
    <row r="340" customFormat="false" ht="108" hidden="false" customHeight="true" outlineLevel="0" collapsed="false">
      <c r="A340" s="9" t="s">
        <v>4367</v>
      </c>
      <c r="B340" s="10" t="s">
        <v>4203</v>
      </c>
      <c r="C340" s="10" t="s">
        <v>4354</v>
      </c>
      <c r="D340" s="10" t="s">
        <v>4368</v>
      </c>
      <c r="E340" s="10" t="s">
        <v>4369</v>
      </c>
      <c r="F340" s="10" t="s">
        <v>4370</v>
      </c>
      <c r="G340" s="10" t="s">
        <v>4371</v>
      </c>
      <c r="H340" s="9" t="s">
        <v>618</v>
      </c>
      <c r="I340" s="10" t="s">
        <v>4372</v>
      </c>
      <c r="J340" s="10" t="s">
        <v>4373</v>
      </c>
      <c r="K340" s="10" t="s">
        <v>3337</v>
      </c>
      <c r="L340" s="10" t="s">
        <v>4374</v>
      </c>
      <c r="M340" s="9" t="s">
        <v>821</v>
      </c>
      <c r="N340" s="9" t="s">
        <v>662</v>
      </c>
      <c r="O340" s="10" t="s">
        <v>1560</v>
      </c>
      <c r="P340" s="12" t="s">
        <v>90</v>
      </c>
      <c r="Q340" s="9" t="n">
        <v>6</v>
      </c>
      <c r="R340" s="9" t="s">
        <v>74</v>
      </c>
      <c r="S340" s="10" t="s">
        <v>4375</v>
      </c>
      <c r="T340" s="10" t="s">
        <v>4376</v>
      </c>
      <c r="U340" s="10" t="s">
        <v>4377</v>
      </c>
    </row>
    <row r="341" customFormat="false" ht="108" hidden="true" customHeight="true" outlineLevel="0" collapsed="false">
      <c r="A341" s="9" t="s">
        <v>4378</v>
      </c>
      <c r="B341" s="10" t="s">
        <v>4203</v>
      </c>
      <c r="C341" s="10" t="s">
        <v>4379</v>
      </c>
      <c r="D341" s="10" t="s">
        <v>4380</v>
      </c>
      <c r="E341" s="10" t="s">
        <v>4381</v>
      </c>
      <c r="F341" s="10" t="s">
        <v>4382</v>
      </c>
      <c r="G341" s="10" t="s">
        <v>4383</v>
      </c>
      <c r="H341" s="9" t="s">
        <v>4384</v>
      </c>
      <c r="I341" s="10" t="s">
        <v>4385</v>
      </c>
      <c r="J341" s="10" t="s">
        <v>4386</v>
      </c>
      <c r="K341" s="10" t="s">
        <v>4387</v>
      </c>
      <c r="L341" s="10" t="s">
        <v>4388</v>
      </c>
      <c r="M341" s="9" t="s">
        <v>821</v>
      </c>
      <c r="N341" s="9" t="s">
        <v>117</v>
      </c>
      <c r="O341" s="10" t="s">
        <v>118</v>
      </c>
      <c r="P341" s="14" t="s">
        <v>74</v>
      </c>
      <c r="Q341" s="9" t="n">
        <v>4</v>
      </c>
      <c r="R341" s="9" t="s">
        <v>90</v>
      </c>
      <c r="S341" s="10" t="s">
        <v>4389</v>
      </c>
      <c r="T341" s="10" t="s">
        <v>4390</v>
      </c>
      <c r="U341" s="10" t="s">
        <v>4391</v>
      </c>
    </row>
    <row r="342" customFormat="false" ht="108" hidden="false" customHeight="true" outlineLevel="0" collapsed="false">
      <c r="A342" s="9" t="s">
        <v>4392</v>
      </c>
      <c r="B342" s="10" t="s">
        <v>4203</v>
      </c>
      <c r="C342" s="10" t="s">
        <v>4393</v>
      </c>
      <c r="D342" s="10" t="s">
        <v>4394</v>
      </c>
      <c r="E342" s="10" t="s">
        <v>4395</v>
      </c>
      <c r="F342" s="10" t="s">
        <v>4396</v>
      </c>
      <c r="G342" s="10" t="s">
        <v>4397</v>
      </c>
      <c r="H342" s="9" t="s">
        <v>618</v>
      </c>
      <c r="I342" s="10" t="s">
        <v>4398</v>
      </c>
      <c r="J342" s="10" t="s">
        <v>4399</v>
      </c>
      <c r="K342" s="10" t="s">
        <v>4400</v>
      </c>
      <c r="L342" s="10" t="s">
        <v>4401</v>
      </c>
      <c r="M342" s="9" t="s">
        <v>661</v>
      </c>
      <c r="N342" s="9" t="s">
        <v>662</v>
      </c>
      <c r="O342" s="10" t="s">
        <v>118</v>
      </c>
      <c r="P342" s="12" t="s">
        <v>90</v>
      </c>
      <c r="Q342" s="9" t="n">
        <v>7</v>
      </c>
      <c r="R342" s="9" t="s">
        <v>74</v>
      </c>
      <c r="S342" s="10" t="s">
        <v>4402</v>
      </c>
      <c r="T342" s="10" t="s">
        <v>4403</v>
      </c>
      <c r="U342" s="10" t="s">
        <v>4404</v>
      </c>
    </row>
    <row r="343" customFormat="false" ht="108" hidden="false" customHeight="true" outlineLevel="0" collapsed="false">
      <c r="A343" s="9" t="s">
        <v>4405</v>
      </c>
      <c r="B343" s="10" t="s">
        <v>4203</v>
      </c>
      <c r="C343" s="10" t="s">
        <v>4393</v>
      </c>
      <c r="D343" s="10" t="s">
        <v>4406</v>
      </c>
      <c r="E343" s="10" t="s">
        <v>4407</v>
      </c>
      <c r="F343" s="10" t="s">
        <v>4408</v>
      </c>
      <c r="G343" s="10" t="s">
        <v>4409</v>
      </c>
      <c r="H343" s="9" t="s">
        <v>618</v>
      </c>
      <c r="I343" s="10" t="s">
        <v>4410</v>
      </c>
      <c r="J343" s="10" t="s">
        <v>4411</v>
      </c>
      <c r="K343" s="10" t="s">
        <v>4400</v>
      </c>
      <c r="L343" s="10" t="s">
        <v>4412</v>
      </c>
      <c r="M343" s="9" t="s">
        <v>661</v>
      </c>
      <c r="N343" s="9" t="s">
        <v>662</v>
      </c>
      <c r="O343" s="10" t="s">
        <v>118</v>
      </c>
      <c r="P343" s="12" t="s">
        <v>90</v>
      </c>
      <c r="Q343" s="9" t="n">
        <v>7</v>
      </c>
      <c r="R343" s="9" t="s">
        <v>74</v>
      </c>
      <c r="S343" s="10" t="s">
        <v>4413</v>
      </c>
      <c r="T343" s="10" t="s">
        <v>4414</v>
      </c>
      <c r="U343" s="10" t="s">
        <v>4415</v>
      </c>
    </row>
    <row r="344" customFormat="false" ht="108" hidden="true" customHeight="true" outlineLevel="0" collapsed="false">
      <c r="A344" s="9" t="s">
        <v>4416</v>
      </c>
      <c r="B344" s="10" t="s">
        <v>4203</v>
      </c>
      <c r="C344" s="10" t="s">
        <v>4417</v>
      </c>
      <c r="D344" s="10" t="s">
        <v>4418</v>
      </c>
      <c r="E344" s="10" t="s">
        <v>4419</v>
      </c>
      <c r="F344" s="10" t="s">
        <v>4420</v>
      </c>
      <c r="G344" s="10" t="s">
        <v>4421</v>
      </c>
      <c r="H344" s="9" t="s">
        <v>618</v>
      </c>
      <c r="I344" s="10" t="s">
        <v>4422</v>
      </c>
      <c r="J344" s="10" t="s">
        <v>4423</v>
      </c>
      <c r="K344" s="10" t="s">
        <v>2449</v>
      </c>
      <c r="L344" s="10" t="s">
        <v>4424</v>
      </c>
      <c r="M344" s="9" t="s">
        <v>70</v>
      </c>
      <c r="N344" s="9" t="s">
        <v>117</v>
      </c>
      <c r="O344" s="10" t="s">
        <v>118</v>
      </c>
      <c r="P344" s="14" t="s">
        <v>74</v>
      </c>
      <c r="Q344" s="9" t="n">
        <v>4</v>
      </c>
      <c r="R344" s="9" t="s">
        <v>90</v>
      </c>
      <c r="S344" s="10" t="s">
        <v>4425</v>
      </c>
      <c r="T344" s="10" t="s">
        <v>4426</v>
      </c>
      <c r="U344" s="10" t="s">
        <v>4427</v>
      </c>
    </row>
    <row r="345" customFormat="false" ht="108" hidden="true" customHeight="true" outlineLevel="0" collapsed="false">
      <c r="A345" s="9" t="s">
        <v>4428</v>
      </c>
      <c r="B345" s="10" t="s">
        <v>4203</v>
      </c>
      <c r="C345" s="10" t="s">
        <v>4429</v>
      </c>
      <c r="D345" s="10" t="s">
        <v>4430</v>
      </c>
      <c r="E345" s="10" t="s">
        <v>4431</v>
      </c>
      <c r="F345" s="10" t="s">
        <v>4432</v>
      </c>
      <c r="G345" s="10" t="s">
        <v>4433</v>
      </c>
      <c r="H345" s="9" t="s">
        <v>868</v>
      </c>
      <c r="I345" s="10" t="s">
        <v>4434</v>
      </c>
      <c r="J345" s="10" t="s">
        <v>4435</v>
      </c>
      <c r="K345" s="10" t="s">
        <v>4436</v>
      </c>
      <c r="L345" s="10" t="s">
        <v>4437</v>
      </c>
      <c r="M345" s="9" t="s">
        <v>912</v>
      </c>
      <c r="N345" s="9" t="s">
        <v>71</v>
      </c>
      <c r="O345" s="10" t="s">
        <v>118</v>
      </c>
      <c r="P345" s="14" t="s">
        <v>74</v>
      </c>
      <c r="Q345" s="9" t="n">
        <v>5</v>
      </c>
      <c r="R345" s="9" t="s">
        <v>74</v>
      </c>
      <c r="S345" s="10" t="s">
        <v>4438</v>
      </c>
      <c r="T345" s="10" t="s">
        <v>4439</v>
      </c>
      <c r="U345" s="10" t="s">
        <v>4440</v>
      </c>
    </row>
    <row r="346" customFormat="false" ht="108" hidden="true" customHeight="true" outlineLevel="0" collapsed="false">
      <c r="A346" s="9" t="s">
        <v>4441</v>
      </c>
      <c r="B346" s="10" t="s">
        <v>4203</v>
      </c>
      <c r="C346" s="10" t="s">
        <v>4429</v>
      </c>
      <c r="D346" s="10" t="s">
        <v>4442</v>
      </c>
      <c r="E346" s="10" t="s">
        <v>4443</v>
      </c>
      <c r="F346" s="10" t="s">
        <v>4444</v>
      </c>
      <c r="G346" s="10" t="s">
        <v>4445</v>
      </c>
      <c r="H346" s="9" t="s">
        <v>868</v>
      </c>
      <c r="I346" s="10" t="s">
        <v>4446</v>
      </c>
      <c r="J346" s="10" t="s">
        <v>4447</v>
      </c>
      <c r="K346" s="10" t="s">
        <v>4448</v>
      </c>
      <c r="L346" s="10" t="s">
        <v>4449</v>
      </c>
      <c r="M346" s="9" t="s">
        <v>677</v>
      </c>
      <c r="N346" s="9" t="s">
        <v>71</v>
      </c>
      <c r="O346" s="10" t="s">
        <v>118</v>
      </c>
      <c r="P346" s="13" t="s">
        <v>119</v>
      </c>
      <c r="Q346" s="9" t="n">
        <v>2</v>
      </c>
      <c r="R346" s="9" t="s">
        <v>90</v>
      </c>
      <c r="S346" s="10" t="s">
        <v>4450</v>
      </c>
      <c r="T346" s="10" t="s">
        <v>4451</v>
      </c>
      <c r="U346" s="10" t="s">
        <v>4452</v>
      </c>
    </row>
    <row r="347" customFormat="false" ht="108" hidden="true" customHeight="true" outlineLevel="0" collapsed="false">
      <c r="A347" s="9" t="s">
        <v>4453</v>
      </c>
      <c r="B347" s="10" t="s">
        <v>4203</v>
      </c>
      <c r="C347" s="10" t="s">
        <v>4454</v>
      </c>
      <c r="D347" s="10" t="s">
        <v>4455</v>
      </c>
      <c r="E347" s="10" t="s">
        <v>4456</v>
      </c>
      <c r="F347" s="10" t="s">
        <v>4457</v>
      </c>
      <c r="G347" s="10" t="s">
        <v>4458</v>
      </c>
      <c r="H347" s="9" t="s">
        <v>868</v>
      </c>
      <c r="I347" s="10" t="s">
        <v>4459</v>
      </c>
      <c r="J347" s="10" t="s">
        <v>4460</v>
      </c>
      <c r="K347" s="10" t="s">
        <v>4461</v>
      </c>
      <c r="L347" s="10" t="s">
        <v>4462</v>
      </c>
      <c r="M347" s="9" t="s">
        <v>677</v>
      </c>
      <c r="N347" s="9" t="s">
        <v>71</v>
      </c>
      <c r="O347" s="10" t="s">
        <v>118</v>
      </c>
      <c r="P347" s="14" t="s">
        <v>74</v>
      </c>
      <c r="Q347" s="9" t="n">
        <v>4</v>
      </c>
      <c r="R347" s="9" t="s">
        <v>74</v>
      </c>
      <c r="S347" s="10" t="s">
        <v>4463</v>
      </c>
      <c r="T347" s="10" t="s">
        <v>4464</v>
      </c>
      <c r="U347" s="10" t="s">
        <v>4465</v>
      </c>
    </row>
    <row r="348" customFormat="false" ht="108" hidden="true" customHeight="true" outlineLevel="0" collapsed="false">
      <c r="A348" s="9" t="s">
        <v>4466</v>
      </c>
      <c r="B348" s="10" t="s">
        <v>4203</v>
      </c>
      <c r="C348" s="10" t="s">
        <v>4454</v>
      </c>
      <c r="D348" s="10" t="s">
        <v>4467</v>
      </c>
      <c r="E348" s="10" t="s">
        <v>4468</v>
      </c>
      <c r="F348" s="10" t="s">
        <v>4469</v>
      </c>
      <c r="G348" s="10" t="s">
        <v>4470</v>
      </c>
      <c r="H348" s="9" t="s">
        <v>112</v>
      </c>
      <c r="I348" s="10" t="s">
        <v>4471</v>
      </c>
      <c r="J348" s="10" t="s">
        <v>4472</v>
      </c>
      <c r="K348" s="10" t="s">
        <v>4473</v>
      </c>
      <c r="L348" s="10" t="s">
        <v>4474</v>
      </c>
      <c r="M348" s="9" t="s">
        <v>677</v>
      </c>
      <c r="N348" s="9" t="s">
        <v>71</v>
      </c>
      <c r="O348" s="10" t="s">
        <v>118</v>
      </c>
      <c r="P348" s="14" t="s">
        <v>74</v>
      </c>
      <c r="Q348" s="9" t="n">
        <v>4</v>
      </c>
      <c r="R348" s="9" t="s">
        <v>90</v>
      </c>
      <c r="S348" s="10" t="s">
        <v>4475</v>
      </c>
      <c r="T348" s="10" t="s">
        <v>4476</v>
      </c>
      <c r="U348" s="10" t="s">
        <v>4477</v>
      </c>
    </row>
    <row r="349" customFormat="false" ht="108" hidden="false" customHeight="true" outlineLevel="0" collapsed="false">
      <c r="A349" s="9" t="s">
        <v>4478</v>
      </c>
      <c r="B349" s="10" t="s">
        <v>4203</v>
      </c>
      <c r="C349" s="10" t="s">
        <v>4479</v>
      </c>
      <c r="D349" s="10" t="s">
        <v>4480</v>
      </c>
      <c r="E349" s="10" t="s">
        <v>4481</v>
      </c>
      <c r="F349" s="10" t="s">
        <v>4482</v>
      </c>
      <c r="G349" s="10" t="s">
        <v>4483</v>
      </c>
      <c r="H349" s="9" t="s">
        <v>1053</v>
      </c>
      <c r="I349" s="10" t="s">
        <v>4484</v>
      </c>
      <c r="J349" s="10" t="s">
        <v>4485</v>
      </c>
      <c r="K349" s="10" t="s">
        <v>4486</v>
      </c>
      <c r="L349" s="10" t="s">
        <v>4487</v>
      </c>
      <c r="M349" s="9" t="s">
        <v>661</v>
      </c>
      <c r="N349" s="9" t="s">
        <v>662</v>
      </c>
      <c r="O349" s="10" t="s">
        <v>118</v>
      </c>
      <c r="P349" s="12" t="s">
        <v>90</v>
      </c>
      <c r="Q349" s="9" t="n">
        <v>7</v>
      </c>
      <c r="R349" s="9" t="s">
        <v>74</v>
      </c>
      <c r="S349" s="10" t="s">
        <v>4488</v>
      </c>
      <c r="T349" s="10" t="s">
        <v>4489</v>
      </c>
      <c r="U349" s="10" t="s">
        <v>4490</v>
      </c>
    </row>
    <row r="350" customFormat="false" ht="108" hidden="true" customHeight="true" outlineLevel="0" collapsed="false">
      <c r="A350" s="9" t="s">
        <v>4491</v>
      </c>
      <c r="B350" s="10" t="s">
        <v>4203</v>
      </c>
      <c r="C350" s="10" t="s">
        <v>4492</v>
      </c>
      <c r="D350" s="10" t="s">
        <v>4493</v>
      </c>
      <c r="E350" s="10" t="s">
        <v>4494</v>
      </c>
      <c r="F350" s="10" t="s">
        <v>4495</v>
      </c>
      <c r="G350" s="10" t="s">
        <v>4496</v>
      </c>
      <c r="H350" s="9" t="s">
        <v>4497</v>
      </c>
      <c r="I350" s="10" t="s">
        <v>4498</v>
      </c>
      <c r="J350" s="10" t="s">
        <v>4499</v>
      </c>
      <c r="K350" s="10" t="s">
        <v>4500</v>
      </c>
      <c r="L350" s="10" t="s">
        <v>4501</v>
      </c>
      <c r="M350" s="9" t="s">
        <v>769</v>
      </c>
      <c r="N350" s="9" t="s">
        <v>71</v>
      </c>
      <c r="O350" s="10" t="s">
        <v>118</v>
      </c>
      <c r="P350" s="14" t="s">
        <v>74</v>
      </c>
      <c r="Q350" s="9" t="n">
        <v>3</v>
      </c>
      <c r="R350" s="9" t="s">
        <v>90</v>
      </c>
      <c r="S350" s="10" t="s">
        <v>4502</v>
      </c>
      <c r="T350" s="10" t="s">
        <v>4503</v>
      </c>
      <c r="U350" s="10" t="s">
        <v>4504</v>
      </c>
    </row>
    <row r="351" customFormat="false" ht="108" hidden="true" customHeight="true" outlineLevel="0" collapsed="false">
      <c r="A351" s="9" t="s">
        <v>4505</v>
      </c>
      <c r="B351" s="10" t="s">
        <v>4203</v>
      </c>
      <c r="C351" s="10" t="s">
        <v>4506</v>
      </c>
      <c r="D351" s="10" t="s">
        <v>4507</v>
      </c>
      <c r="E351" s="10" t="s">
        <v>4508</v>
      </c>
      <c r="F351" s="10" t="s">
        <v>4509</v>
      </c>
      <c r="G351" s="10" t="s">
        <v>4510</v>
      </c>
      <c r="H351" s="9" t="s">
        <v>868</v>
      </c>
      <c r="I351" s="10" t="s">
        <v>4511</v>
      </c>
      <c r="J351" s="10" t="s">
        <v>4512</v>
      </c>
      <c r="K351" s="10" t="s">
        <v>3704</v>
      </c>
      <c r="L351" s="10" t="s">
        <v>4513</v>
      </c>
      <c r="M351" s="9" t="s">
        <v>70</v>
      </c>
      <c r="N351" s="9" t="s">
        <v>117</v>
      </c>
      <c r="O351" s="10" t="s">
        <v>118</v>
      </c>
      <c r="P351" s="14" t="s">
        <v>74</v>
      </c>
      <c r="Q351" s="9" t="n">
        <v>5</v>
      </c>
      <c r="R351" s="9" t="s">
        <v>74</v>
      </c>
      <c r="S351" s="10" t="s">
        <v>4514</v>
      </c>
      <c r="T351" s="10" t="s">
        <v>4515</v>
      </c>
      <c r="U351" s="10" t="s">
        <v>4516</v>
      </c>
    </row>
    <row r="352" customFormat="false" ht="108" hidden="true" customHeight="true" outlineLevel="0" collapsed="false">
      <c r="A352" s="9" t="s">
        <v>4517</v>
      </c>
      <c r="B352" s="10" t="s">
        <v>4203</v>
      </c>
      <c r="C352" s="10" t="s">
        <v>4506</v>
      </c>
      <c r="D352" s="10" t="s">
        <v>4518</v>
      </c>
      <c r="E352" s="10" t="s">
        <v>4519</v>
      </c>
      <c r="F352" s="10" t="s">
        <v>4520</v>
      </c>
      <c r="G352" s="10" t="s">
        <v>4521</v>
      </c>
      <c r="H352" s="9" t="s">
        <v>4522</v>
      </c>
      <c r="I352" s="10" t="s">
        <v>4523</v>
      </c>
      <c r="J352" s="10" t="s">
        <v>4524</v>
      </c>
      <c r="K352" s="10" t="s">
        <v>4525</v>
      </c>
      <c r="L352" s="10" t="s">
        <v>4526</v>
      </c>
      <c r="M352" s="9" t="s">
        <v>821</v>
      </c>
      <c r="N352" s="9" t="s">
        <v>117</v>
      </c>
      <c r="O352" s="10" t="s">
        <v>118</v>
      </c>
      <c r="P352" s="13" t="s">
        <v>119</v>
      </c>
      <c r="Q352" s="9" t="n">
        <v>1</v>
      </c>
      <c r="R352" s="9" t="s">
        <v>90</v>
      </c>
      <c r="S352" s="10" t="s">
        <v>4527</v>
      </c>
      <c r="T352" s="10" t="s">
        <v>4528</v>
      </c>
      <c r="U352" s="10" t="s">
        <v>4516</v>
      </c>
    </row>
    <row r="353" customFormat="false" ht="108" hidden="true" customHeight="true" outlineLevel="0" collapsed="false">
      <c r="A353" s="9" t="s">
        <v>4529</v>
      </c>
      <c r="B353" s="10" t="s">
        <v>4203</v>
      </c>
      <c r="C353" s="10" t="s">
        <v>4506</v>
      </c>
      <c r="D353" s="10" t="s">
        <v>4530</v>
      </c>
      <c r="E353" s="10" t="s">
        <v>4531</v>
      </c>
      <c r="F353" s="10" t="s">
        <v>4532</v>
      </c>
      <c r="G353" s="10" t="s">
        <v>4533</v>
      </c>
      <c r="H353" s="9" t="s">
        <v>4534</v>
      </c>
      <c r="I353" s="10" t="s">
        <v>4535</v>
      </c>
      <c r="J353" s="10" t="s">
        <v>4536</v>
      </c>
      <c r="K353" s="10" t="s">
        <v>3704</v>
      </c>
      <c r="L353" s="10" t="s">
        <v>4537</v>
      </c>
      <c r="M353" s="9" t="s">
        <v>912</v>
      </c>
      <c r="N353" s="9" t="s">
        <v>71</v>
      </c>
      <c r="O353" s="10" t="s">
        <v>118</v>
      </c>
      <c r="P353" s="13" t="s">
        <v>119</v>
      </c>
      <c r="Q353" s="9" t="n">
        <v>2</v>
      </c>
      <c r="R353" s="9" t="s">
        <v>90</v>
      </c>
      <c r="S353" s="10" t="s">
        <v>4538</v>
      </c>
      <c r="T353" s="10" t="s">
        <v>4539</v>
      </c>
      <c r="U353" s="10" t="s">
        <v>4540</v>
      </c>
    </row>
    <row r="354" customFormat="false" ht="108" hidden="true" customHeight="true" outlineLevel="0" collapsed="false">
      <c r="A354" s="9" t="s">
        <v>4541</v>
      </c>
      <c r="B354" s="10" t="s">
        <v>4203</v>
      </c>
      <c r="C354" s="10" t="s">
        <v>4542</v>
      </c>
      <c r="D354" s="10" t="s">
        <v>4543</v>
      </c>
      <c r="E354" s="10" t="s">
        <v>4544</v>
      </c>
      <c r="F354" s="10" t="s">
        <v>4545</v>
      </c>
      <c r="G354" s="10" t="s">
        <v>4546</v>
      </c>
      <c r="H354" s="9" t="s">
        <v>4547</v>
      </c>
      <c r="I354" s="10" t="s">
        <v>4548</v>
      </c>
      <c r="J354" s="10" t="s">
        <v>4549</v>
      </c>
      <c r="K354" s="10" t="s">
        <v>4550</v>
      </c>
      <c r="L354" s="10" t="s">
        <v>4551</v>
      </c>
      <c r="M354" s="9" t="s">
        <v>677</v>
      </c>
      <c r="N354" s="9" t="s">
        <v>662</v>
      </c>
      <c r="O354" s="10" t="s">
        <v>118</v>
      </c>
      <c r="P354" s="11" t="s">
        <v>73</v>
      </c>
      <c r="Q354" s="9" t="n">
        <v>9</v>
      </c>
      <c r="R354" s="9" t="s">
        <v>119</v>
      </c>
      <c r="S354" s="10" t="s">
        <v>4552</v>
      </c>
      <c r="T354" s="10" t="s">
        <v>4553</v>
      </c>
      <c r="U354" s="10" t="s">
        <v>4554</v>
      </c>
    </row>
    <row r="355" customFormat="false" ht="108" hidden="true" customHeight="true" outlineLevel="0" collapsed="false">
      <c r="A355" s="9" t="s">
        <v>4555</v>
      </c>
      <c r="B355" s="10" t="s">
        <v>4203</v>
      </c>
      <c r="C355" s="10" t="s">
        <v>4542</v>
      </c>
      <c r="D355" s="10" t="s">
        <v>4556</v>
      </c>
      <c r="E355" s="10" t="s">
        <v>4557</v>
      </c>
      <c r="F355" s="10" t="s">
        <v>4558</v>
      </c>
      <c r="G355" s="10" t="s">
        <v>4559</v>
      </c>
      <c r="H355" s="9" t="s">
        <v>4547</v>
      </c>
      <c r="I355" s="10" t="s">
        <v>4560</v>
      </c>
      <c r="J355" s="10" t="s">
        <v>4561</v>
      </c>
      <c r="K355" s="10" t="s">
        <v>4562</v>
      </c>
      <c r="L355" s="10" t="s">
        <v>4563</v>
      </c>
      <c r="M355" s="9" t="s">
        <v>677</v>
      </c>
      <c r="N355" s="9" t="s">
        <v>274</v>
      </c>
      <c r="O355" s="10" t="s">
        <v>118</v>
      </c>
      <c r="P355" s="11" t="s">
        <v>73</v>
      </c>
      <c r="Q355" s="9" t="n">
        <v>9</v>
      </c>
      <c r="R355" s="9" t="s">
        <v>119</v>
      </c>
      <c r="S355" s="10" t="s">
        <v>4564</v>
      </c>
      <c r="T355" s="10" t="s">
        <v>4565</v>
      </c>
      <c r="U355" s="10" t="s">
        <v>4566</v>
      </c>
    </row>
    <row r="356" customFormat="false" ht="108" hidden="false" customHeight="true" outlineLevel="0" collapsed="false">
      <c r="A356" s="9" t="s">
        <v>4567</v>
      </c>
      <c r="B356" s="10" t="s">
        <v>4203</v>
      </c>
      <c r="C356" s="10" t="s">
        <v>4568</v>
      </c>
      <c r="D356" s="10" t="s">
        <v>4569</v>
      </c>
      <c r="E356" s="10" t="s">
        <v>4570</v>
      </c>
      <c r="F356" s="10" t="s">
        <v>4571</v>
      </c>
      <c r="G356" s="10" t="s">
        <v>4572</v>
      </c>
      <c r="H356" s="9" t="s">
        <v>4573</v>
      </c>
      <c r="I356" s="10" t="s">
        <v>4574</v>
      </c>
      <c r="J356" s="10" t="s">
        <v>4575</v>
      </c>
      <c r="K356" s="10" t="s">
        <v>4576</v>
      </c>
      <c r="L356" s="10" t="s">
        <v>4577</v>
      </c>
      <c r="M356" s="9" t="s">
        <v>2696</v>
      </c>
      <c r="N356" s="9" t="s">
        <v>117</v>
      </c>
      <c r="O356" s="10" t="s">
        <v>118</v>
      </c>
      <c r="P356" s="12" t="s">
        <v>90</v>
      </c>
      <c r="Q356" s="9" t="n">
        <v>6</v>
      </c>
      <c r="R356" s="9" t="s">
        <v>74</v>
      </c>
      <c r="S356" s="10" t="s">
        <v>4578</v>
      </c>
      <c r="T356" s="10" t="s">
        <v>4579</v>
      </c>
      <c r="U356" s="10" t="s">
        <v>4580</v>
      </c>
    </row>
    <row r="357" customFormat="false" ht="108" hidden="false" customHeight="true" outlineLevel="0" collapsed="false">
      <c r="A357" s="9" t="s">
        <v>4581</v>
      </c>
      <c r="B357" s="10" t="s">
        <v>4582</v>
      </c>
      <c r="C357" s="10" t="s">
        <v>4583</v>
      </c>
      <c r="D357" s="10" t="s">
        <v>4584</v>
      </c>
      <c r="E357" s="10" t="s">
        <v>4585</v>
      </c>
      <c r="F357" s="10" t="s">
        <v>4586</v>
      </c>
      <c r="G357" s="10" t="s">
        <v>4587</v>
      </c>
      <c r="H357" s="9" t="s">
        <v>4588</v>
      </c>
      <c r="I357" s="10" t="s">
        <v>4589</v>
      </c>
      <c r="J357" s="10" t="s">
        <v>4590</v>
      </c>
      <c r="K357" s="10" t="s">
        <v>4591</v>
      </c>
      <c r="L357" s="10" t="s">
        <v>3350</v>
      </c>
      <c r="M357" s="9" t="s">
        <v>661</v>
      </c>
      <c r="N357" s="9" t="s">
        <v>662</v>
      </c>
      <c r="O357" s="10" t="s">
        <v>118</v>
      </c>
      <c r="P357" s="12" t="s">
        <v>90</v>
      </c>
      <c r="Q357" s="9" t="n">
        <v>7</v>
      </c>
      <c r="R357" s="9" t="s">
        <v>74</v>
      </c>
      <c r="S357" s="10" t="s">
        <v>4592</v>
      </c>
      <c r="T357" s="10" t="s">
        <v>4593</v>
      </c>
      <c r="U357" s="10" t="s">
        <v>3303</v>
      </c>
    </row>
    <row r="358" customFormat="false" ht="108" hidden="true" customHeight="true" outlineLevel="0" collapsed="false">
      <c r="A358" s="9" t="s">
        <v>4594</v>
      </c>
      <c r="B358" s="10" t="s">
        <v>4582</v>
      </c>
      <c r="C358" s="10" t="s">
        <v>4595</v>
      </c>
      <c r="D358" s="10" t="s">
        <v>4596</v>
      </c>
      <c r="E358" s="10" t="s">
        <v>4597</v>
      </c>
      <c r="F358" s="10" t="s">
        <v>4598</v>
      </c>
      <c r="G358" s="10" t="s">
        <v>4599</v>
      </c>
      <c r="H358" s="9" t="s">
        <v>4600</v>
      </c>
      <c r="I358" s="10" t="s">
        <v>4601</v>
      </c>
      <c r="J358" s="10" t="s">
        <v>4602</v>
      </c>
      <c r="K358" s="10" t="s">
        <v>4603</v>
      </c>
      <c r="L358" s="10" t="s">
        <v>4604</v>
      </c>
      <c r="M358" s="9" t="s">
        <v>661</v>
      </c>
      <c r="N358" s="9" t="s">
        <v>662</v>
      </c>
      <c r="O358" s="10" t="s">
        <v>118</v>
      </c>
      <c r="P358" s="14" t="s">
        <v>74</v>
      </c>
      <c r="Q358" s="9" t="n">
        <v>5</v>
      </c>
      <c r="R358" s="9" t="s">
        <v>74</v>
      </c>
      <c r="S358" s="10" t="s">
        <v>4605</v>
      </c>
      <c r="T358" s="10" t="s">
        <v>4606</v>
      </c>
      <c r="U358" s="10" t="s">
        <v>4607</v>
      </c>
    </row>
    <row r="359" customFormat="false" ht="108" hidden="true" customHeight="true" outlineLevel="0" collapsed="false">
      <c r="A359" s="9" t="s">
        <v>4608</v>
      </c>
      <c r="B359" s="10" t="s">
        <v>4582</v>
      </c>
      <c r="C359" s="10" t="s">
        <v>4595</v>
      </c>
      <c r="D359" s="10" t="s">
        <v>4609</v>
      </c>
      <c r="E359" s="10" t="s">
        <v>4610</v>
      </c>
      <c r="F359" s="10" t="s">
        <v>4611</v>
      </c>
      <c r="G359" s="10" t="s">
        <v>4612</v>
      </c>
      <c r="H359" s="9" t="s">
        <v>4613</v>
      </c>
      <c r="I359" s="10" t="s">
        <v>4614</v>
      </c>
      <c r="J359" s="10" t="s">
        <v>4615</v>
      </c>
      <c r="K359" s="10" t="s">
        <v>4603</v>
      </c>
      <c r="L359" s="10" t="s">
        <v>4616</v>
      </c>
      <c r="M359" s="9" t="s">
        <v>661</v>
      </c>
      <c r="N359" s="9" t="s">
        <v>662</v>
      </c>
      <c r="O359" s="10" t="s">
        <v>118</v>
      </c>
      <c r="P359" s="14" t="s">
        <v>74</v>
      </c>
      <c r="Q359" s="9" t="n">
        <v>4</v>
      </c>
      <c r="R359" s="9" t="s">
        <v>74</v>
      </c>
      <c r="S359" s="10" t="s">
        <v>4617</v>
      </c>
      <c r="T359" s="10" t="s">
        <v>4618</v>
      </c>
      <c r="U359" s="10" t="s">
        <v>4619</v>
      </c>
    </row>
    <row r="360" customFormat="false" ht="108" hidden="false" customHeight="true" outlineLevel="0" collapsed="false">
      <c r="A360" s="9" t="s">
        <v>4620</v>
      </c>
      <c r="B360" s="10" t="s">
        <v>4582</v>
      </c>
      <c r="C360" s="10" t="s">
        <v>4621</v>
      </c>
      <c r="D360" s="10" t="s">
        <v>4622</v>
      </c>
      <c r="E360" s="10" t="s">
        <v>4623</v>
      </c>
      <c r="F360" s="10" t="s">
        <v>4624</v>
      </c>
      <c r="G360" s="10" t="s">
        <v>4625</v>
      </c>
      <c r="H360" s="9" t="s">
        <v>4626</v>
      </c>
      <c r="I360" s="10" t="s">
        <v>4627</v>
      </c>
      <c r="J360" s="10" t="s">
        <v>4628</v>
      </c>
      <c r="K360" s="10" t="s">
        <v>4629</v>
      </c>
      <c r="L360" s="10" t="s">
        <v>4630</v>
      </c>
      <c r="M360" s="9" t="s">
        <v>661</v>
      </c>
      <c r="N360" s="9" t="s">
        <v>662</v>
      </c>
      <c r="O360" s="10" t="s">
        <v>118</v>
      </c>
      <c r="P360" s="12" t="s">
        <v>90</v>
      </c>
      <c r="Q360" s="9" t="n">
        <v>8</v>
      </c>
      <c r="R360" s="9" t="s">
        <v>119</v>
      </c>
      <c r="S360" s="10" t="s">
        <v>4631</v>
      </c>
      <c r="T360" s="10" t="s">
        <v>4632</v>
      </c>
      <c r="U360" s="10" t="s">
        <v>4633</v>
      </c>
    </row>
    <row r="361" customFormat="false" ht="108" hidden="true" customHeight="true" outlineLevel="0" collapsed="false">
      <c r="A361" s="9" t="s">
        <v>4634</v>
      </c>
      <c r="B361" s="10" t="s">
        <v>4582</v>
      </c>
      <c r="C361" s="10" t="s">
        <v>4635</v>
      </c>
      <c r="D361" s="10" t="s">
        <v>4636</v>
      </c>
      <c r="E361" s="10" t="s">
        <v>4637</v>
      </c>
      <c r="F361" s="10" t="s">
        <v>4638</v>
      </c>
      <c r="G361" s="10" t="s">
        <v>4639</v>
      </c>
      <c r="H361" s="9" t="s">
        <v>4640</v>
      </c>
      <c r="I361" s="10" t="s">
        <v>4641</v>
      </c>
      <c r="J361" s="10" t="s">
        <v>4642</v>
      </c>
      <c r="K361" s="10" t="s">
        <v>4643</v>
      </c>
      <c r="L361" s="10" t="s">
        <v>4644</v>
      </c>
      <c r="M361" s="9" t="s">
        <v>661</v>
      </c>
      <c r="N361" s="9" t="s">
        <v>662</v>
      </c>
      <c r="O361" s="10" t="s">
        <v>118</v>
      </c>
      <c r="P361" s="11" t="s">
        <v>73</v>
      </c>
      <c r="Q361" s="9" t="n">
        <v>9</v>
      </c>
      <c r="R361" s="9" t="s">
        <v>119</v>
      </c>
      <c r="S361" s="10" t="s">
        <v>4645</v>
      </c>
      <c r="T361" s="10" t="s">
        <v>4646</v>
      </c>
      <c r="U361" s="10" t="s">
        <v>4647</v>
      </c>
    </row>
    <row r="362" customFormat="false" ht="108" hidden="true" customHeight="true" outlineLevel="0" collapsed="false">
      <c r="A362" s="9" t="s">
        <v>4648</v>
      </c>
      <c r="B362" s="10" t="s">
        <v>4582</v>
      </c>
      <c r="C362" s="10" t="s">
        <v>4649</v>
      </c>
      <c r="D362" s="10" t="s">
        <v>4650</v>
      </c>
      <c r="E362" s="10" t="s">
        <v>4651</v>
      </c>
      <c r="F362" s="10" t="s">
        <v>4652</v>
      </c>
      <c r="G362" s="10" t="s">
        <v>4653</v>
      </c>
      <c r="H362" s="9" t="s">
        <v>4654</v>
      </c>
      <c r="I362" s="10" t="s">
        <v>4655</v>
      </c>
      <c r="J362" s="10" t="s">
        <v>4656</v>
      </c>
      <c r="K362" s="10" t="s">
        <v>4657</v>
      </c>
      <c r="L362" s="10" t="s">
        <v>4658</v>
      </c>
      <c r="M362" s="9" t="s">
        <v>661</v>
      </c>
      <c r="N362" s="9" t="s">
        <v>662</v>
      </c>
      <c r="O362" s="10" t="s">
        <v>118</v>
      </c>
      <c r="P362" s="14" t="s">
        <v>74</v>
      </c>
      <c r="Q362" s="9" t="n">
        <v>5</v>
      </c>
      <c r="R362" s="9" t="s">
        <v>74</v>
      </c>
      <c r="S362" s="10" t="s">
        <v>4659</v>
      </c>
      <c r="T362" s="10" t="s">
        <v>4660</v>
      </c>
      <c r="U362" s="10" t="s">
        <v>4661</v>
      </c>
    </row>
    <row r="363" customFormat="false" ht="108" hidden="true" customHeight="true" outlineLevel="0" collapsed="false">
      <c r="A363" s="9" t="s">
        <v>4662</v>
      </c>
      <c r="B363" s="10" t="s">
        <v>4582</v>
      </c>
      <c r="C363" s="10" t="s">
        <v>4663</v>
      </c>
      <c r="D363" s="10" t="s">
        <v>4664</v>
      </c>
      <c r="E363" s="10" t="s">
        <v>4665</v>
      </c>
      <c r="F363" s="10" t="s">
        <v>4666</v>
      </c>
      <c r="G363" s="10" t="s">
        <v>4667</v>
      </c>
      <c r="H363" s="9" t="s">
        <v>84</v>
      </c>
      <c r="I363" s="10" t="s">
        <v>4668</v>
      </c>
      <c r="J363" s="10" t="s">
        <v>4669</v>
      </c>
      <c r="K363" s="10" t="s">
        <v>4670</v>
      </c>
      <c r="L363" s="10" t="s">
        <v>4671</v>
      </c>
      <c r="M363" s="9" t="s">
        <v>661</v>
      </c>
      <c r="N363" s="9" t="s">
        <v>662</v>
      </c>
      <c r="O363" s="10" t="s">
        <v>1560</v>
      </c>
      <c r="P363" s="14" t="s">
        <v>74</v>
      </c>
      <c r="Q363" s="9" t="n">
        <v>5</v>
      </c>
      <c r="R363" s="9" t="s">
        <v>74</v>
      </c>
      <c r="S363" s="10" t="s">
        <v>4672</v>
      </c>
      <c r="T363" s="10" t="s">
        <v>4673</v>
      </c>
      <c r="U363" s="10" t="s">
        <v>4674</v>
      </c>
    </row>
    <row r="364" customFormat="false" ht="108" hidden="true" customHeight="true" outlineLevel="0" collapsed="false">
      <c r="A364" s="9" t="s">
        <v>4675</v>
      </c>
      <c r="B364" s="10" t="s">
        <v>4582</v>
      </c>
      <c r="C364" s="10" t="s">
        <v>4663</v>
      </c>
      <c r="D364" s="10" t="s">
        <v>4676</v>
      </c>
      <c r="E364" s="10" t="s">
        <v>4677</v>
      </c>
      <c r="F364" s="10" t="s">
        <v>4678</v>
      </c>
      <c r="G364" s="10" t="s">
        <v>4679</v>
      </c>
      <c r="H364" s="9" t="s">
        <v>4680</v>
      </c>
      <c r="I364" s="10" t="s">
        <v>4681</v>
      </c>
      <c r="J364" s="10" t="s">
        <v>4682</v>
      </c>
      <c r="K364" s="10" t="s">
        <v>4683</v>
      </c>
      <c r="L364" s="10" t="s">
        <v>4684</v>
      </c>
      <c r="M364" s="9" t="s">
        <v>661</v>
      </c>
      <c r="N364" s="9" t="s">
        <v>662</v>
      </c>
      <c r="O364" s="10" t="s">
        <v>72</v>
      </c>
      <c r="P364" s="13" t="s">
        <v>119</v>
      </c>
      <c r="Q364" s="9" t="n">
        <v>2</v>
      </c>
      <c r="R364" s="9" t="s">
        <v>90</v>
      </c>
      <c r="S364" s="10" t="s">
        <v>4685</v>
      </c>
      <c r="T364" s="10" t="s">
        <v>4686</v>
      </c>
      <c r="U364" s="10" t="s">
        <v>4687</v>
      </c>
    </row>
    <row r="365" customFormat="false" ht="108" hidden="false" customHeight="true" outlineLevel="0" collapsed="false">
      <c r="A365" s="9" t="s">
        <v>4688</v>
      </c>
      <c r="B365" s="10" t="s">
        <v>4582</v>
      </c>
      <c r="C365" s="10" t="s">
        <v>4689</v>
      </c>
      <c r="D365" s="10" t="s">
        <v>4690</v>
      </c>
      <c r="E365" s="10" t="s">
        <v>4691</v>
      </c>
      <c r="F365" s="10" t="s">
        <v>4692</v>
      </c>
      <c r="G365" s="10" t="s">
        <v>4693</v>
      </c>
      <c r="H365" s="9" t="s">
        <v>4694</v>
      </c>
      <c r="I365" s="10" t="s">
        <v>4695</v>
      </c>
      <c r="J365" s="10" t="s">
        <v>4696</v>
      </c>
      <c r="K365" s="10" t="s">
        <v>4683</v>
      </c>
      <c r="L365" s="10" t="s">
        <v>4697</v>
      </c>
      <c r="M365" s="9" t="s">
        <v>661</v>
      </c>
      <c r="N365" s="9" t="s">
        <v>662</v>
      </c>
      <c r="O365" s="10" t="s">
        <v>72</v>
      </c>
      <c r="P365" s="12" t="s">
        <v>90</v>
      </c>
      <c r="Q365" s="9" t="n">
        <v>7</v>
      </c>
      <c r="R365" s="9" t="s">
        <v>74</v>
      </c>
      <c r="S365" s="10" t="s">
        <v>4698</v>
      </c>
      <c r="T365" s="10" t="s">
        <v>4699</v>
      </c>
      <c r="U365" s="10" t="s">
        <v>4700</v>
      </c>
    </row>
    <row r="366" customFormat="false" ht="108" hidden="true" customHeight="true" outlineLevel="0" collapsed="false">
      <c r="A366" s="9" t="s">
        <v>4701</v>
      </c>
      <c r="B366" s="10" t="s">
        <v>4582</v>
      </c>
      <c r="C366" s="10" t="s">
        <v>4689</v>
      </c>
      <c r="D366" s="10" t="s">
        <v>4702</v>
      </c>
      <c r="E366" s="10" t="s">
        <v>4703</v>
      </c>
      <c r="F366" s="10" t="s">
        <v>4704</v>
      </c>
      <c r="G366" s="10" t="s">
        <v>4705</v>
      </c>
      <c r="H366" s="9" t="s">
        <v>4706</v>
      </c>
      <c r="I366" s="10" t="s">
        <v>4707</v>
      </c>
      <c r="J366" s="10" t="s">
        <v>4708</v>
      </c>
      <c r="K366" s="10" t="s">
        <v>4603</v>
      </c>
      <c r="L366" s="10" t="s">
        <v>4709</v>
      </c>
      <c r="M366" s="9" t="s">
        <v>661</v>
      </c>
      <c r="N366" s="9" t="s">
        <v>662</v>
      </c>
      <c r="O366" s="10" t="s">
        <v>118</v>
      </c>
      <c r="P366" s="13" t="s">
        <v>119</v>
      </c>
      <c r="Q366" s="9" t="n">
        <v>2</v>
      </c>
      <c r="R366" s="9" t="s">
        <v>90</v>
      </c>
      <c r="S366" s="10" t="s">
        <v>4710</v>
      </c>
      <c r="T366" s="10" t="s">
        <v>4711</v>
      </c>
      <c r="U366" s="10" t="s">
        <v>4712</v>
      </c>
    </row>
    <row r="367" customFormat="false" ht="108" hidden="true" customHeight="true" outlineLevel="0" collapsed="false">
      <c r="A367" s="9" t="s">
        <v>4713</v>
      </c>
      <c r="B367" s="10" t="s">
        <v>4582</v>
      </c>
      <c r="C367" s="10" t="s">
        <v>4714</v>
      </c>
      <c r="D367" s="10" t="s">
        <v>4715</v>
      </c>
      <c r="E367" s="10" t="s">
        <v>4716</v>
      </c>
      <c r="F367" s="10" t="s">
        <v>4717</v>
      </c>
      <c r="G367" s="10" t="s">
        <v>4718</v>
      </c>
      <c r="H367" s="9" t="s">
        <v>4719</v>
      </c>
      <c r="I367" s="10" t="s">
        <v>4720</v>
      </c>
      <c r="J367" s="10" t="s">
        <v>4721</v>
      </c>
      <c r="K367" s="10" t="s">
        <v>4722</v>
      </c>
      <c r="L367" s="10" t="s">
        <v>4723</v>
      </c>
      <c r="M367" s="9" t="s">
        <v>661</v>
      </c>
      <c r="N367" s="9" t="s">
        <v>662</v>
      </c>
      <c r="O367" s="10" t="s">
        <v>72</v>
      </c>
      <c r="P367" s="14" t="s">
        <v>74</v>
      </c>
      <c r="Q367" s="9" t="n">
        <v>4</v>
      </c>
      <c r="R367" s="9" t="s">
        <v>74</v>
      </c>
      <c r="S367" s="10" t="s">
        <v>4724</v>
      </c>
      <c r="T367" s="10" t="s">
        <v>4725</v>
      </c>
      <c r="U367" s="10" t="s">
        <v>4726</v>
      </c>
    </row>
    <row r="368" customFormat="false" ht="108" hidden="true" customHeight="true" outlineLevel="0" collapsed="false">
      <c r="A368" s="9" t="s">
        <v>4727</v>
      </c>
      <c r="B368" s="10" t="s">
        <v>4582</v>
      </c>
      <c r="C368" s="10" t="s">
        <v>4714</v>
      </c>
      <c r="D368" s="10" t="s">
        <v>4728</v>
      </c>
      <c r="E368" s="10" t="s">
        <v>4729</v>
      </c>
      <c r="F368" s="10" t="s">
        <v>4730</v>
      </c>
      <c r="G368" s="10" t="s">
        <v>4731</v>
      </c>
      <c r="H368" s="9" t="s">
        <v>4732</v>
      </c>
      <c r="I368" s="10" t="s">
        <v>4733</v>
      </c>
      <c r="J368" s="10" t="s">
        <v>4734</v>
      </c>
      <c r="K368" s="10" t="s">
        <v>4735</v>
      </c>
      <c r="L368" s="10" t="s">
        <v>4736</v>
      </c>
      <c r="M368" s="9" t="s">
        <v>821</v>
      </c>
      <c r="N368" s="9" t="s">
        <v>662</v>
      </c>
      <c r="O368" s="10" t="s">
        <v>72</v>
      </c>
      <c r="P368" s="13" t="s">
        <v>119</v>
      </c>
      <c r="Q368" s="9" t="n">
        <v>2</v>
      </c>
      <c r="R368" s="9" t="s">
        <v>90</v>
      </c>
      <c r="S368" s="10" t="s">
        <v>4737</v>
      </c>
      <c r="T368" s="10" t="s">
        <v>4738</v>
      </c>
      <c r="U368" s="10" t="s">
        <v>4739</v>
      </c>
    </row>
    <row r="369" customFormat="false" ht="108" hidden="false" customHeight="true" outlineLevel="0" collapsed="false">
      <c r="A369" s="9" t="s">
        <v>4740</v>
      </c>
      <c r="B369" s="10" t="s">
        <v>4582</v>
      </c>
      <c r="C369" s="10" t="s">
        <v>4741</v>
      </c>
      <c r="D369" s="10" t="s">
        <v>4742</v>
      </c>
      <c r="E369" s="10" t="s">
        <v>4743</v>
      </c>
      <c r="F369" s="10" t="s">
        <v>4744</v>
      </c>
      <c r="G369" s="10" t="s">
        <v>4745</v>
      </c>
      <c r="H369" s="9" t="s">
        <v>4746</v>
      </c>
      <c r="I369" s="10" t="s">
        <v>4747</v>
      </c>
      <c r="J369" s="10" t="s">
        <v>4748</v>
      </c>
      <c r="K369" s="10" t="s">
        <v>4749</v>
      </c>
      <c r="L369" s="10" t="s">
        <v>4750</v>
      </c>
      <c r="M369" s="9" t="s">
        <v>661</v>
      </c>
      <c r="N369" s="9" t="s">
        <v>662</v>
      </c>
      <c r="O369" s="10" t="s">
        <v>72</v>
      </c>
      <c r="P369" s="12" t="s">
        <v>90</v>
      </c>
      <c r="Q369" s="9" t="n">
        <v>7</v>
      </c>
      <c r="R369" s="9" t="s">
        <v>74</v>
      </c>
      <c r="S369" s="10" t="s">
        <v>4751</v>
      </c>
      <c r="T369" s="10" t="s">
        <v>4752</v>
      </c>
      <c r="U369" s="10" t="s">
        <v>4753</v>
      </c>
    </row>
    <row r="370" customFormat="false" ht="108" hidden="true" customHeight="true" outlineLevel="0" collapsed="false">
      <c r="A370" s="9" t="s">
        <v>4754</v>
      </c>
      <c r="B370" s="10" t="s">
        <v>4582</v>
      </c>
      <c r="C370" s="10" t="s">
        <v>4755</v>
      </c>
      <c r="D370" s="10" t="s">
        <v>4756</v>
      </c>
      <c r="E370" s="10" t="s">
        <v>4757</v>
      </c>
      <c r="F370" s="10" t="s">
        <v>4758</v>
      </c>
      <c r="G370" s="10" t="s">
        <v>4759</v>
      </c>
      <c r="H370" s="9" t="s">
        <v>4760</v>
      </c>
      <c r="I370" s="10" t="s">
        <v>4761</v>
      </c>
      <c r="J370" s="10" t="s">
        <v>4762</v>
      </c>
      <c r="K370" s="10" t="s">
        <v>4763</v>
      </c>
      <c r="L370" s="10" t="s">
        <v>4764</v>
      </c>
      <c r="M370" s="9" t="s">
        <v>70</v>
      </c>
      <c r="N370" s="9" t="s">
        <v>662</v>
      </c>
      <c r="O370" s="10" t="s">
        <v>118</v>
      </c>
      <c r="P370" s="14" t="s">
        <v>74</v>
      </c>
      <c r="Q370" s="9" t="n">
        <v>5</v>
      </c>
      <c r="R370" s="9" t="s">
        <v>74</v>
      </c>
      <c r="S370" s="10" t="s">
        <v>4765</v>
      </c>
      <c r="T370" s="10" t="s">
        <v>4766</v>
      </c>
      <c r="U370" s="10" t="s">
        <v>4767</v>
      </c>
    </row>
    <row r="371" customFormat="false" ht="108" hidden="true" customHeight="true" outlineLevel="0" collapsed="false">
      <c r="A371" s="9" t="s">
        <v>4768</v>
      </c>
      <c r="B371" s="10" t="s">
        <v>4582</v>
      </c>
      <c r="C371" s="10" t="s">
        <v>4769</v>
      </c>
      <c r="D371" s="10" t="s">
        <v>4770</v>
      </c>
      <c r="E371" s="10" t="s">
        <v>4771</v>
      </c>
      <c r="F371" s="10" t="s">
        <v>4772</v>
      </c>
      <c r="G371" s="10" t="s">
        <v>4773</v>
      </c>
      <c r="H371" s="9" t="s">
        <v>4774</v>
      </c>
      <c r="I371" s="10" t="s">
        <v>4775</v>
      </c>
      <c r="J371" s="10" t="s">
        <v>4776</v>
      </c>
      <c r="K371" s="10" t="s">
        <v>4777</v>
      </c>
      <c r="L371" s="10" t="s">
        <v>4778</v>
      </c>
      <c r="M371" s="9" t="s">
        <v>661</v>
      </c>
      <c r="N371" s="9" t="s">
        <v>662</v>
      </c>
      <c r="O371" s="10" t="s">
        <v>118</v>
      </c>
      <c r="P371" s="11" t="s">
        <v>73</v>
      </c>
      <c r="Q371" s="9" t="n">
        <v>9</v>
      </c>
      <c r="R371" s="9" t="s">
        <v>119</v>
      </c>
      <c r="S371" s="10" t="s">
        <v>4779</v>
      </c>
      <c r="T371" s="10" t="s">
        <v>4780</v>
      </c>
      <c r="U371" s="10" t="s">
        <v>4781</v>
      </c>
    </row>
    <row r="372" customFormat="false" ht="108" hidden="false" customHeight="true" outlineLevel="0" collapsed="false">
      <c r="A372" s="9" t="s">
        <v>4782</v>
      </c>
      <c r="B372" s="10" t="s">
        <v>4582</v>
      </c>
      <c r="C372" s="10" t="s">
        <v>4783</v>
      </c>
      <c r="D372" s="10" t="s">
        <v>4784</v>
      </c>
      <c r="E372" s="10" t="s">
        <v>4785</v>
      </c>
      <c r="F372" s="10" t="s">
        <v>4786</v>
      </c>
      <c r="G372" s="10" t="s">
        <v>4787</v>
      </c>
      <c r="H372" s="9" t="s">
        <v>4788</v>
      </c>
      <c r="I372" s="10" t="s">
        <v>4789</v>
      </c>
      <c r="J372" s="10" t="s">
        <v>4790</v>
      </c>
      <c r="K372" s="10" t="s">
        <v>4777</v>
      </c>
      <c r="L372" s="10" t="s">
        <v>4791</v>
      </c>
      <c r="M372" s="9" t="s">
        <v>661</v>
      </c>
      <c r="N372" s="9" t="s">
        <v>662</v>
      </c>
      <c r="O372" s="10" t="s">
        <v>118</v>
      </c>
      <c r="P372" s="12" t="s">
        <v>90</v>
      </c>
      <c r="Q372" s="9" t="n">
        <v>7</v>
      </c>
      <c r="R372" s="9" t="s">
        <v>74</v>
      </c>
      <c r="S372" s="10" t="s">
        <v>4792</v>
      </c>
      <c r="T372" s="10" t="s">
        <v>4793</v>
      </c>
      <c r="U372" s="10" t="s">
        <v>4794</v>
      </c>
    </row>
    <row r="373" customFormat="false" ht="108" hidden="false" customHeight="true" outlineLevel="0" collapsed="false">
      <c r="A373" s="9" t="s">
        <v>4795</v>
      </c>
      <c r="B373" s="10" t="s">
        <v>4582</v>
      </c>
      <c r="C373" s="10" t="s">
        <v>4783</v>
      </c>
      <c r="D373" s="10" t="s">
        <v>4796</v>
      </c>
      <c r="E373" s="10" t="s">
        <v>4797</v>
      </c>
      <c r="F373" s="10" t="s">
        <v>4798</v>
      </c>
      <c r="G373" s="10" t="s">
        <v>4799</v>
      </c>
      <c r="H373" s="9" t="s">
        <v>618</v>
      </c>
      <c r="I373" s="10" t="s">
        <v>4800</v>
      </c>
      <c r="J373" s="10" t="s">
        <v>4801</v>
      </c>
      <c r="K373" s="10" t="s">
        <v>4777</v>
      </c>
      <c r="L373" s="10" t="s">
        <v>4802</v>
      </c>
      <c r="M373" s="9" t="s">
        <v>661</v>
      </c>
      <c r="N373" s="9" t="s">
        <v>662</v>
      </c>
      <c r="O373" s="10" t="s">
        <v>118</v>
      </c>
      <c r="P373" s="12" t="s">
        <v>90</v>
      </c>
      <c r="Q373" s="9" t="n">
        <v>8</v>
      </c>
      <c r="R373" s="9" t="s">
        <v>74</v>
      </c>
      <c r="S373" s="10" t="s">
        <v>4803</v>
      </c>
      <c r="T373" s="10" t="s">
        <v>4804</v>
      </c>
      <c r="U373" s="10" t="s">
        <v>4805</v>
      </c>
    </row>
    <row r="374" customFormat="false" ht="108" hidden="true" customHeight="true" outlineLevel="0" collapsed="false">
      <c r="A374" s="9" t="s">
        <v>4806</v>
      </c>
      <c r="B374" s="10" t="s">
        <v>4582</v>
      </c>
      <c r="C374" s="10" t="s">
        <v>4783</v>
      </c>
      <c r="D374" s="10" t="s">
        <v>4807</v>
      </c>
      <c r="E374" s="10" t="s">
        <v>4808</v>
      </c>
      <c r="F374" s="10" t="s">
        <v>4809</v>
      </c>
      <c r="G374" s="10" t="s">
        <v>4810</v>
      </c>
      <c r="H374" s="9" t="s">
        <v>4811</v>
      </c>
      <c r="I374" s="10" t="s">
        <v>4812</v>
      </c>
      <c r="J374" s="10" t="s">
        <v>4813</v>
      </c>
      <c r="K374" s="10" t="s">
        <v>4777</v>
      </c>
      <c r="L374" s="10" t="s">
        <v>4814</v>
      </c>
      <c r="M374" s="9" t="s">
        <v>661</v>
      </c>
      <c r="N374" s="9" t="s">
        <v>662</v>
      </c>
      <c r="O374" s="10" t="s">
        <v>118</v>
      </c>
      <c r="P374" s="14" t="s">
        <v>74</v>
      </c>
      <c r="Q374" s="9" t="n">
        <v>5</v>
      </c>
      <c r="R374" s="9" t="s">
        <v>74</v>
      </c>
      <c r="S374" s="10" t="s">
        <v>4815</v>
      </c>
      <c r="T374" s="10" t="s">
        <v>4816</v>
      </c>
      <c r="U374" s="10" t="s">
        <v>4817</v>
      </c>
    </row>
    <row r="375" customFormat="false" ht="108" hidden="false" customHeight="true" outlineLevel="0" collapsed="false">
      <c r="A375" s="9" t="s">
        <v>4818</v>
      </c>
      <c r="B375" s="10" t="s">
        <v>4582</v>
      </c>
      <c r="C375" s="10" t="s">
        <v>4819</v>
      </c>
      <c r="D375" s="10" t="s">
        <v>4820</v>
      </c>
      <c r="E375" s="10" t="s">
        <v>4821</v>
      </c>
      <c r="F375" s="10" t="s">
        <v>4822</v>
      </c>
      <c r="G375" s="10" t="s">
        <v>4823</v>
      </c>
      <c r="H375" s="9" t="s">
        <v>4824</v>
      </c>
      <c r="I375" s="10" t="s">
        <v>4825</v>
      </c>
      <c r="J375" s="10" t="s">
        <v>4826</v>
      </c>
      <c r="K375" s="10" t="s">
        <v>4827</v>
      </c>
      <c r="L375" s="10" t="s">
        <v>4828</v>
      </c>
      <c r="M375" s="9" t="s">
        <v>661</v>
      </c>
      <c r="N375" s="9" t="s">
        <v>662</v>
      </c>
      <c r="O375" s="10" t="s">
        <v>118</v>
      </c>
      <c r="P375" s="12" t="s">
        <v>90</v>
      </c>
      <c r="Q375" s="9" t="n">
        <v>8</v>
      </c>
      <c r="R375" s="9" t="s">
        <v>74</v>
      </c>
      <c r="S375" s="10" t="s">
        <v>4829</v>
      </c>
      <c r="T375" s="10" t="s">
        <v>4830</v>
      </c>
      <c r="U375" s="10" t="s">
        <v>4831</v>
      </c>
    </row>
    <row r="376" customFormat="false" ht="108" hidden="false" customHeight="true" outlineLevel="0" collapsed="false">
      <c r="A376" s="9" t="s">
        <v>4832</v>
      </c>
      <c r="B376" s="10" t="s">
        <v>4582</v>
      </c>
      <c r="C376" s="10" t="s">
        <v>4819</v>
      </c>
      <c r="D376" s="10" t="s">
        <v>4833</v>
      </c>
      <c r="E376" s="10" t="s">
        <v>4834</v>
      </c>
      <c r="F376" s="10" t="s">
        <v>4835</v>
      </c>
      <c r="G376" s="10" t="s">
        <v>4836</v>
      </c>
      <c r="H376" s="9" t="s">
        <v>4837</v>
      </c>
      <c r="I376" s="10" t="s">
        <v>4838</v>
      </c>
      <c r="J376" s="10" t="s">
        <v>4839</v>
      </c>
      <c r="K376" s="10" t="s">
        <v>4840</v>
      </c>
      <c r="L376" s="10" t="s">
        <v>4841</v>
      </c>
      <c r="M376" s="9" t="s">
        <v>661</v>
      </c>
      <c r="N376" s="9" t="s">
        <v>662</v>
      </c>
      <c r="O376" s="10" t="s">
        <v>118</v>
      </c>
      <c r="P376" s="12" t="s">
        <v>90</v>
      </c>
      <c r="Q376" s="9" t="n">
        <v>8</v>
      </c>
      <c r="R376" s="9" t="s">
        <v>74</v>
      </c>
      <c r="S376" s="10" t="s">
        <v>4842</v>
      </c>
      <c r="T376" s="10" t="s">
        <v>4843</v>
      </c>
      <c r="U376" s="10" t="s">
        <v>4844</v>
      </c>
    </row>
    <row r="377" customFormat="false" ht="108" hidden="true" customHeight="true" outlineLevel="0" collapsed="false">
      <c r="A377" s="9" t="s">
        <v>4845</v>
      </c>
      <c r="B377" s="10" t="s">
        <v>4582</v>
      </c>
      <c r="C377" s="10" t="s">
        <v>4819</v>
      </c>
      <c r="D377" s="10" t="s">
        <v>4846</v>
      </c>
      <c r="E377" s="10" t="s">
        <v>4847</v>
      </c>
      <c r="F377" s="10" t="s">
        <v>4848</v>
      </c>
      <c r="G377" s="10" t="s">
        <v>4849</v>
      </c>
      <c r="H377" s="9" t="s">
        <v>4850</v>
      </c>
      <c r="I377" s="10" t="s">
        <v>4851</v>
      </c>
      <c r="J377" s="10" t="s">
        <v>4852</v>
      </c>
      <c r="K377" s="10" t="s">
        <v>4840</v>
      </c>
      <c r="L377" s="10" t="s">
        <v>4853</v>
      </c>
      <c r="M377" s="9" t="s">
        <v>661</v>
      </c>
      <c r="N377" s="9" t="s">
        <v>662</v>
      </c>
      <c r="O377" s="10" t="s">
        <v>118</v>
      </c>
      <c r="P377" s="11" t="s">
        <v>73</v>
      </c>
      <c r="Q377" s="9" t="n">
        <v>10</v>
      </c>
      <c r="R377" s="9" t="s">
        <v>119</v>
      </c>
      <c r="S377" s="10" t="s">
        <v>4854</v>
      </c>
      <c r="T377" s="10" t="s">
        <v>4855</v>
      </c>
      <c r="U377" s="10" t="s">
        <v>4856</v>
      </c>
    </row>
    <row r="378" customFormat="false" ht="108" hidden="true" customHeight="true" outlineLevel="0" collapsed="false">
      <c r="A378" s="9" t="s">
        <v>4857</v>
      </c>
      <c r="B378" s="10" t="s">
        <v>4582</v>
      </c>
      <c r="C378" s="10" t="s">
        <v>4858</v>
      </c>
      <c r="D378" s="10" t="s">
        <v>4859</v>
      </c>
      <c r="E378" s="10" t="s">
        <v>4860</v>
      </c>
      <c r="F378" s="10" t="s">
        <v>4861</v>
      </c>
      <c r="G378" s="10" t="s">
        <v>4862</v>
      </c>
      <c r="H378" s="9" t="s">
        <v>4863</v>
      </c>
      <c r="I378" s="10" t="s">
        <v>4864</v>
      </c>
      <c r="J378" s="10" t="s">
        <v>4865</v>
      </c>
      <c r="K378" s="10" t="s">
        <v>4777</v>
      </c>
      <c r="L378" s="10" t="s">
        <v>4866</v>
      </c>
      <c r="M378" s="9" t="s">
        <v>661</v>
      </c>
      <c r="N378" s="9" t="s">
        <v>662</v>
      </c>
      <c r="O378" s="10" t="s">
        <v>118</v>
      </c>
      <c r="P378" s="14" t="s">
        <v>74</v>
      </c>
      <c r="Q378" s="9" t="n">
        <v>5</v>
      </c>
      <c r="R378" s="9" t="s">
        <v>74</v>
      </c>
      <c r="S378" s="10" t="s">
        <v>4867</v>
      </c>
      <c r="T378" s="10" t="s">
        <v>4868</v>
      </c>
      <c r="U378" s="10" t="s">
        <v>4869</v>
      </c>
    </row>
    <row r="379" customFormat="false" ht="108" hidden="true" customHeight="true" outlineLevel="0" collapsed="false">
      <c r="A379" s="9" t="s">
        <v>4870</v>
      </c>
      <c r="B379" s="10" t="s">
        <v>4582</v>
      </c>
      <c r="C379" s="10" t="s">
        <v>4871</v>
      </c>
      <c r="D379" s="10" t="s">
        <v>4872</v>
      </c>
      <c r="E379" s="10" t="s">
        <v>4873</v>
      </c>
      <c r="F379" s="10" t="s">
        <v>4874</v>
      </c>
      <c r="G379" s="10" t="s">
        <v>4875</v>
      </c>
      <c r="H379" s="9" t="s">
        <v>4876</v>
      </c>
      <c r="I379" s="10" t="s">
        <v>4877</v>
      </c>
      <c r="J379" s="10" t="s">
        <v>4878</v>
      </c>
      <c r="K379" s="10" t="s">
        <v>4879</v>
      </c>
      <c r="L379" s="10" t="s">
        <v>4880</v>
      </c>
      <c r="M379" s="9" t="s">
        <v>661</v>
      </c>
      <c r="N379" s="9" t="s">
        <v>662</v>
      </c>
      <c r="O379" s="10" t="s">
        <v>118</v>
      </c>
      <c r="P379" s="14" t="s">
        <v>74</v>
      </c>
      <c r="Q379" s="9" t="n">
        <v>5</v>
      </c>
      <c r="R379" s="9" t="s">
        <v>90</v>
      </c>
      <c r="S379" s="10" t="s">
        <v>4881</v>
      </c>
      <c r="T379" s="10" t="s">
        <v>4882</v>
      </c>
      <c r="U379" s="10" t="s">
        <v>4883</v>
      </c>
    </row>
    <row r="380" customFormat="false" ht="108" hidden="true" customHeight="true" outlineLevel="0" collapsed="false">
      <c r="A380" s="9" t="s">
        <v>4884</v>
      </c>
      <c r="B380" s="10" t="s">
        <v>4582</v>
      </c>
      <c r="C380" s="10" t="s">
        <v>4885</v>
      </c>
      <c r="D380" s="10" t="s">
        <v>4886</v>
      </c>
      <c r="E380" s="10" t="s">
        <v>4887</v>
      </c>
      <c r="F380" s="10" t="s">
        <v>4888</v>
      </c>
      <c r="G380" s="10" t="s">
        <v>4889</v>
      </c>
      <c r="H380" s="9" t="s">
        <v>4890</v>
      </c>
      <c r="I380" s="10" t="s">
        <v>4891</v>
      </c>
      <c r="J380" s="10" t="s">
        <v>4892</v>
      </c>
      <c r="K380" s="10" t="s">
        <v>4893</v>
      </c>
      <c r="L380" s="10" t="s">
        <v>4894</v>
      </c>
      <c r="M380" s="9" t="s">
        <v>661</v>
      </c>
      <c r="N380" s="9" t="s">
        <v>662</v>
      </c>
      <c r="O380" s="10" t="s">
        <v>118</v>
      </c>
      <c r="P380" s="11" t="s">
        <v>73</v>
      </c>
      <c r="Q380" s="9" t="n">
        <v>9</v>
      </c>
      <c r="R380" s="9" t="s">
        <v>119</v>
      </c>
      <c r="S380" s="10" t="s">
        <v>4895</v>
      </c>
      <c r="T380" s="10" t="s">
        <v>4896</v>
      </c>
      <c r="U380" s="10" t="s">
        <v>4897</v>
      </c>
    </row>
    <row r="381" customFormat="false" ht="108" hidden="false" customHeight="true" outlineLevel="0" collapsed="false">
      <c r="A381" s="9" t="s">
        <v>4898</v>
      </c>
      <c r="B381" s="10" t="s">
        <v>4582</v>
      </c>
      <c r="C381" s="10" t="s">
        <v>4741</v>
      </c>
      <c r="D381" s="10" t="s">
        <v>4899</v>
      </c>
      <c r="E381" s="10" t="s">
        <v>4900</v>
      </c>
      <c r="F381" s="10" t="s">
        <v>4901</v>
      </c>
      <c r="G381" s="10" t="s">
        <v>4902</v>
      </c>
      <c r="H381" s="9" t="s">
        <v>4903</v>
      </c>
      <c r="I381" s="10" t="s">
        <v>4904</v>
      </c>
      <c r="J381" s="10" t="s">
        <v>4905</v>
      </c>
      <c r="K381" s="10" t="s">
        <v>4906</v>
      </c>
      <c r="L381" s="10" t="s">
        <v>4907</v>
      </c>
      <c r="M381" s="9" t="s">
        <v>661</v>
      </c>
      <c r="N381" s="9" t="s">
        <v>662</v>
      </c>
      <c r="O381" s="10" t="s">
        <v>118</v>
      </c>
      <c r="P381" s="12" t="s">
        <v>90</v>
      </c>
      <c r="Q381" s="9" t="n">
        <v>8</v>
      </c>
      <c r="R381" s="9" t="s">
        <v>74</v>
      </c>
      <c r="S381" s="10" t="s">
        <v>4908</v>
      </c>
      <c r="T381" s="10" t="s">
        <v>4909</v>
      </c>
      <c r="U381" s="10" t="s">
        <v>4910</v>
      </c>
    </row>
    <row r="382" customFormat="false" ht="108" hidden="true" customHeight="true" outlineLevel="0" collapsed="false">
      <c r="A382" s="9" t="s">
        <v>4911</v>
      </c>
      <c r="B382" s="10" t="s">
        <v>4582</v>
      </c>
      <c r="C382" s="10" t="s">
        <v>4871</v>
      </c>
      <c r="D382" s="10" t="s">
        <v>4912</v>
      </c>
      <c r="E382" s="10" t="s">
        <v>4913</v>
      </c>
      <c r="F382" s="10" t="s">
        <v>4914</v>
      </c>
      <c r="G382" s="10" t="s">
        <v>4915</v>
      </c>
      <c r="H382" s="9" t="s">
        <v>4916</v>
      </c>
      <c r="I382" s="10" t="s">
        <v>4917</v>
      </c>
      <c r="J382" s="10" t="s">
        <v>4918</v>
      </c>
      <c r="K382" s="10" t="s">
        <v>4919</v>
      </c>
      <c r="L382" s="10" t="s">
        <v>4920</v>
      </c>
      <c r="M382" s="9" t="s">
        <v>661</v>
      </c>
      <c r="N382" s="9" t="s">
        <v>117</v>
      </c>
      <c r="O382" s="10" t="s">
        <v>118</v>
      </c>
      <c r="P382" s="13" t="s">
        <v>119</v>
      </c>
      <c r="Q382" s="9" t="n">
        <v>2</v>
      </c>
      <c r="R382" s="9" t="s">
        <v>90</v>
      </c>
      <c r="S382" s="10" t="s">
        <v>4921</v>
      </c>
      <c r="T382" s="10" t="s">
        <v>4922</v>
      </c>
      <c r="U382" s="10" t="s">
        <v>4923</v>
      </c>
    </row>
    <row r="383" customFormat="false" ht="108" hidden="true" customHeight="true" outlineLevel="0" collapsed="false">
      <c r="A383" s="9" t="s">
        <v>4924</v>
      </c>
      <c r="B383" s="10" t="s">
        <v>4582</v>
      </c>
      <c r="C383" s="10" t="s">
        <v>4858</v>
      </c>
      <c r="D383" s="10" t="s">
        <v>4925</v>
      </c>
      <c r="E383" s="10" t="s">
        <v>4926</v>
      </c>
      <c r="F383" s="10" t="s">
        <v>4927</v>
      </c>
      <c r="G383" s="10" t="s">
        <v>4928</v>
      </c>
      <c r="H383" s="9" t="s">
        <v>4929</v>
      </c>
      <c r="I383" s="10" t="s">
        <v>4930</v>
      </c>
      <c r="J383" s="10" t="s">
        <v>4931</v>
      </c>
      <c r="K383" s="10" t="s">
        <v>4777</v>
      </c>
      <c r="L383" s="10" t="s">
        <v>4932</v>
      </c>
      <c r="M383" s="9" t="s">
        <v>661</v>
      </c>
      <c r="N383" s="9" t="s">
        <v>662</v>
      </c>
      <c r="O383" s="10" t="s">
        <v>118</v>
      </c>
      <c r="P383" s="14" t="s">
        <v>74</v>
      </c>
      <c r="Q383" s="9" t="n">
        <v>5</v>
      </c>
      <c r="R383" s="9" t="s">
        <v>74</v>
      </c>
      <c r="S383" s="10" t="s">
        <v>4933</v>
      </c>
      <c r="T383" s="10" t="s">
        <v>4934</v>
      </c>
      <c r="U383" s="10" t="s">
        <v>4935</v>
      </c>
    </row>
    <row r="384" customFormat="false" ht="108" hidden="false" customHeight="true" outlineLevel="0" collapsed="false">
      <c r="A384" s="9" t="s">
        <v>4936</v>
      </c>
      <c r="B384" s="10" t="s">
        <v>4582</v>
      </c>
      <c r="C384" s="10" t="s">
        <v>4621</v>
      </c>
      <c r="D384" s="10" t="s">
        <v>4937</v>
      </c>
      <c r="E384" s="10" t="s">
        <v>4938</v>
      </c>
      <c r="F384" s="10" t="s">
        <v>4939</v>
      </c>
      <c r="G384" s="10" t="s">
        <v>4940</v>
      </c>
      <c r="H384" s="9" t="s">
        <v>618</v>
      </c>
      <c r="I384" s="10" t="s">
        <v>4941</v>
      </c>
      <c r="J384" s="10" t="s">
        <v>4942</v>
      </c>
      <c r="K384" s="10" t="s">
        <v>4943</v>
      </c>
      <c r="L384" s="10" t="s">
        <v>4944</v>
      </c>
      <c r="M384" s="9" t="s">
        <v>661</v>
      </c>
      <c r="N384" s="9" t="s">
        <v>662</v>
      </c>
      <c r="O384" s="10" t="s">
        <v>118</v>
      </c>
      <c r="P384" s="12" t="s">
        <v>90</v>
      </c>
      <c r="Q384" s="9" t="n">
        <v>8</v>
      </c>
      <c r="R384" s="9" t="s">
        <v>119</v>
      </c>
      <c r="S384" s="10" t="s">
        <v>4945</v>
      </c>
      <c r="T384" s="10" t="s">
        <v>4946</v>
      </c>
      <c r="U384" s="10" t="s">
        <v>4947</v>
      </c>
    </row>
    <row r="385" customFormat="false" ht="108" hidden="true" customHeight="true" outlineLevel="0" collapsed="false">
      <c r="A385" s="9" t="s">
        <v>4948</v>
      </c>
      <c r="B385" s="10" t="s">
        <v>4949</v>
      </c>
      <c r="C385" s="10" t="s">
        <v>4950</v>
      </c>
      <c r="D385" s="10" t="s">
        <v>4951</v>
      </c>
      <c r="E385" s="10" t="s">
        <v>4952</v>
      </c>
      <c r="F385" s="10" t="s">
        <v>4953</v>
      </c>
      <c r="G385" s="10" t="s">
        <v>4954</v>
      </c>
      <c r="H385" s="9" t="s">
        <v>4955</v>
      </c>
      <c r="I385" s="10" t="s">
        <v>4956</v>
      </c>
      <c r="J385" s="10" t="s">
        <v>4957</v>
      </c>
      <c r="K385" s="10" t="s">
        <v>4958</v>
      </c>
      <c r="L385" s="10" t="s">
        <v>4959</v>
      </c>
      <c r="M385" s="9" t="s">
        <v>677</v>
      </c>
      <c r="N385" s="9" t="s">
        <v>71</v>
      </c>
      <c r="O385" s="10" t="s">
        <v>118</v>
      </c>
      <c r="P385" s="11" t="s">
        <v>73</v>
      </c>
      <c r="Q385" s="9" t="n">
        <v>10</v>
      </c>
      <c r="R385" s="9" t="s">
        <v>74</v>
      </c>
      <c r="S385" s="10" t="s">
        <v>4960</v>
      </c>
      <c r="T385" s="10" t="s">
        <v>4961</v>
      </c>
      <c r="U385" s="10" t="s">
        <v>4962</v>
      </c>
    </row>
    <row r="386" customFormat="false" ht="108" hidden="false" customHeight="true" outlineLevel="0" collapsed="false">
      <c r="A386" s="9" t="s">
        <v>4963</v>
      </c>
      <c r="B386" s="10" t="s">
        <v>4949</v>
      </c>
      <c r="C386" s="10" t="s">
        <v>4964</v>
      </c>
      <c r="D386" s="10" t="s">
        <v>4965</v>
      </c>
      <c r="E386" s="10" t="s">
        <v>4966</v>
      </c>
      <c r="F386" s="10" t="s">
        <v>4967</v>
      </c>
      <c r="G386" s="10" t="s">
        <v>4968</v>
      </c>
      <c r="H386" s="9" t="s">
        <v>4969</v>
      </c>
      <c r="I386" s="10" t="s">
        <v>4970</v>
      </c>
      <c r="J386" s="10" t="s">
        <v>4971</v>
      </c>
      <c r="K386" s="10" t="s">
        <v>4972</v>
      </c>
      <c r="L386" s="10" t="s">
        <v>4973</v>
      </c>
      <c r="M386" s="9" t="s">
        <v>769</v>
      </c>
      <c r="N386" s="9" t="s">
        <v>274</v>
      </c>
      <c r="O386" s="10" t="s">
        <v>118</v>
      </c>
      <c r="P386" s="12" t="s">
        <v>90</v>
      </c>
      <c r="Q386" s="9" t="n">
        <v>7</v>
      </c>
      <c r="R386" s="9" t="s">
        <v>90</v>
      </c>
      <c r="S386" s="10" t="s">
        <v>4974</v>
      </c>
      <c r="T386" s="10" t="s">
        <v>4975</v>
      </c>
      <c r="U386" s="10" t="s">
        <v>4976</v>
      </c>
    </row>
    <row r="387" customFormat="false" ht="108" hidden="true" customHeight="true" outlineLevel="0" collapsed="false">
      <c r="A387" s="9" t="s">
        <v>4977</v>
      </c>
      <c r="B387" s="10" t="s">
        <v>4949</v>
      </c>
      <c r="C387" s="10" t="s">
        <v>4978</v>
      </c>
      <c r="D387" s="10" t="s">
        <v>4979</v>
      </c>
      <c r="E387" s="10" t="s">
        <v>4980</v>
      </c>
      <c r="F387" s="10" t="s">
        <v>4981</v>
      </c>
      <c r="G387" s="10" t="s">
        <v>4982</v>
      </c>
      <c r="H387" s="9" t="s">
        <v>4983</v>
      </c>
      <c r="I387" s="10" t="s">
        <v>4984</v>
      </c>
      <c r="J387" s="10" t="s">
        <v>4985</v>
      </c>
      <c r="K387" s="10" t="s">
        <v>1468</v>
      </c>
      <c r="L387" s="10" t="s">
        <v>4986</v>
      </c>
      <c r="M387" s="9" t="s">
        <v>769</v>
      </c>
      <c r="N387" s="9" t="s">
        <v>274</v>
      </c>
      <c r="O387" s="10" t="s">
        <v>118</v>
      </c>
      <c r="P387" s="11" t="s">
        <v>73</v>
      </c>
      <c r="Q387" s="9" t="n">
        <v>9</v>
      </c>
      <c r="R387" s="9" t="s">
        <v>119</v>
      </c>
      <c r="S387" s="10" t="s">
        <v>4987</v>
      </c>
      <c r="T387" s="10" t="s">
        <v>4988</v>
      </c>
      <c r="U387" s="10" t="s">
        <v>4989</v>
      </c>
    </row>
    <row r="388" customFormat="false" ht="108" hidden="false" customHeight="true" outlineLevel="0" collapsed="false">
      <c r="A388" s="9" t="s">
        <v>4990</v>
      </c>
      <c r="B388" s="10" t="s">
        <v>4949</v>
      </c>
      <c r="C388" s="10" t="s">
        <v>4991</v>
      </c>
      <c r="D388" s="10" t="s">
        <v>4992</v>
      </c>
      <c r="E388" s="10" t="s">
        <v>4993</v>
      </c>
      <c r="F388" s="10" t="s">
        <v>4994</v>
      </c>
      <c r="G388" s="10" t="s">
        <v>4995</v>
      </c>
      <c r="H388" s="9" t="s">
        <v>4996</v>
      </c>
      <c r="I388" s="10" t="s">
        <v>4997</v>
      </c>
      <c r="J388" s="10" t="s">
        <v>4998</v>
      </c>
      <c r="K388" s="10" t="s">
        <v>4999</v>
      </c>
      <c r="L388" s="10" t="s">
        <v>5000</v>
      </c>
      <c r="M388" s="9" t="s">
        <v>769</v>
      </c>
      <c r="N388" s="9" t="s">
        <v>274</v>
      </c>
      <c r="O388" s="10" t="s">
        <v>118</v>
      </c>
      <c r="P388" s="12" t="s">
        <v>90</v>
      </c>
      <c r="Q388" s="9" t="n">
        <v>8</v>
      </c>
      <c r="R388" s="9" t="s">
        <v>119</v>
      </c>
      <c r="S388" s="10" t="s">
        <v>5001</v>
      </c>
      <c r="T388" s="10" t="s">
        <v>5002</v>
      </c>
      <c r="U388" s="10" t="s">
        <v>5003</v>
      </c>
    </row>
    <row r="389" customFormat="false" ht="108" hidden="true" customHeight="true" outlineLevel="0" collapsed="false">
      <c r="A389" s="9" t="s">
        <v>5004</v>
      </c>
      <c r="B389" s="10" t="s">
        <v>4949</v>
      </c>
      <c r="C389" s="10" t="s">
        <v>5005</v>
      </c>
      <c r="D389" s="10" t="s">
        <v>5006</v>
      </c>
      <c r="E389" s="10" t="s">
        <v>5007</v>
      </c>
      <c r="F389" s="10" t="s">
        <v>5008</v>
      </c>
      <c r="G389" s="10" t="s">
        <v>5009</v>
      </c>
      <c r="H389" s="9" t="s">
        <v>5010</v>
      </c>
      <c r="I389" s="10" t="s">
        <v>5011</v>
      </c>
      <c r="J389" s="10" t="s">
        <v>5012</v>
      </c>
      <c r="K389" s="10" t="s">
        <v>2553</v>
      </c>
      <c r="L389" s="10" t="s">
        <v>5013</v>
      </c>
      <c r="M389" s="9" t="s">
        <v>677</v>
      </c>
      <c r="N389" s="9" t="s">
        <v>71</v>
      </c>
      <c r="O389" s="10" t="s">
        <v>3115</v>
      </c>
      <c r="P389" s="11" t="s">
        <v>73</v>
      </c>
      <c r="Q389" s="9" t="n">
        <v>9</v>
      </c>
      <c r="R389" s="9" t="s">
        <v>119</v>
      </c>
      <c r="S389" s="10" t="s">
        <v>5014</v>
      </c>
      <c r="T389" s="10" t="s">
        <v>5015</v>
      </c>
      <c r="U389" s="10" t="s">
        <v>5016</v>
      </c>
    </row>
    <row r="390" customFormat="false" ht="108" hidden="false" customHeight="true" outlineLevel="0" collapsed="false">
      <c r="A390" s="9" t="s">
        <v>5017</v>
      </c>
      <c r="B390" s="10" t="s">
        <v>4949</v>
      </c>
      <c r="C390" s="10" t="s">
        <v>5018</v>
      </c>
      <c r="D390" s="10" t="s">
        <v>5019</v>
      </c>
      <c r="E390" s="10" t="s">
        <v>5020</v>
      </c>
      <c r="F390" s="10" t="s">
        <v>5021</v>
      </c>
      <c r="G390" s="10" t="s">
        <v>5022</v>
      </c>
      <c r="H390" s="9" t="s">
        <v>5023</v>
      </c>
      <c r="I390" s="10" t="s">
        <v>5024</v>
      </c>
      <c r="J390" s="10" t="s">
        <v>5025</v>
      </c>
      <c r="K390" s="10" t="s">
        <v>5026</v>
      </c>
      <c r="L390" s="10" t="s">
        <v>5027</v>
      </c>
      <c r="M390" s="9" t="s">
        <v>769</v>
      </c>
      <c r="N390" s="9" t="s">
        <v>274</v>
      </c>
      <c r="O390" s="10" t="s">
        <v>72</v>
      </c>
      <c r="P390" s="12" t="s">
        <v>90</v>
      </c>
      <c r="Q390" s="9" t="n">
        <v>7</v>
      </c>
      <c r="R390" s="9" t="s">
        <v>74</v>
      </c>
      <c r="S390" s="10" t="s">
        <v>5028</v>
      </c>
      <c r="T390" s="10" t="s">
        <v>5029</v>
      </c>
      <c r="U390" s="10" t="s">
        <v>5030</v>
      </c>
    </row>
    <row r="391" customFormat="false" ht="108" hidden="false" customHeight="true" outlineLevel="0" collapsed="false">
      <c r="A391" s="9" t="s">
        <v>5031</v>
      </c>
      <c r="B391" s="10" t="s">
        <v>4949</v>
      </c>
      <c r="C391" s="10" t="s">
        <v>5032</v>
      </c>
      <c r="D391" s="10" t="s">
        <v>5033</v>
      </c>
      <c r="E391" s="10" t="s">
        <v>5034</v>
      </c>
      <c r="F391" s="10" t="s">
        <v>5035</v>
      </c>
      <c r="G391" s="10" t="s">
        <v>5036</v>
      </c>
      <c r="H391" s="9" t="s">
        <v>5037</v>
      </c>
      <c r="I391" s="10" t="s">
        <v>5038</v>
      </c>
      <c r="J391" s="10" t="s">
        <v>5039</v>
      </c>
      <c r="K391" s="10" t="s">
        <v>1069</v>
      </c>
      <c r="L391" s="10" t="s">
        <v>5040</v>
      </c>
      <c r="M391" s="9" t="s">
        <v>821</v>
      </c>
      <c r="N391" s="9" t="s">
        <v>71</v>
      </c>
      <c r="O391" s="10" t="s">
        <v>1228</v>
      </c>
      <c r="P391" s="12" t="s">
        <v>90</v>
      </c>
      <c r="Q391" s="9" t="n">
        <v>7</v>
      </c>
      <c r="R391" s="9" t="s">
        <v>74</v>
      </c>
      <c r="S391" s="10" t="s">
        <v>5041</v>
      </c>
      <c r="T391" s="10" t="s">
        <v>5042</v>
      </c>
      <c r="U391" s="10" t="s">
        <v>5043</v>
      </c>
    </row>
    <row r="392" customFormat="false" ht="108" hidden="false" customHeight="true" outlineLevel="0" collapsed="false">
      <c r="A392" s="9" t="s">
        <v>5044</v>
      </c>
      <c r="B392" s="10" t="s">
        <v>4949</v>
      </c>
      <c r="C392" s="10" t="s">
        <v>5045</v>
      </c>
      <c r="D392" s="10" t="s">
        <v>5046</v>
      </c>
      <c r="E392" s="10" t="s">
        <v>5047</v>
      </c>
      <c r="F392" s="10" t="s">
        <v>5048</v>
      </c>
      <c r="G392" s="10" t="s">
        <v>5049</v>
      </c>
      <c r="H392" s="9" t="s">
        <v>5050</v>
      </c>
      <c r="I392" s="10" t="s">
        <v>5051</v>
      </c>
      <c r="J392" s="10" t="s">
        <v>5052</v>
      </c>
      <c r="K392" s="10" t="s">
        <v>5053</v>
      </c>
      <c r="L392" s="10" t="s">
        <v>5054</v>
      </c>
      <c r="M392" s="9" t="s">
        <v>2696</v>
      </c>
      <c r="N392" s="9" t="s">
        <v>274</v>
      </c>
      <c r="O392" s="10" t="s">
        <v>118</v>
      </c>
      <c r="P392" s="12" t="s">
        <v>90</v>
      </c>
      <c r="Q392" s="9" t="n">
        <v>6</v>
      </c>
      <c r="R392" s="9" t="s">
        <v>90</v>
      </c>
      <c r="S392" s="10" t="s">
        <v>5055</v>
      </c>
      <c r="T392" s="10" t="s">
        <v>5056</v>
      </c>
      <c r="U392" s="10" t="s">
        <v>5057</v>
      </c>
    </row>
    <row r="393" customFormat="false" ht="108" hidden="true" customHeight="true" outlineLevel="0" collapsed="false">
      <c r="A393" s="9" t="s">
        <v>5058</v>
      </c>
      <c r="B393" s="10" t="s">
        <v>4949</v>
      </c>
      <c r="C393" s="10" t="s">
        <v>5059</v>
      </c>
      <c r="D393" s="10" t="s">
        <v>5060</v>
      </c>
      <c r="E393" s="10" t="s">
        <v>5061</v>
      </c>
      <c r="F393" s="10" t="s">
        <v>5062</v>
      </c>
      <c r="G393" s="10" t="s">
        <v>5063</v>
      </c>
      <c r="H393" s="9" t="s">
        <v>1053</v>
      </c>
      <c r="I393" s="10" t="s">
        <v>5064</v>
      </c>
      <c r="J393" s="10" t="s">
        <v>5065</v>
      </c>
      <c r="K393" s="10" t="s">
        <v>5066</v>
      </c>
      <c r="L393" s="10" t="s">
        <v>5067</v>
      </c>
      <c r="M393" s="9" t="s">
        <v>821</v>
      </c>
      <c r="N393" s="9" t="s">
        <v>117</v>
      </c>
      <c r="O393" s="10" t="s">
        <v>118</v>
      </c>
      <c r="P393" s="14" t="s">
        <v>74</v>
      </c>
      <c r="Q393" s="9" t="n">
        <v>5</v>
      </c>
      <c r="R393" s="9" t="s">
        <v>74</v>
      </c>
      <c r="S393" s="10" t="s">
        <v>5068</v>
      </c>
      <c r="T393" s="10" t="s">
        <v>5069</v>
      </c>
      <c r="U393" s="10" t="s">
        <v>5070</v>
      </c>
    </row>
    <row r="394" customFormat="false" ht="108" hidden="true" customHeight="true" outlineLevel="0" collapsed="false">
      <c r="A394" s="9" t="s">
        <v>5071</v>
      </c>
      <c r="B394" s="10" t="s">
        <v>4949</v>
      </c>
      <c r="C394" s="10" t="s">
        <v>5072</v>
      </c>
      <c r="D394" s="10" t="s">
        <v>5073</v>
      </c>
      <c r="E394" s="10" t="s">
        <v>5074</v>
      </c>
      <c r="F394" s="10" t="s">
        <v>5075</v>
      </c>
      <c r="G394" s="10" t="s">
        <v>5076</v>
      </c>
      <c r="H394" s="9" t="s">
        <v>5077</v>
      </c>
      <c r="I394" s="10" t="s">
        <v>5078</v>
      </c>
      <c r="J394" s="10" t="s">
        <v>5079</v>
      </c>
      <c r="K394" s="10" t="s">
        <v>5080</v>
      </c>
      <c r="L394" s="10" t="s">
        <v>5081</v>
      </c>
      <c r="M394" s="9" t="s">
        <v>821</v>
      </c>
      <c r="N394" s="9" t="s">
        <v>117</v>
      </c>
      <c r="O394" s="10" t="s">
        <v>118</v>
      </c>
      <c r="P394" s="14" t="s">
        <v>74</v>
      </c>
      <c r="Q394" s="9" t="n">
        <v>4</v>
      </c>
      <c r="R394" s="9" t="s">
        <v>74</v>
      </c>
      <c r="S394" s="10" t="s">
        <v>5082</v>
      </c>
      <c r="T394" s="10" t="s">
        <v>5083</v>
      </c>
      <c r="U394" s="10" t="s">
        <v>5084</v>
      </c>
    </row>
    <row r="395" customFormat="false" ht="108" hidden="true" customHeight="true" outlineLevel="0" collapsed="false">
      <c r="A395" s="9" t="s">
        <v>5085</v>
      </c>
      <c r="B395" s="10" t="s">
        <v>4949</v>
      </c>
      <c r="C395" s="10" t="s">
        <v>5086</v>
      </c>
      <c r="D395" s="10" t="s">
        <v>5087</v>
      </c>
      <c r="E395" s="10" t="s">
        <v>5088</v>
      </c>
      <c r="F395" s="10" t="s">
        <v>5089</v>
      </c>
      <c r="G395" s="10" t="s">
        <v>5090</v>
      </c>
      <c r="H395" s="9" t="s">
        <v>84</v>
      </c>
      <c r="I395" s="10" t="s">
        <v>5091</v>
      </c>
      <c r="J395" s="10" t="s">
        <v>5092</v>
      </c>
      <c r="K395" s="10" t="s">
        <v>5093</v>
      </c>
      <c r="L395" s="10" t="s">
        <v>5094</v>
      </c>
      <c r="M395" s="9" t="s">
        <v>821</v>
      </c>
      <c r="N395" s="9" t="s">
        <v>662</v>
      </c>
      <c r="O395" s="10" t="s">
        <v>118</v>
      </c>
      <c r="P395" s="14" t="s">
        <v>74</v>
      </c>
      <c r="Q395" s="9" t="n">
        <v>3</v>
      </c>
      <c r="R395" s="9" t="s">
        <v>90</v>
      </c>
      <c r="S395" s="10" t="s">
        <v>5095</v>
      </c>
      <c r="T395" s="10" t="s">
        <v>5096</v>
      </c>
      <c r="U395" s="10" t="s">
        <v>5097</v>
      </c>
    </row>
    <row r="396" customFormat="false" ht="108" hidden="true" customHeight="true" outlineLevel="0" collapsed="false">
      <c r="A396" s="9" t="s">
        <v>5098</v>
      </c>
      <c r="B396" s="10" t="s">
        <v>4949</v>
      </c>
      <c r="C396" s="10" t="s">
        <v>5099</v>
      </c>
      <c r="D396" s="10" t="s">
        <v>5100</v>
      </c>
      <c r="E396" s="10" t="s">
        <v>5101</v>
      </c>
      <c r="F396" s="10" t="s">
        <v>5102</v>
      </c>
      <c r="G396" s="10" t="s">
        <v>5103</v>
      </c>
      <c r="H396" s="9" t="s">
        <v>5104</v>
      </c>
      <c r="I396" s="10" t="s">
        <v>5105</v>
      </c>
      <c r="J396" s="10" t="s">
        <v>5106</v>
      </c>
      <c r="K396" s="10" t="s">
        <v>5107</v>
      </c>
      <c r="L396" s="10" t="s">
        <v>5108</v>
      </c>
      <c r="M396" s="9" t="s">
        <v>677</v>
      </c>
      <c r="N396" s="9" t="s">
        <v>71</v>
      </c>
      <c r="O396" s="10" t="s">
        <v>118</v>
      </c>
      <c r="P396" s="11" t="s">
        <v>73</v>
      </c>
      <c r="Q396" s="9" t="n">
        <v>9</v>
      </c>
      <c r="R396" s="9" t="s">
        <v>119</v>
      </c>
      <c r="S396" s="10" t="s">
        <v>5109</v>
      </c>
      <c r="T396" s="10" t="s">
        <v>5110</v>
      </c>
      <c r="U396" s="10" t="s">
        <v>5111</v>
      </c>
    </row>
    <row r="397" customFormat="false" ht="108" hidden="false" customHeight="true" outlineLevel="0" collapsed="false">
      <c r="A397" s="9" t="s">
        <v>5112</v>
      </c>
      <c r="B397" s="10" t="s">
        <v>4949</v>
      </c>
      <c r="C397" s="10" t="s">
        <v>5113</v>
      </c>
      <c r="D397" s="10" t="s">
        <v>5114</v>
      </c>
      <c r="E397" s="10" t="s">
        <v>5115</v>
      </c>
      <c r="F397" s="10" t="s">
        <v>5116</v>
      </c>
      <c r="G397" s="10" t="s">
        <v>5117</v>
      </c>
      <c r="H397" s="9" t="s">
        <v>5118</v>
      </c>
      <c r="I397" s="10" t="s">
        <v>5119</v>
      </c>
      <c r="J397" s="10" t="s">
        <v>5120</v>
      </c>
      <c r="K397" s="10" t="s">
        <v>5121</v>
      </c>
      <c r="L397" s="10" t="s">
        <v>5122</v>
      </c>
      <c r="M397" s="9" t="s">
        <v>769</v>
      </c>
      <c r="N397" s="9" t="s">
        <v>274</v>
      </c>
      <c r="O397" s="10" t="s">
        <v>118</v>
      </c>
      <c r="P397" s="12" t="s">
        <v>90</v>
      </c>
      <c r="Q397" s="9" t="n">
        <v>8</v>
      </c>
      <c r="R397" s="9" t="s">
        <v>119</v>
      </c>
      <c r="S397" s="10" t="s">
        <v>5123</v>
      </c>
      <c r="T397" s="10" t="s">
        <v>5124</v>
      </c>
      <c r="U397" s="10" t="s">
        <v>5125</v>
      </c>
    </row>
    <row r="398" customFormat="false" ht="108" hidden="false" customHeight="true" outlineLevel="0" collapsed="false">
      <c r="A398" s="9" t="s">
        <v>5126</v>
      </c>
      <c r="B398" s="10" t="s">
        <v>4949</v>
      </c>
      <c r="C398" s="10" t="s">
        <v>5127</v>
      </c>
      <c r="D398" s="10" t="s">
        <v>5128</v>
      </c>
      <c r="E398" s="10" t="s">
        <v>5129</v>
      </c>
      <c r="F398" s="10" t="s">
        <v>5130</v>
      </c>
      <c r="G398" s="10" t="s">
        <v>5131</v>
      </c>
      <c r="H398" s="9" t="s">
        <v>5132</v>
      </c>
      <c r="I398" s="10" t="s">
        <v>5133</v>
      </c>
      <c r="J398" s="10" t="s">
        <v>5134</v>
      </c>
      <c r="K398" s="10" t="s">
        <v>5135</v>
      </c>
      <c r="L398" s="10" t="s">
        <v>5136</v>
      </c>
      <c r="M398" s="9" t="s">
        <v>661</v>
      </c>
      <c r="N398" s="9" t="s">
        <v>662</v>
      </c>
      <c r="O398" s="10" t="s">
        <v>118</v>
      </c>
      <c r="P398" s="12" t="s">
        <v>90</v>
      </c>
      <c r="Q398" s="9" t="n">
        <v>6</v>
      </c>
      <c r="R398" s="9" t="s">
        <v>74</v>
      </c>
      <c r="S398" s="10" t="s">
        <v>5137</v>
      </c>
      <c r="T398" s="10" t="s">
        <v>5138</v>
      </c>
      <c r="U398" s="10" t="s">
        <v>5139</v>
      </c>
    </row>
    <row r="399" customFormat="false" ht="108" hidden="true" customHeight="true" outlineLevel="0" collapsed="false">
      <c r="A399" s="9" t="s">
        <v>5140</v>
      </c>
      <c r="B399" s="10" t="s">
        <v>4949</v>
      </c>
      <c r="C399" s="10" t="s">
        <v>5141</v>
      </c>
      <c r="D399" s="10" t="s">
        <v>5142</v>
      </c>
      <c r="E399" s="10" t="s">
        <v>5143</v>
      </c>
      <c r="F399" s="10" t="s">
        <v>5144</v>
      </c>
      <c r="G399" s="10" t="s">
        <v>5145</v>
      </c>
      <c r="H399" s="9" t="s">
        <v>5146</v>
      </c>
      <c r="I399" s="10" t="s">
        <v>5147</v>
      </c>
      <c r="J399" s="10" t="s">
        <v>5148</v>
      </c>
      <c r="K399" s="10" t="s">
        <v>5149</v>
      </c>
      <c r="L399" s="10" t="s">
        <v>5150</v>
      </c>
      <c r="M399" s="9" t="s">
        <v>769</v>
      </c>
      <c r="N399" s="9" t="s">
        <v>274</v>
      </c>
      <c r="O399" s="10" t="s">
        <v>118</v>
      </c>
      <c r="P399" s="14" t="s">
        <v>74</v>
      </c>
      <c r="Q399" s="9" t="n">
        <v>5</v>
      </c>
      <c r="R399" s="9" t="s">
        <v>74</v>
      </c>
      <c r="S399" s="10" t="s">
        <v>5151</v>
      </c>
      <c r="T399" s="10" t="s">
        <v>5152</v>
      </c>
      <c r="U399" s="10" t="s">
        <v>5153</v>
      </c>
    </row>
    <row r="400" customFormat="false" ht="108" hidden="true" customHeight="true" outlineLevel="0" collapsed="false">
      <c r="A400" s="9" t="s">
        <v>5154</v>
      </c>
      <c r="B400" s="10" t="s">
        <v>4949</v>
      </c>
      <c r="C400" s="10" t="s">
        <v>5155</v>
      </c>
      <c r="D400" s="10" t="s">
        <v>5156</v>
      </c>
      <c r="E400" s="10" t="s">
        <v>5157</v>
      </c>
      <c r="F400" s="10" t="s">
        <v>5158</v>
      </c>
      <c r="G400" s="10" t="s">
        <v>5159</v>
      </c>
      <c r="H400" s="9" t="s">
        <v>5160</v>
      </c>
      <c r="I400" s="10" t="s">
        <v>5161</v>
      </c>
      <c r="J400" s="10" t="s">
        <v>5162</v>
      </c>
      <c r="K400" s="10" t="s">
        <v>5163</v>
      </c>
      <c r="L400" s="10" t="s">
        <v>2225</v>
      </c>
      <c r="M400" s="9" t="s">
        <v>70</v>
      </c>
      <c r="N400" s="9" t="s">
        <v>117</v>
      </c>
      <c r="O400" s="10" t="s">
        <v>118</v>
      </c>
      <c r="P400" s="13" t="s">
        <v>119</v>
      </c>
      <c r="Q400" s="9" t="n">
        <v>2</v>
      </c>
      <c r="R400" s="9" t="s">
        <v>90</v>
      </c>
      <c r="S400" s="10" t="s">
        <v>5164</v>
      </c>
      <c r="T400" s="10" t="s">
        <v>5165</v>
      </c>
      <c r="U400" s="10" t="s">
        <v>5166</v>
      </c>
    </row>
    <row r="401" customFormat="false" ht="108" hidden="true" customHeight="true" outlineLevel="0" collapsed="false">
      <c r="A401" s="9" t="s">
        <v>5167</v>
      </c>
      <c r="B401" s="10" t="s">
        <v>4949</v>
      </c>
      <c r="C401" s="10" t="s">
        <v>5168</v>
      </c>
      <c r="D401" s="10" t="s">
        <v>5169</v>
      </c>
      <c r="E401" s="10" t="s">
        <v>5170</v>
      </c>
      <c r="F401" s="10" t="s">
        <v>5171</v>
      </c>
      <c r="G401" s="10" t="s">
        <v>5172</v>
      </c>
      <c r="H401" s="9" t="s">
        <v>5173</v>
      </c>
      <c r="I401" s="10" t="s">
        <v>5174</v>
      </c>
      <c r="J401" s="10" t="s">
        <v>5175</v>
      </c>
      <c r="K401" s="10" t="s">
        <v>5149</v>
      </c>
      <c r="L401" s="10" t="s">
        <v>5176</v>
      </c>
      <c r="M401" s="9" t="s">
        <v>821</v>
      </c>
      <c r="N401" s="9" t="s">
        <v>274</v>
      </c>
      <c r="O401" s="10" t="s">
        <v>118</v>
      </c>
      <c r="P401" s="14" t="s">
        <v>74</v>
      </c>
      <c r="Q401" s="9" t="n">
        <v>4</v>
      </c>
      <c r="R401" s="9" t="s">
        <v>74</v>
      </c>
      <c r="S401" s="10" t="s">
        <v>5177</v>
      </c>
      <c r="T401" s="10" t="s">
        <v>5178</v>
      </c>
      <c r="U401" s="10" t="s">
        <v>5179</v>
      </c>
    </row>
    <row r="402" customFormat="false" ht="108" hidden="false" customHeight="true" outlineLevel="0" collapsed="false">
      <c r="A402" s="9" t="s">
        <v>5180</v>
      </c>
      <c r="B402" s="10" t="s">
        <v>4949</v>
      </c>
      <c r="C402" s="10" t="s">
        <v>5181</v>
      </c>
      <c r="D402" s="10" t="s">
        <v>5182</v>
      </c>
      <c r="E402" s="10" t="s">
        <v>5183</v>
      </c>
      <c r="F402" s="10" t="s">
        <v>5184</v>
      </c>
      <c r="G402" s="10" t="s">
        <v>5185</v>
      </c>
      <c r="H402" s="9" t="s">
        <v>5186</v>
      </c>
      <c r="I402" s="10" t="s">
        <v>5187</v>
      </c>
      <c r="J402" s="10" t="s">
        <v>5188</v>
      </c>
      <c r="K402" s="10" t="s">
        <v>5149</v>
      </c>
      <c r="L402" s="10" t="s">
        <v>5189</v>
      </c>
      <c r="M402" s="9" t="s">
        <v>2696</v>
      </c>
      <c r="N402" s="9" t="s">
        <v>274</v>
      </c>
      <c r="O402" s="10" t="s">
        <v>118</v>
      </c>
      <c r="P402" s="12" t="s">
        <v>90</v>
      </c>
      <c r="Q402" s="9" t="n">
        <v>7</v>
      </c>
      <c r="R402" s="9" t="s">
        <v>74</v>
      </c>
      <c r="S402" s="10" t="s">
        <v>5190</v>
      </c>
      <c r="T402" s="10" t="s">
        <v>5191</v>
      </c>
      <c r="U402" s="10" t="s">
        <v>5192</v>
      </c>
    </row>
    <row r="403" customFormat="false" ht="108" hidden="true" customHeight="true" outlineLevel="0" collapsed="false">
      <c r="A403" s="9" t="s">
        <v>5193</v>
      </c>
      <c r="B403" s="10" t="s">
        <v>4949</v>
      </c>
      <c r="C403" s="10" t="s">
        <v>5194</v>
      </c>
      <c r="D403" s="10" t="s">
        <v>5195</v>
      </c>
      <c r="E403" s="10" t="s">
        <v>5196</v>
      </c>
      <c r="F403" s="10" t="s">
        <v>5197</v>
      </c>
      <c r="G403" s="10" t="s">
        <v>5198</v>
      </c>
      <c r="H403" s="9" t="s">
        <v>5199</v>
      </c>
      <c r="I403" s="10" t="s">
        <v>5200</v>
      </c>
      <c r="J403" s="10" t="s">
        <v>5201</v>
      </c>
      <c r="K403" s="10" t="s">
        <v>5202</v>
      </c>
      <c r="L403" s="10" t="s">
        <v>5203</v>
      </c>
      <c r="M403" s="9" t="s">
        <v>821</v>
      </c>
      <c r="N403" s="9" t="s">
        <v>274</v>
      </c>
      <c r="O403" s="10" t="s">
        <v>118</v>
      </c>
      <c r="P403" s="13" t="s">
        <v>119</v>
      </c>
      <c r="Q403" s="9" t="n">
        <v>2</v>
      </c>
      <c r="R403" s="9" t="s">
        <v>90</v>
      </c>
      <c r="S403" s="10" t="s">
        <v>5204</v>
      </c>
      <c r="T403" s="10" t="s">
        <v>5205</v>
      </c>
      <c r="U403" s="10" t="s">
        <v>5206</v>
      </c>
    </row>
    <row r="404" customFormat="false" ht="108" hidden="true" customHeight="true" outlineLevel="0" collapsed="false">
      <c r="A404" s="9" t="s">
        <v>5207</v>
      </c>
      <c r="B404" s="10" t="s">
        <v>4949</v>
      </c>
      <c r="C404" s="10" t="s">
        <v>5208</v>
      </c>
      <c r="D404" s="10" t="s">
        <v>5209</v>
      </c>
      <c r="E404" s="10" t="s">
        <v>5210</v>
      </c>
      <c r="F404" s="10" t="s">
        <v>5211</v>
      </c>
      <c r="G404" s="10" t="s">
        <v>5212</v>
      </c>
      <c r="H404" s="9" t="s">
        <v>5213</v>
      </c>
      <c r="I404" s="10" t="s">
        <v>5214</v>
      </c>
      <c r="J404" s="10" t="s">
        <v>5215</v>
      </c>
      <c r="K404" s="10" t="s">
        <v>5216</v>
      </c>
      <c r="L404" s="10" t="s">
        <v>2225</v>
      </c>
      <c r="M404" s="9" t="s">
        <v>912</v>
      </c>
      <c r="N404" s="9" t="s">
        <v>274</v>
      </c>
      <c r="O404" s="10" t="s">
        <v>118</v>
      </c>
      <c r="P404" s="14" t="s">
        <v>74</v>
      </c>
      <c r="Q404" s="9" t="n">
        <v>4</v>
      </c>
      <c r="R404" s="9" t="s">
        <v>90</v>
      </c>
      <c r="S404" s="10" t="s">
        <v>5217</v>
      </c>
      <c r="T404" s="10" t="s">
        <v>5218</v>
      </c>
      <c r="U404" s="10" t="s">
        <v>5219</v>
      </c>
    </row>
    <row r="405" customFormat="false" ht="108" hidden="true" customHeight="true" outlineLevel="0" collapsed="false">
      <c r="A405" s="9" t="s">
        <v>5220</v>
      </c>
      <c r="B405" s="10" t="s">
        <v>4949</v>
      </c>
      <c r="C405" s="10" t="s">
        <v>5221</v>
      </c>
      <c r="D405" s="10" t="s">
        <v>5222</v>
      </c>
      <c r="E405" s="10" t="s">
        <v>5223</v>
      </c>
      <c r="F405" s="10" t="s">
        <v>5224</v>
      </c>
      <c r="G405" s="10" t="s">
        <v>5225</v>
      </c>
      <c r="H405" s="9" t="s">
        <v>5226</v>
      </c>
      <c r="I405" s="10" t="s">
        <v>5227</v>
      </c>
      <c r="J405" s="10" t="s">
        <v>5228</v>
      </c>
      <c r="K405" s="10" t="s">
        <v>5229</v>
      </c>
      <c r="L405" s="10" t="s">
        <v>2225</v>
      </c>
      <c r="M405" s="9" t="s">
        <v>821</v>
      </c>
      <c r="N405" s="9" t="s">
        <v>274</v>
      </c>
      <c r="O405" s="10" t="s">
        <v>118</v>
      </c>
      <c r="P405" s="13" t="s">
        <v>119</v>
      </c>
      <c r="Q405" s="9" t="n">
        <v>1</v>
      </c>
      <c r="R405" s="9" t="s">
        <v>90</v>
      </c>
      <c r="S405" s="10" t="s">
        <v>5230</v>
      </c>
      <c r="T405" s="10" t="s">
        <v>5231</v>
      </c>
      <c r="U405" s="10" t="s">
        <v>5232</v>
      </c>
    </row>
    <row r="406" customFormat="false" ht="108" hidden="false" customHeight="true" outlineLevel="0" collapsed="false">
      <c r="A406" s="9" t="s">
        <v>5233</v>
      </c>
      <c r="B406" s="10" t="s">
        <v>4949</v>
      </c>
      <c r="C406" s="10" t="s">
        <v>5234</v>
      </c>
      <c r="D406" s="10" t="s">
        <v>5235</v>
      </c>
      <c r="E406" s="10" t="s">
        <v>5236</v>
      </c>
      <c r="F406" s="10" t="s">
        <v>5237</v>
      </c>
      <c r="G406" s="10" t="s">
        <v>5238</v>
      </c>
      <c r="H406" s="9" t="s">
        <v>5239</v>
      </c>
      <c r="I406" s="10" t="s">
        <v>5240</v>
      </c>
      <c r="J406" s="10" t="s">
        <v>5241</v>
      </c>
      <c r="K406" s="10" t="s">
        <v>5242</v>
      </c>
      <c r="L406" s="10" t="s">
        <v>5243</v>
      </c>
      <c r="M406" s="9" t="s">
        <v>70</v>
      </c>
      <c r="N406" s="9" t="s">
        <v>117</v>
      </c>
      <c r="O406" s="10" t="s">
        <v>118</v>
      </c>
      <c r="P406" s="12" t="s">
        <v>90</v>
      </c>
      <c r="Q406" s="9" t="n">
        <v>6</v>
      </c>
      <c r="R406" s="9" t="s">
        <v>74</v>
      </c>
      <c r="S406" s="10" t="s">
        <v>5244</v>
      </c>
      <c r="T406" s="10" t="s">
        <v>5245</v>
      </c>
      <c r="U406" s="10" t="s">
        <v>5246</v>
      </c>
    </row>
    <row r="407" customFormat="false" ht="108" hidden="false" customHeight="true" outlineLevel="0" collapsed="false">
      <c r="A407" s="9" t="s">
        <v>5247</v>
      </c>
      <c r="B407" s="10" t="s">
        <v>4949</v>
      </c>
      <c r="C407" s="10" t="s">
        <v>5248</v>
      </c>
      <c r="D407" s="10" t="s">
        <v>5249</v>
      </c>
      <c r="E407" s="10" t="s">
        <v>5250</v>
      </c>
      <c r="F407" s="10" t="s">
        <v>5251</v>
      </c>
      <c r="G407" s="10" t="s">
        <v>5252</v>
      </c>
      <c r="H407" s="9" t="s">
        <v>5239</v>
      </c>
      <c r="I407" s="10" t="s">
        <v>5253</v>
      </c>
      <c r="J407" s="10" t="s">
        <v>5254</v>
      </c>
      <c r="K407" s="10" t="s">
        <v>5255</v>
      </c>
      <c r="L407" s="10" t="s">
        <v>5256</v>
      </c>
      <c r="M407" s="9" t="s">
        <v>661</v>
      </c>
      <c r="N407" s="9" t="s">
        <v>662</v>
      </c>
      <c r="O407" s="10" t="s">
        <v>118</v>
      </c>
      <c r="P407" s="12" t="s">
        <v>90</v>
      </c>
      <c r="Q407" s="9" t="n">
        <v>7</v>
      </c>
      <c r="R407" s="9" t="s">
        <v>119</v>
      </c>
      <c r="S407" s="10" t="s">
        <v>5257</v>
      </c>
      <c r="T407" s="10" t="s">
        <v>5258</v>
      </c>
      <c r="U407" s="10" t="s">
        <v>5259</v>
      </c>
    </row>
    <row r="408" customFormat="false" ht="108" hidden="true" customHeight="true" outlineLevel="0" collapsed="false">
      <c r="A408" s="9" t="s">
        <v>5260</v>
      </c>
      <c r="B408" s="10" t="s">
        <v>4949</v>
      </c>
      <c r="C408" s="10" t="s">
        <v>5261</v>
      </c>
      <c r="D408" s="10" t="s">
        <v>5262</v>
      </c>
      <c r="E408" s="10" t="s">
        <v>5263</v>
      </c>
      <c r="F408" s="10" t="s">
        <v>5264</v>
      </c>
      <c r="G408" s="10" t="s">
        <v>5265</v>
      </c>
      <c r="H408" s="9" t="s">
        <v>5266</v>
      </c>
      <c r="I408" s="10" t="s">
        <v>5267</v>
      </c>
      <c r="J408" s="10" t="s">
        <v>5268</v>
      </c>
      <c r="K408" s="10" t="s">
        <v>5269</v>
      </c>
      <c r="L408" s="10" t="s">
        <v>5270</v>
      </c>
      <c r="M408" s="9" t="s">
        <v>70</v>
      </c>
      <c r="N408" s="9" t="s">
        <v>117</v>
      </c>
      <c r="O408" s="10" t="s">
        <v>118</v>
      </c>
      <c r="P408" s="14" t="s">
        <v>74</v>
      </c>
      <c r="Q408" s="9" t="n">
        <v>5</v>
      </c>
      <c r="R408" s="9" t="s">
        <v>74</v>
      </c>
      <c r="S408" s="10" t="s">
        <v>5271</v>
      </c>
      <c r="T408" s="10" t="s">
        <v>5272</v>
      </c>
      <c r="U408" s="10" t="s">
        <v>5273</v>
      </c>
    </row>
    <row r="409" customFormat="false" ht="108" hidden="true" customHeight="true" outlineLevel="0" collapsed="false">
      <c r="A409" s="9" t="s">
        <v>5274</v>
      </c>
      <c r="B409" s="10" t="s">
        <v>4949</v>
      </c>
      <c r="C409" s="10" t="s">
        <v>5275</v>
      </c>
      <c r="D409" s="10" t="s">
        <v>5276</v>
      </c>
      <c r="E409" s="10" t="s">
        <v>5277</v>
      </c>
      <c r="F409" s="10" t="s">
        <v>5278</v>
      </c>
      <c r="G409" s="10" t="s">
        <v>5279</v>
      </c>
      <c r="H409" s="9" t="s">
        <v>5280</v>
      </c>
      <c r="I409" s="10" t="s">
        <v>5281</v>
      </c>
      <c r="J409" s="10" t="s">
        <v>5282</v>
      </c>
      <c r="K409" s="10" t="s">
        <v>5283</v>
      </c>
      <c r="L409" s="10" t="s">
        <v>5284</v>
      </c>
      <c r="M409" s="9" t="s">
        <v>912</v>
      </c>
      <c r="N409" s="9" t="s">
        <v>71</v>
      </c>
      <c r="O409" s="10" t="s">
        <v>89</v>
      </c>
      <c r="P409" s="13" t="s">
        <v>119</v>
      </c>
      <c r="Q409" s="9" t="n">
        <v>2</v>
      </c>
      <c r="R409" s="9" t="s">
        <v>90</v>
      </c>
      <c r="S409" s="10" t="s">
        <v>5285</v>
      </c>
      <c r="T409" s="10" t="s">
        <v>5286</v>
      </c>
      <c r="U409" s="10" t="s">
        <v>5287</v>
      </c>
    </row>
    <row r="410" customFormat="false" ht="108" hidden="true" customHeight="true" outlineLevel="0" collapsed="false">
      <c r="A410" s="9" t="s">
        <v>5288</v>
      </c>
      <c r="B410" s="10" t="s">
        <v>4949</v>
      </c>
      <c r="C410" s="10" t="s">
        <v>5289</v>
      </c>
      <c r="D410" s="10" t="s">
        <v>5290</v>
      </c>
      <c r="E410" s="10" t="s">
        <v>5291</v>
      </c>
      <c r="F410" s="10" t="s">
        <v>5292</v>
      </c>
      <c r="G410" s="10" t="s">
        <v>5293</v>
      </c>
      <c r="H410" s="9" t="s">
        <v>65</v>
      </c>
      <c r="I410" s="10" t="s">
        <v>5294</v>
      </c>
      <c r="J410" s="10" t="s">
        <v>5295</v>
      </c>
      <c r="K410" s="10" t="s">
        <v>5296</v>
      </c>
      <c r="L410" s="10" t="s">
        <v>5297</v>
      </c>
      <c r="M410" s="9" t="s">
        <v>70</v>
      </c>
      <c r="N410" s="9" t="s">
        <v>117</v>
      </c>
      <c r="O410" s="10" t="s">
        <v>118</v>
      </c>
      <c r="P410" s="14" t="s">
        <v>74</v>
      </c>
      <c r="Q410" s="9" t="n">
        <v>5</v>
      </c>
      <c r="R410" s="9" t="s">
        <v>74</v>
      </c>
      <c r="S410" s="10" t="s">
        <v>5298</v>
      </c>
      <c r="T410" s="10" t="s">
        <v>5299</v>
      </c>
      <c r="U410" s="10" t="s">
        <v>5300</v>
      </c>
    </row>
  </sheetData>
  <autoFilter ref="A3:U410">
    <filterColumn colId="15">
      <filters>
        <filter val="High"/>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42"/>
    <col collapsed="false" customWidth="true" hidden="false" outlineLevel="0" max="2" min="2" style="1" width="13"/>
    <col collapsed="false" customWidth="true" hidden="false" outlineLevel="0" max="3" min="3" style="1" width="34"/>
    <col collapsed="false" customWidth="true" hidden="false" outlineLevel="0" max="4" min="4" style="1" width="44"/>
    <col collapsed="false" customWidth="true" hidden="false" outlineLevel="0" max="5" min="5" style="1" width="30"/>
  </cols>
  <sheetData>
    <row r="1" customFormat="false" ht="18" hidden="false" customHeight="true" outlineLevel="0" collapsed="false">
      <c r="A1" s="7" t="s">
        <v>5301</v>
      </c>
    </row>
    <row r="2" customFormat="false" ht="15" hidden="false" customHeight="true" outlineLevel="0" collapsed="false">
      <c r="A2" s="3" t="s">
        <v>5302</v>
      </c>
    </row>
    <row r="3" customFormat="false" ht="25.5" hidden="false" customHeight="true" outlineLevel="0" collapsed="false">
      <c r="A3" s="8" t="s">
        <v>5303</v>
      </c>
      <c r="B3" s="8" t="s">
        <v>5304</v>
      </c>
      <c r="C3" s="8" t="s">
        <v>5305</v>
      </c>
      <c r="D3" s="8" t="s">
        <v>5306</v>
      </c>
      <c r="E3" s="8" t="s">
        <v>5307</v>
      </c>
    </row>
    <row r="4" customFormat="false" ht="25.5" hidden="false" customHeight="true" outlineLevel="0" collapsed="false">
      <c r="A4" s="10" t="s">
        <v>5308</v>
      </c>
      <c r="B4" s="15" t="n">
        <v>68</v>
      </c>
      <c r="C4" s="10" t="s">
        <v>5309</v>
      </c>
      <c r="D4" s="10" t="s">
        <v>5310</v>
      </c>
      <c r="E4" s="10" t="s">
        <v>5311</v>
      </c>
    </row>
    <row r="5" customFormat="false" ht="25.5" hidden="false" customHeight="true" outlineLevel="0" collapsed="false">
      <c r="A5" s="10" t="s">
        <v>5312</v>
      </c>
      <c r="B5" s="15" t="n">
        <v>33</v>
      </c>
      <c r="C5" s="10" t="s">
        <v>5313</v>
      </c>
      <c r="D5" s="10" t="s">
        <v>5314</v>
      </c>
      <c r="E5" s="10" t="s">
        <v>5315</v>
      </c>
    </row>
    <row r="6" customFormat="false" ht="25.5" hidden="false" customHeight="true" outlineLevel="0" collapsed="false">
      <c r="A6" s="10" t="s">
        <v>5316</v>
      </c>
      <c r="B6" s="15" t="n">
        <v>29</v>
      </c>
      <c r="C6" s="10" t="s">
        <v>5317</v>
      </c>
      <c r="D6" s="10" t="s">
        <v>5318</v>
      </c>
      <c r="E6" s="10" t="s">
        <v>5319</v>
      </c>
    </row>
    <row r="7" customFormat="false" ht="25.5" hidden="false" customHeight="true" outlineLevel="0" collapsed="false">
      <c r="A7" s="10" t="s">
        <v>5320</v>
      </c>
      <c r="B7" s="15" t="n">
        <v>17</v>
      </c>
      <c r="C7" s="10" t="s">
        <v>3291</v>
      </c>
      <c r="D7" s="10" t="s">
        <v>5321</v>
      </c>
      <c r="E7" s="10" t="s">
        <v>5322</v>
      </c>
    </row>
    <row r="8" customFormat="false" ht="25.5" hidden="false" customHeight="true" outlineLevel="0" collapsed="false">
      <c r="A8" s="10" t="s">
        <v>5323</v>
      </c>
      <c r="B8" s="15" t="n">
        <v>14</v>
      </c>
      <c r="C8" s="10" t="s">
        <v>5324</v>
      </c>
      <c r="D8" s="10" t="s">
        <v>5325</v>
      </c>
      <c r="E8" s="10" t="s">
        <v>5326</v>
      </c>
    </row>
    <row r="9" customFormat="false" ht="25.5" hidden="false" customHeight="true" outlineLevel="0" collapsed="false">
      <c r="A9" s="10" t="s">
        <v>5327</v>
      </c>
      <c r="B9" s="15" t="n">
        <v>10</v>
      </c>
      <c r="C9" s="10" t="s">
        <v>5328</v>
      </c>
      <c r="D9" s="10" t="s">
        <v>5329</v>
      </c>
      <c r="E9" s="10" t="s">
        <v>5330</v>
      </c>
    </row>
    <row r="10" customFormat="false" ht="25.5" hidden="false" customHeight="true" outlineLevel="0" collapsed="false">
      <c r="A10" s="10" t="s">
        <v>5331</v>
      </c>
      <c r="B10" s="15" t="n">
        <v>9</v>
      </c>
      <c r="C10" s="10" t="s">
        <v>5332</v>
      </c>
      <c r="D10" s="10" t="s">
        <v>5333</v>
      </c>
      <c r="E10" s="10" t="s">
        <v>5334</v>
      </c>
    </row>
    <row r="11" customFormat="false" ht="25.5" hidden="false" customHeight="true" outlineLevel="0" collapsed="false">
      <c r="A11" s="10" t="s">
        <v>5335</v>
      </c>
      <c r="B11" s="15" t="n">
        <v>9</v>
      </c>
      <c r="C11" s="10" t="s">
        <v>5336</v>
      </c>
      <c r="D11" s="10" t="s">
        <v>5337</v>
      </c>
      <c r="E11" s="10" t="s">
        <v>5338</v>
      </c>
    </row>
    <row r="12" customFormat="false" ht="25.5" hidden="false" customHeight="true" outlineLevel="0" collapsed="false">
      <c r="A12" s="10" t="s">
        <v>5339</v>
      </c>
      <c r="B12" s="15" t="n">
        <v>9</v>
      </c>
      <c r="C12" s="10" t="s">
        <v>5340</v>
      </c>
      <c r="D12" s="10" t="s">
        <v>5341</v>
      </c>
      <c r="E12" s="10" t="s">
        <v>5342</v>
      </c>
    </row>
    <row r="13" customFormat="false" ht="25.5" hidden="false" customHeight="true" outlineLevel="0" collapsed="false">
      <c r="A13" s="10" t="s">
        <v>5343</v>
      </c>
      <c r="B13" s="15" t="n">
        <v>8</v>
      </c>
      <c r="C13" s="10" t="s">
        <v>5344</v>
      </c>
      <c r="D13" s="10" t="s">
        <v>5345</v>
      </c>
      <c r="E13" s="10" t="s">
        <v>5346</v>
      </c>
    </row>
    <row r="14" customFormat="false" ht="25.5" hidden="false" customHeight="true" outlineLevel="0" collapsed="false">
      <c r="A14" s="10" t="s">
        <v>5347</v>
      </c>
      <c r="B14" s="15" t="n">
        <v>7</v>
      </c>
      <c r="C14" s="10" t="s">
        <v>5348</v>
      </c>
      <c r="D14" s="10" t="s">
        <v>5349</v>
      </c>
      <c r="E14" s="10" t="s">
        <v>5350</v>
      </c>
    </row>
    <row r="15" customFormat="false" ht="25.5" hidden="false" customHeight="true" outlineLevel="0" collapsed="false">
      <c r="A15" s="10" t="s">
        <v>5351</v>
      </c>
      <c r="B15" s="15" t="n">
        <v>6</v>
      </c>
      <c r="C15" s="10" t="s">
        <v>1500</v>
      </c>
      <c r="D15" s="10" t="s">
        <v>5352</v>
      </c>
      <c r="E15" s="10" t="s">
        <v>5353</v>
      </c>
    </row>
    <row r="16" customFormat="false" ht="25.5" hidden="false" customHeight="true" outlineLevel="0" collapsed="false">
      <c r="A16" s="10" t="s">
        <v>5354</v>
      </c>
      <c r="B16" s="15" t="n">
        <v>6</v>
      </c>
      <c r="C16" s="10" t="s">
        <v>1500</v>
      </c>
      <c r="D16" s="10" t="s">
        <v>5355</v>
      </c>
      <c r="E16" s="10" t="s">
        <v>5356</v>
      </c>
    </row>
    <row r="17" customFormat="false" ht="25.5" hidden="false" customHeight="true" outlineLevel="0" collapsed="false">
      <c r="A17" s="10" t="s">
        <v>5357</v>
      </c>
      <c r="B17" s="15" t="n">
        <v>6</v>
      </c>
      <c r="C17" s="10" t="s">
        <v>5358</v>
      </c>
      <c r="D17" s="10" t="s">
        <v>5359</v>
      </c>
      <c r="E17" s="10" t="s">
        <v>5360</v>
      </c>
    </row>
    <row r="18" customFormat="false" ht="25.5" hidden="false" customHeight="true" outlineLevel="0" collapsed="false">
      <c r="A18" s="10" t="s">
        <v>5361</v>
      </c>
      <c r="B18" s="15" t="n">
        <v>6</v>
      </c>
      <c r="C18" s="10" t="s">
        <v>2140</v>
      </c>
      <c r="D18" s="10" t="s">
        <v>5362</v>
      </c>
      <c r="E18" s="10" t="s">
        <v>5363</v>
      </c>
    </row>
    <row r="19" customFormat="false" ht="25.5" hidden="false" customHeight="true" outlineLevel="0" collapsed="false">
      <c r="A19" s="10" t="s">
        <v>5364</v>
      </c>
      <c r="B19" s="15" t="n">
        <v>5</v>
      </c>
      <c r="C19" s="10" t="s">
        <v>5365</v>
      </c>
      <c r="D19" s="10" t="s">
        <v>5366</v>
      </c>
      <c r="E19" s="10" t="s">
        <v>5367</v>
      </c>
    </row>
    <row r="20" customFormat="false" ht="25.5" hidden="false" customHeight="true" outlineLevel="0" collapsed="false">
      <c r="A20" s="10" t="s">
        <v>5368</v>
      </c>
      <c r="B20" s="15" t="n">
        <v>5</v>
      </c>
      <c r="C20" s="10" t="s">
        <v>5369</v>
      </c>
      <c r="D20" s="10" t="s">
        <v>5370</v>
      </c>
      <c r="E20" s="10" t="s">
        <v>5371</v>
      </c>
    </row>
    <row r="21" customFormat="false" ht="25.5" hidden="false" customHeight="true" outlineLevel="0" collapsed="false">
      <c r="A21" s="10" t="s">
        <v>5372</v>
      </c>
      <c r="B21" s="15" t="n">
        <v>5</v>
      </c>
      <c r="C21" s="10" t="s">
        <v>5373</v>
      </c>
      <c r="D21" s="10" t="s">
        <v>5374</v>
      </c>
      <c r="E21" s="10" t="s">
        <v>5375</v>
      </c>
    </row>
    <row r="22" customFormat="false" ht="25.5" hidden="false" customHeight="true" outlineLevel="0" collapsed="false">
      <c r="A22" s="10" t="s">
        <v>5376</v>
      </c>
      <c r="B22" s="15" t="n">
        <v>5</v>
      </c>
      <c r="C22" s="10" t="s">
        <v>4203</v>
      </c>
      <c r="D22" s="10" t="s">
        <v>5377</v>
      </c>
      <c r="E22" s="10" t="s">
        <v>5378</v>
      </c>
    </row>
    <row r="23" customFormat="false" ht="25.5" hidden="false" customHeight="true" outlineLevel="0" collapsed="false">
      <c r="A23" s="10" t="s">
        <v>5379</v>
      </c>
      <c r="B23" s="15" t="n">
        <v>5</v>
      </c>
      <c r="C23" s="10" t="s">
        <v>837</v>
      </c>
      <c r="D23" s="10" t="s">
        <v>5380</v>
      </c>
      <c r="E23" s="10" t="s">
        <v>5381</v>
      </c>
    </row>
    <row r="24" customFormat="false" ht="25.5" hidden="false" customHeight="true" outlineLevel="0" collapsed="false">
      <c r="A24" s="10" t="s">
        <v>5382</v>
      </c>
      <c r="B24" s="15" t="n">
        <v>5</v>
      </c>
      <c r="C24" s="10" t="s">
        <v>5383</v>
      </c>
      <c r="D24" s="10" t="s">
        <v>5384</v>
      </c>
      <c r="E24" s="10" t="s">
        <v>5385</v>
      </c>
    </row>
    <row r="25" customFormat="false" ht="25.5" hidden="false" customHeight="true" outlineLevel="0" collapsed="false">
      <c r="A25" s="10" t="s">
        <v>5386</v>
      </c>
      <c r="B25" s="15" t="n">
        <v>5</v>
      </c>
      <c r="C25" s="10" t="s">
        <v>59</v>
      </c>
      <c r="D25" s="10" t="s">
        <v>5387</v>
      </c>
      <c r="E25" s="10" t="s">
        <v>5388</v>
      </c>
    </row>
    <row r="26" customFormat="false" ht="25.5" hidden="false" customHeight="true" outlineLevel="0" collapsed="false">
      <c r="A26" s="10" t="s">
        <v>5389</v>
      </c>
      <c r="B26" s="9" t="n">
        <v>4</v>
      </c>
      <c r="C26" s="10" t="s">
        <v>5390</v>
      </c>
      <c r="D26" s="10" t="s">
        <v>5391</v>
      </c>
      <c r="E26" s="10" t="s">
        <v>5392</v>
      </c>
    </row>
    <row r="27" customFormat="false" ht="25.5" hidden="false" customHeight="true" outlineLevel="0" collapsed="false">
      <c r="A27" s="10" t="s">
        <v>5393</v>
      </c>
      <c r="B27" s="9" t="n">
        <v>4</v>
      </c>
      <c r="C27" s="10" t="s">
        <v>5394</v>
      </c>
      <c r="D27" s="10" t="s">
        <v>5395</v>
      </c>
      <c r="E27" s="10" t="s">
        <v>5396</v>
      </c>
    </row>
    <row r="28" customFormat="false" ht="25.5" hidden="false" customHeight="true" outlineLevel="0" collapsed="false">
      <c r="A28" s="10" t="s">
        <v>5397</v>
      </c>
      <c r="B28" s="9" t="n">
        <v>4</v>
      </c>
      <c r="C28" s="10" t="s">
        <v>59</v>
      </c>
      <c r="D28" s="10" t="s">
        <v>5398</v>
      </c>
      <c r="E28" s="10" t="s">
        <v>5399</v>
      </c>
    </row>
    <row r="29" customFormat="false" ht="25.5" hidden="false" customHeight="true" outlineLevel="0" collapsed="false">
      <c r="A29" s="10" t="s">
        <v>5400</v>
      </c>
      <c r="B29" s="9" t="n">
        <v>4</v>
      </c>
      <c r="C29" s="10" t="s">
        <v>5401</v>
      </c>
      <c r="D29" s="10" t="s">
        <v>5402</v>
      </c>
      <c r="E29" s="10" t="s">
        <v>5403</v>
      </c>
    </row>
    <row r="30" customFormat="false" ht="25.5" hidden="false" customHeight="true" outlineLevel="0" collapsed="false">
      <c r="A30" s="10" t="s">
        <v>5404</v>
      </c>
      <c r="B30" s="9" t="n">
        <v>4</v>
      </c>
      <c r="C30" s="10" t="s">
        <v>59</v>
      </c>
      <c r="D30" s="10" t="s">
        <v>5405</v>
      </c>
      <c r="E30" s="10" t="s">
        <v>5406</v>
      </c>
    </row>
    <row r="31" customFormat="false" ht="25.5" hidden="false" customHeight="true" outlineLevel="0" collapsed="false">
      <c r="A31" s="10" t="s">
        <v>5407</v>
      </c>
      <c r="B31" s="9" t="n">
        <v>4</v>
      </c>
      <c r="C31" s="10" t="s">
        <v>3291</v>
      </c>
      <c r="D31" s="10" t="s">
        <v>5408</v>
      </c>
      <c r="E31" s="10" t="s">
        <v>5409</v>
      </c>
    </row>
    <row r="32" customFormat="false" ht="25.5" hidden="false" customHeight="true" outlineLevel="0" collapsed="false">
      <c r="A32" s="10" t="s">
        <v>5410</v>
      </c>
      <c r="B32" s="9" t="n">
        <v>4</v>
      </c>
      <c r="C32" s="10" t="s">
        <v>1500</v>
      </c>
      <c r="D32" s="10" t="s">
        <v>5411</v>
      </c>
      <c r="E32" s="10" t="s">
        <v>5412</v>
      </c>
    </row>
    <row r="33" customFormat="false" ht="25.5" hidden="false" customHeight="true" outlineLevel="0" collapsed="false">
      <c r="A33" s="10" t="s">
        <v>5413</v>
      </c>
      <c r="B33" s="9" t="n">
        <v>4</v>
      </c>
      <c r="C33" s="10" t="s">
        <v>5414</v>
      </c>
      <c r="D33" s="10" t="s">
        <v>5415</v>
      </c>
      <c r="E33" s="10" t="s">
        <v>5416</v>
      </c>
    </row>
    <row r="34" customFormat="false" ht="25.5" hidden="false" customHeight="true" outlineLevel="0" collapsed="false">
      <c r="A34" s="10" t="s">
        <v>5417</v>
      </c>
      <c r="B34" s="9" t="n">
        <v>4</v>
      </c>
      <c r="C34" s="10" t="s">
        <v>5418</v>
      </c>
      <c r="D34" s="10" t="s">
        <v>5419</v>
      </c>
      <c r="E34" s="10" t="s">
        <v>5420</v>
      </c>
    </row>
    <row r="35" customFormat="false" ht="25.5" hidden="false" customHeight="true" outlineLevel="0" collapsed="false">
      <c r="A35" s="10" t="s">
        <v>5421</v>
      </c>
      <c r="B35" s="9" t="n">
        <v>4</v>
      </c>
      <c r="C35" s="10" t="s">
        <v>3291</v>
      </c>
      <c r="D35" s="10" t="s">
        <v>5422</v>
      </c>
      <c r="E35" s="10" t="s">
        <v>5423</v>
      </c>
    </row>
    <row r="36" customFormat="false" ht="25.5" hidden="false" customHeight="true" outlineLevel="0" collapsed="false">
      <c r="A36" s="10" t="s">
        <v>5424</v>
      </c>
      <c r="B36" s="9" t="n">
        <v>4</v>
      </c>
      <c r="C36" s="10" t="s">
        <v>59</v>
      </c>
      <c r="D36" s="10" t="s">
        <v>5425</v>
      </c>
      <c r="E36" s="10" t="s">
        <v>5426</v>
      </c>
    </row>
    <row r="37" customFormat="false" ht="25.5" hidden="false" customHeight="true" outlineLevel="0" collapsed="false">
      <c r="A37" s="10" t="s">
        <v>5427</v>
      </c>
      <c r="B37" s="9" t="n">
        <v>4</v>
      </c>
      <c r="C37" s="10" t="s">
        <v>5344</v>
      </c>
      <c r="D37" s="10" t="s">
        <v>5428</v>
      </c>
      <c r="E37" s="10" t="s">
        <v>5429</v>
      </c>
    </row>
    <row r="38" customFormat="false" ht="25.5" hidden="false" customHeight="true" outlineLevel="0" collapsed="false">
      <c r="A38" s="10" t="s">
        <v>5430</v>
      </c>
      <c r="B38" s="9" t="n">
        <v>4</v>
      </c>
      <c r="C38" s="10" t="s">
        <v>5373</v>
      </c>
      <c r="D38" s="10" t="s">
        <v>5431</v>
      </c>
      <c r="E38" s="10" t="s">
        <v>5432</v>
      </c>
    </row>
    <row r="39" customFormat="false" ht="25.5" hidden="false" customHeight="true" outlineLevel="0" collapsed="false">
      <c r="A39" s="10" t="s">
        <v>5433</v>
      </c>
      <c r="B39" s="9" t="n">
        <v>4</v>
      </c>
      <c r="C39" s="10" t="s">
        <v>2713</v>
      </c>
      <c r="D39" s="10" t="s">
        <v>5434</v>
      </c>
      <c r="E39" s="10" t="s">
        <v>5435</v>
      </c>
    </row>
    <row r="40" customFormat="false" ht="25.5" hidden="false" customHeight="true" outlineLevel="0" collapsed="false">
      <c r="A40" s="10" t="s">
        <v>5436</v>
      </c>
      <c r="B40" s="9" t="n">
        <v>4</v>
      </c>
      <c r="C40" s="10" t="s">
        <v>2140</v>
      </c>
      <c r="D40" s="10" t="s">
        <v>5437</v>
      </c>
      <c r="E40" s="10" t="s">
        <v>5438</v>
      </c>
    </row>
    <row r="41" customFormat="false" ht="25.5" hidden="false" customHeight="true" outlineLevel="0" collapsed="false">
      <c r="A41" s="10" t="s">
        <v>5439</v>
      </c>
      <c r="B41" s="9" t="n">
        <v>3</v>
      </c>
      <c r="C41" s="10" t="s">
        <v>2713</v>
      </c>
      <c r="D41" s="10" t="s">
        <v>5440</v>
      </c>
      <c r="E41" s="10" t="s">
        <v>5441</v>
      </c>
    </row>
    <row r="42" customFormat="false" ht="25.5" hidden="false" customHeight="true" outlineLevel="0" collapsed="false">
      <c r="A42" s="10" t="s">
        <v>5442</v>
      </c>
      <c r="B42" s="9" t="n">
        <v>3</v>
      </c>
      <c r="C42" s="10" t="s">
        <v>59</v>
      </c>
      <c r="D42" s="10" t="s">
        <v>5443</v>
      </c>
      <c r="E42" s="10" t="s">
        <v>5444</v>
      </c>
    </row>
    <row r="43" customFormat="false" ht="25.5" hidden="false" customHeight="true" outlineLevel="0" collapsed="false">
      <c r="A43" s="10" t="s">
        <v>5445</v>
      </c>
      <c r="B43" s="9" t="n">
        <v>3</v>
      </c>
      <c r="C43" s="10" t="s">
        <v>59</v>
      </c>
      <c r="D43" s="10" t="s">
        <v>5446</v>
      </c>
      <c r="E43" s="10" t="s">
        <v>5447</v>
      </c>
    </row>
    <row r="44" customFormat="false" ht="25.5" hidden="false" customHeight="true" outlineLevel="0" collapsed="false">
      <c r="A44" s="10" t="s">
        <v>5448</v>
      </c>
      <c r="B44" s="9" t="n">
        <v>3</v>
      </c>
      <c r="C44" s="10" t="s">
        <v>3291</v>
      </c>
      <c r="D44" s="10" t="s">
        <v>5449</v>
      </c>
      <c r="E44" s="10" t="s">
        <v>5450</v>
      </c>
    </row>
    <row r="45" customFormat="false" ht="25.5" hidden="false" customHeight="true" outlineLevel="0" collapsed="false">
      <c r="A45" s="10" t="s">
        <v>5451</v>
      </c>
      <c r="B45" s="9" t="n">
        <v>3</v>
      </c>
      <c r="C45" s="10" t="s">
        <v>3842</v>
      </c>
      <c r="D45" s="10" t="s">
        <v>5452</v>
      </c>
      <c r="E45" s="10" t="s">
        <v>5453</v>
      </c>
    </row>
    <row r="46" customFormat="false" ht="25.5" hidden="false" customHeight="true" outlineLevel="0" collapsed="false">
      <c r="A46" s="10" t="s">
        <v>5454</v>
      </c>
      <c r="B46" s="9" t="n">
        <v>3</v>
      </c>
      <c r="C46" s="10" t="s">
        <v>5455</v>
      </c>
      <c r="D46" s="10" t="s">
        <v>5456</v>
      </c>
      <c r="E46" s="10" t="s">
        <v>5457</v>
      </c>
    </row>
    <row r="47" customFormat="false" ht="25.5" hidden="false" customHeight="true" outlineLevel="0" collapsed="false">
      <c r="A47" s="10" t="s">
        <v>5458</v>
      </c>
      <c r="B47" s="9" t="n">
        <v>3</v>
      </c>
      <c r="C47" s="10" t="s">
        <v>5459</v>
      </c>
      <c r="D47" s="10" t="s">
        <v>5460</v>
      </c>
      <c r="E47" s="10" t="s">
        <v>5461</v>
      </c>
    </row>
    <row r="48" customFormat="false" ht="25.5" hidden="false" customHeight="true" outlineLevel="0" collapsed="false">
      <c r="A48" s="10" t="s">
        <v>5462</v>
      </c>
      <c r="B48" s="9" t="n">
        <v>3</v>
      </c>
      <c r="C48" s="10" t="s">
        <v>3842</v>
      </c>
      <c r="D48" s="10" t="s">
        <v>5463</v>
      </c>
      <c r="E48" s="10" t="s">
        <v>5464</v>
      </c>
    </row>
    <row r="49" customFormat="false" ht="25.5" hidden="false" customHeight="true" outlineLevel="0" collapsed="false">
      <c r="A49" s="10" t="s">
        <v>5465</v>
      </c>
      <c r="B49" s="9" t="n">
        <v>3</v>
      </c>
      <c r="C49" s="10" t="s">
        <v>2140</v>
      </c>
      <c r="D49" s="10" t="s">
        <v>5466</v>
      </c>
      <c r="E49" s="10" t="s">
        <v>5467</v>
      </c>
    </row>
    <row r="50" customFormat="false" ht="25.5" hidden="false" customHeight="true" outlineLevel="0" collapsed="false">
      <c r="A50" s="10" t="s">
        <v>5468</v>
      </c>
      <c r="B50" s="9" t="n">
        <v>3</v>
      </c>
      <c r="C50" s="10" t="s">
        <v>5469</v>
      </c>
      <c r="D50" s="10" t="s">
        <v>5470</v>
      </c>
      <c r="E50" s="10" t="s">
        <v>5471</v>
      </c>
    </row>
    <row r="51" customFormat="false" ht="25.5" hidden="false" customHeight="true" outlineLevel="0" collapsed="false">
      <c r="A51" s="10" t="s">
        <v>5472</v>
      </c>
      <c r="B51" s="9" t="n">
        <v>3</v>
      </c>
      <c r="C51" s="10" t="s">
        <v>4203</v>
      </c>
      <c r="D51" s="10" t="s">
        <v>5473</v>
      </c>
      <c r="E51" s="10" t="s">
        <v>5474</v>
      </c>
    </row>
    <row r="52" customFormat="false" ht="25.5" hidden="false" customHeight="true" outlineLevel="0" collapsed="false">
      <c r="A52" s="10" t="s">
        <v>5475</v>
      </c>
      <c r="B52" s="9" t="n">
        <v>3</v>
      </c>
      <c r="C52" s="10" t="s">
        <v>5476</v>
      </c>
      <c r="D52" s="10" t="s">
        <v>5477</v>
      </c>
      <c r="E52" s="10" t="s">
        <v>5478</v>
      </c>
    </row>
    <row r="53" customFormat="false" ht="25.5" hidden="false" customHeight="true" outlineLevel="0" collapsed="false">
      <c r="A53" s="10" t="s">
        <v>5479</v>
      </c>
      <c r="B53" s="9" t="n">
        <v>3</v>
      </c>
      <c r="C53" s="10" t="s">
        <v>3291</v>
      </c>
      <c r="D53" s="10" t="s">
        <v>5480</v>
      </c>
      <c r="E53" s="10" t="s">
        <v>5481</v>
      </c>
    </row>
    <row r="54" customFormat="false" ht="25.5" hidden="false" customHeight="true" outlineLevel="0" collapsed="false">
      <c r="A54" s="10" t="s">
        <v>5482</v>
      </c>
      <c r="B54" s="9" t="n">
        <v>3</v>
      </c>
      <c r="C54" s="10" t="s">
        <v>5483</v>
      </c>
      <c r="D54" s="10" t="s">
        <v>5484</v>
      </c>
      <c r="E54" s="10" t="s">
        <v>5485</v>
      </c>
    </row>
    <row r="55" customFormat="false" ht="25.5" hidden="false" customHeight="true" outlineLevel="0" collapsed="false">
      <c r="A55" s="10" t="s">
        <v>5486</v>
      </c>
      <c r="B55" s="9" t="n">
        <v>3</v>
      </c>
      <c r="C55" s="10" t="s">
        <v>5487</v>
      </c>
      <c r="D55" s="10" t="s">
        <v>5488</v>
      </c>
      <c r="E55" s="10" t="s">
        <v>5489</v>
      </c>
    </row>
    <row r="56" customFormat="false" ht="25.5" hidden="false" customHeight="true" outlineLevel="0" collapsed="false">
      <c r="A56" s="10" t="s">
        <v>5490</v>
      </c>
      <c r="B56" s="9" t="n">
        <v>3</v>
      </c>
      <c r="C56" s="10" t="s">
        <v>5491</v>
      </c>
      <c r="D56" s="10" t="s">
        <v>5492</v>
      </c>
      <c r="E56" s="10" t="s">
        <v>5493</v>
      </c>
    </row>
    <row r="57" customFormat="false" ht="25.5" hidden="false" customHeight="true" outlineLevel="0" collapsed="false">
      <c r="A57" s="10" t="s">
        <v>5494</v>
      </c>
      <c r="B57" s="9" t="n">
        <v>3</v>
      </c>
      <c r="C57" s="10" t="s">
        <v>5394</v>
      </c>
      <c r="D57" s="10" t="s">
        <v>5495</v>
      </c>
      <c r="E57" s="10" t="s">
        <v>5496</v>
      </c>
    </row>
    <row r="58" customFormat="false" ht="25.5" hidden="false" customHeight="true" outlineLevel="0" collapsed="false">
      <c r="A58" s="10" t="s">
        <v>5497</v>
      </c>
      <c r="B58" s="9" t="n">
        <v>3</v>
      </c>
      <c r="C58" s="10" t="s">
        <v>2713</v>
      </c>
      <c r="D58" s="10" t="s">
        <v>5498</v>
      </c>
      <c r="E58" s="10" t="s">
        <v>5499</v>
      </c>
    </row>
    <row r="59" customFormat="false" ht="25.5" hidden="false" customHeight="true" outlineLevel="0" collapsed="false">
      <c r="A59" s="10" t="s">
        <v>5500</v>
      </c>
      <c r="B59" s="9" t="n">
        <v>3</v>
      </c>
      <c r="C59" s="10" t="s">
        <v>837</v>
      </c>
      <c r="D59" s="10" t="s">
        <v>5501</v>
      </c>
      <c r="E59" s="10" t="s">
        <v>5502</v>
      </c>
    </row>
    <row r="60" customFormat="false" ht="25.5" hidden="false" customHeight="true" outlineLevel="0" collapsed="false">
      <c r="A60" s="10" t="s">
        <v>5503</v>
      </c>
      <c r="B60" s="9" t="n">
        <v>3</v>
      </c>
      <c r="C60" s="10" t="s">
        <v>5504</v>
      </c>
      <c r="D60" s="10" t="s">
        <v>5505</v>
      </c>
      <c r="E60" s="10" t="s">
        <v>5506</v>
      </c>
    </row>
    <row r="61" customFormat="false" ht="25.5" hidden="false" customHeight="true" outlineLevel="0" collapsed="false">
      <c r="A61" s="10" t="s">
        <v>5507</v>
      </c>
      <c r="B61" s="9" t="n">
        <v>3</v>
      </c>
      <c r="C61" s="10" t="s">
        <v>3842</v>
      </c>
      <c r="D61" s="10" t="s">
        <v>5508</v>
      </c>
      <c r="E61" s="10" t="s">
        <v>5509</v>
      </c>
    </row>
    <row r="62" customFormat="false" ht="25.5" hidden="false" customHeight="true" outlineLevel="0" collapsed="false">
      <c r="A62" s="10" t="s">
        <v>5510</v>
      </c>
      <c r="B62" s="9" t="n">
        <v>3</v>
      </c>
      <c r="C62" s="10" t="s">
        <v>5394</v>
      </c>
      <c r="D62" s="10" t="s">
        <v>5511</v>
      </c>
      <c r="E62" s="10" t="s">
        <v>5512</v>
      </c>
    </row>
    <row r="63" customFormat="false" ht="25.5" hidden="false" customHeight="true" outlineLevel="0" collapsed="false">
      <c r="A63" s="10" t="s">
        <v>5513</v>
      </c>
      <c r="B63" s="9" t="n">
        <v>3</v>
      </c>
      <c r="C63" s="10" t="s">
        <v>59</v>
      </c>
      <c r="D63" s="10" t="s">
        <v>5514</v>
      </c>
      <c r="E63" s="10" t="s">
        <v>5515</v>
      </c>
    </row>
    <row r="64" customFormat="false" ht="25.5" hidden="false" customHeight="true" outlineLevel="0" collapsed="false">
      <c r="A64" s="10" t="s">
        <v>5516</v>
      </c>
      <c r="B64" s="9" t="n">
        <v>3</v>
      </c>
      <c r="C64" s="10" t="s">
        <v>5517</v>
      </c>
      <c r="D64" s="10" t="s">
        <v>5518</v>
      </c>
      <c r="E64" s="10" t="s">
        <v>5519</v>
      </c>
    </row>
    <row r="65" customFormat="false" ht="25.5" hidden="false" customHeight="true" outlineLevel="0" collapsed="false">
      <c r="A65" s="10" t="s">
        <v>5520</v>
      </c>
      <c r="B65" s="9" t="n">
        <v>3</v>
      </c>
      <c r="C65" s="10" t="s">
        <v>59</v>
      </c>
      <c r="D65" s="10" t="s">
        <v>5521</v>
      </c>
      <c r="E65" s="10" t="s">
        <v>5522</v>
      </c>
    </row>
    <row r="66" customFormat="false" ht="25.5" hidden="false" customHeight="true" outlineLevel="0" collapsed="false">
      <c r="A66" s="10" t="s">
        <v>5523</v>
      </c>
      <c r="B66" s="9" t="n">
        <v>3</v>
      </c>
      <c r="C66" s="10" t="s">
        <v>3291</v>
      </c>
      <c r="D66" s="10" t="s">
        <v>5524</v>
      </c>
      <c r="E66" s="10" t="s">
        <v>5525</v>
      </c>
    </row>
    <row r="67" customFormat="false" ht="25.5" hidden="false" customHeight="true" outlineLevel="0" collapsed="false">
      <c r="A67" s="10" t="s">
        <v>5526</v>
      </c>
      <c r="B67" s="9" t="n">
        <v>3</v>
      </c>
      <c r="C67" s="10" t="s">
        <v>5527</v>
      </c>
      <c r="D67" s="10" t="s">
        <v>5528</v>
      </c>
      <c r="E67" s="10" t="s">
        <v>5529</v>
      </c>
    </row>
    <row r="68" customFormat="false" ht="25.5" hidden="false" customHeight="true" outlineLevel="0" collapsed="false">
      <c r="A68" s="10" t="s">
        <v>5530</v>
      </c>
      <c r="B68" s="9" t="n">
        <v>3</v>
      </c>
      <c r="C68" s="10" t="s">
        <v>5358</v>
      </c>
      <c r="D68" s="10" t="s">
        <v>5531</v>
      </c>
      <c r="E68" s="10" t="s">
        <v>5532</v>
      </c>
    </row>
    <row r="69" customFormat="false" ht="25.5" hidden="false" customHeight="true" outlineLevel="0" collapsed="false">
      <c r="A69" s="10" t="s">
        <v>5533</v>
      </c>
      <c r="B69" s="9" t="n">
        <v>3</v>
      </c>
      <c r="C69" s="10" t="s">
        <v>5534</v>
      </c>
      <c r="D69" s="10" t="s">
        <v>5535</v>
      </c>
      <c r="E69" s="10" t="s">
        <v>5536</v>
      </c>
    </row>
    <row r="70" customFormat="false" ht="25.5" hidden="false" customHeight="true" outlineLevel="0" collapsed="false">
      <c r="A70" s="10" t="s">
        <v>5537</v>
      </c>
      <c r="B70" s="9" t="n">
        <v>3</v>
      </c>
      <c r="C70" s="10" t="s">
        <v>3291</v>
      </c>
      <c r="D70" s="10" t="s">
        <v>5538</v>
      </c>
      <c r="E70" s="10" t="s">
        <v>5539</v>
      </c>
    </row>
    <row r="71" customFormat="false" ht="25.5" hidden="false" customHeight="true" outlineLevel="0" collapsed="false">
      <c r="A71" s="10" t="s">
        <v>5540</v>
      </c>
      <c r="B71" s="9" t="n">
        <v>3</v>
      </c>
      <c r="C71" s="10" t="s">
        <v>4203</v>
      </c>
      <c r="D71" s="10" t="s">
        <v>5473</v>
      </c>
      <c r="E71" s="10" t="s">
        <v>5541</v>
      </c>
    </row>
    <row r="72" customFormat="false" ht="25.5" hidden="false" customHeight="true" outlineLevel="0" collapsed="false">
      <c r="A72" s="10" t="s">
        <v>5542</v>
      </c>
      <c r="B72" s="9" t="n">
        <v>3</v>
      </c>
      <c r="C72" s="10" t="s">
        <v>59</v>
      </c>
      <c r="D72" s="10" t="s">
        <v>5543</v>
      </c>
      <c r="E72" s="10" t="s">
        <v>5544</v>
      </c>
    </row>
    <row r="73" customFormat="false" ht="25.5" hidden="false" customHeight="true" outlineLevel="0" collapsed="false">
      <c r="A73" s="10" t="s">
        <v>5545</v>
      </c>
      <c r="B73" s="9" t="n">
        <v>3</v>
      </c>
      <c r="C73" s="10" t="s">
        <v>2713</v>
      </c>
      <c r="D73" s="10" t="s">
        <v>5546</v>
      </c>
      <c r="E73" s="10" t="s">
        <v>5547</v>
      </c>
    </row>
    <row r="74" customFormat="false" ht="25.5" hidden="false" customHeight="true" outlineLevel="0" collapsed="false">
      <c r="A74" s="10" t="s">
        <v>5548</v>
      </c>
      <c r="B74" s="9" t="n">
        <v>3</v>
      </c>
      <c r="C74" s="10" t="s">
        <v>5549</v>
      </c>
      <c r="D74" s="10" t="s">
        <v>5550</v>
      </c>
      <c r="E74" s="10" t="s">
        <v>5551</v>
      </c>
    </row>
    <row r="75" customFormat="false" ht="25.5" hidden="false" customHeight="true" outlineLevel="0" collapsed="false">
      <c r="A75" s="10" t="s">
        <v>5552</v>
      </c>
      <c r="B75" s="9" t="n">
        <v>3</v>
      </c>
      <c r="C75" s="10" t="s">
        <v>5553</v>
      </c>
      <c r="D75" s="10" t="s">
        <v>5554</v>
      </c>
      <c r="E75" s="10" t="s">
        <v>5555</v>
      </c>
    </row>
    <row r="76" customFormat="false" ht="25.5" hidden="false" customHeight="true" outlineLevel="0" collapsed="false">
      <c r="A76" s="10" t="s">
        <v>5556</v>
      </c>
      <c r="B76" s="9" t="n">
        <v>3</v>
      </c>
      <c r="C76" s="10" t="s">
        <v>5394</v>
      </c>
      <c r="D76" s="10" t="s">
        <v>5557</v>
      </c>
      <c r="E76" s="10" t="s">
        <v>5558</v>
      </c>
    </row>
    <row r="77" customFormat="false" ht="25.5" hidden="false" customHeight="true" outlineLevel="0" collapsed="false">
      <c r="A77" s="10" t="s">
        <v>5559</v>
      </c>
      <c r="B77" s="9" t="n">
        <v>3</v>
      </c>
      <c r="C77" s="10" t="s">
        <v>5560</v>
      </c>
      <c r="D77" s="10" t="s">
        <v>5561</v>
      </c>
      <c r="E77" s="10" t="s">
        <v>5562</v>
      </c>
    </row>
    <row r="78" customFormat="false" ht="25.5" hidden="false" customHeight="true" outlineLevel="0" collapsed="false">
      <c r="A78" s="10" t="s">
        <v>5563</v>
      </c>
      <c r="B78" s="9" t="n">
        <v>3</v>
      </c>
      <c r="C78" s="10" t="s">
        <v>2713</v>
      </c>
      <c r="D78" s="10" t="s">
        <v>5564</v>
      </c>
      <c r="E78" s="10" t="s">
        <v>5565</v>
      </c>
    </row>
    <row r="79" customFormat="false" ht="25.5" hidden="false" customHeight="true" outlineLevel="0" collapsed="false">
      <c r="A79" s="10" t="s">
        <v>5566</v>
      </c>
      <c r="B79" s="9" t="n">
        <v>3</v>
      </c>
      <c r="C79" s="10" t="s">
        <v>5358</v>
      </c>
      <c r="D79" s="10" t="s">
        <v>5567</v>
      </c>
      <c r="E79" s="10" t="s">
        <v>5568</v>
      </c>
    </row>
    <row r="80" customFormat="false" ht="25.5" hidden="false" customHeight="true" outlineLevel="0" collapsed="false">
      <c r="A80" s="10" t="s">
        <v>5569</v>
      </c>
      <c r="B80" s="9" t="n">
        <v>3</v>
      </c>
      <c r="C80" s="10" t="s">
        <v>3842</v>
      </c>
      <c r="D80" s="10" t="s">
        <v>5570</v>
      </c>
      <c r="E80" s="10" t="s">
        <v>5571</v>
      </c>
    </row>
    <row r="81" customFormat="false" ht="25.5" hidden="false" customHeight="true" outlineLevel="0" collapsed="false">
      <c r="A81" s="10" t="s">
        <v>5572</v>
      </c>
      <c r="B81" s="9" t="n">
        <v>3</v>
      </c>
      <c r="C81" s="10" t="s">
        <v>59</v>
      </c>
      <c r="D81" s="10" t="s">
        <v>5573</v>
      </c>
      <c r="E81" s="10" t="s">
        <v>5574</v>
      </c>
    </row>
    <row r="82" customFormat="false" ht="25.5" hidden="false" customHeight="true" outlineLevel="0" collapsed="false">
      <c r="A82" s="10" t="s">
        <v>5575</v>
      </c>
      <c r="B82" s="9" t="n">
        <v>3</v>
      </c>
      <c r="C82" s="10" t="s">
        <v>2713</v>
      </c>
      <c r="D82" s="10" t="s">
        <v>5576</v>
      </c>
      <c r="E82" s="10" t="s">
        <v>5577</v>
      </c>
    </row>
    <row r="83" customFormat="false" ht="25.5" hidden="false" customHeight="true" outlineLevel="0" collapsed="false">
      <c r="A83" s="10" t="s">
        <v>5578</v>
      </c>
      <c r="B83" s="9" t="n">
        <v>3</v>
      </c>
      <c r="C83" s="10" t="s">
        <v>5579</v>
      </c>
      <c r="D83" s="10" t="s">
        <v>5580</v>
      </c>
      <c r="E83" s="10" t="s">
        <v>5581</v>
      </c>
    </row>
    <row r="84" customFormat="false" ht="25.5" hidden="false" customHeight="true" outlineLevel="0" collapsed="false">
      <c r="A84" s="10" t="s">
        <v>5582</v>
      </c>
      <c r="B84" s="9" t="n">
        <v>2</v>
      </c>
      <c r="C84" s="10" t="s">
        <v>5401</v>
      </c>
      <c r="D84" s="10" t="s">
        <v>5583</v>
      </c>
      <c r="E84" s="10" t="s">
        <v>5584</v>
      </c>
    </row>
    <row r="85" customFormat="false" ht="25.5" hidden="false" customHeight="true" outlineLevel="0" collapsed="false">
      <c r="A85" s="10" t="s">
        <v>5585</v>
      </c>
      <c r="B85" s="9" t="n">
        <v>2</v>
      </c>
      <c r="C85" s="10" t="s">
        <v>3291</v>
      </c>
      <c r="D85" s="10" t="s">
        <v>5586</v>
      </c>
      <c r="E85" s="10" t="s">
        <v>5587</v>
      </c>
    </row>
    <row r="86" customFormat="false" ht="25.5" hidden="false" customHeight="true" outlineLevel="0" collapsed="false">
      <c r="A86" s="10" t="s">
        <v>5588</v>
      </c>
      <c r="B86" s="9" t="n">
        <v>2</v>
      </c>
      <c r="C86" s="10" t="s">
        <v>4582</v>
      </c>
      <c r="D86" s="10" t="s">
        <v>5589</v>
      </c>
      <c r="E86" s="10" t="s">
        <v>5590</v>
      </c>
    </row>
    <row r="87" customFormat="false" ht="25.5" hidden="false" customHeight="true" outlineLevel="0" collapsed="false">
      <c r="A87" s="10" t="s">
        <v>5591</v>
      </c>
      <c r="B87" s="9" t="n">
        <v>2</v>
      </c>
      <c r="C87" s="10" t="s">
        <v>1500</v>
      </c>
      <c r="D87" s="10" t="s">
        <v>5592</v>
      </c>
      <c r="E87" s="10" t="s">
        <v>5593</v>
      </c>
    </row>
    <row r="88" customFormat="false" ht="25.5" hidden="false" customHeight="true" outlineLevel="0" collapsed="false">
      <c r="A88" s="10" t="s">
        <v>5594</v>
      </c>
      <c r="B88" s="9" t="n">
        <v>2</v>
      </c>
      <c r="C88" s="10" t="s">
        <v>2713</v>
      </c>
      <c r="D88" s="10" t="s">
        <v>5595</v>
      </c>
      <c r="E88" s="10" t="s">
        <v>5596</v>
      </c>
    </row>
    <row r="89" customFormat="false" ht="25.5" hidden="false" customHeight="true" outlineLevel="0" collapsed="false">
      <c r="A89" s="10" t="s">
        <v>5597</v>
      </c>
      <c r="B89" s="9" t="n">
        <v>2</v>
      </c>
      <c r="C89" s="10" t="s">
        <v>2140</v>
      </c>
      <c r="D89" s="10" t="s">
        <v>5598</v>
      </c>
      <c r="E89" s="10" t="s">
        <v>5599</v>
      </c>
    </row>
    <row r="90" customFormat="false" ht="25.5" hidden="false" customHeight="true" outlineLevel="0" collapsed="false">
      <c r="A90" s="10" t="s">
        <v>5600</v>
      </c>
      <c r="B90" s="9" t="n">
        <v>2</v>
      </c>
      <c r="C90" s="10" t="s">
        <v>5601</v>
      </c>
      <c r="D90" s="10" t="s">
        <v>5602</v>
      </c>
      <c r="E90" s="10" t="s">
        <v>5603</v>
      </c>
    </row>
    <row r="91" customFormat="false" ht="25.5" hidden="false" customHeight="true" outlineLevel="0" collapsed="false">
      <c r="A91" s="10" t="s">
        <v>5604</v>
      </c>
      <c r="B91" s="9" t="n">
        <v>2</v>
      </c>
      <c r="C91" s="10" t="s">
        <v>5534</v>
      </c>
      <c r="D91" s="10" t="s">
        <v>5605</v>
      </c>
      <c r="E91" s="10" t="s">
        <v>5606</v>
      </c>
    </row>
    <row r="92" customFormat="false" ht="25.5" hidden="false" customHeight="true" outlineLevel="0" collapsed="false">
      <c r="A92" s="10" t="s">
        <v>5607</v>
      </c>
      <c r="B92" s="9" t="n">
        <v>2</v>
      </c>
      <c r="C92" s="10" t="s">
        <v>5608</v>
      </c>
      <c r="D92" s="10" t="s">
        <v>5609</v>
      </c>
      <c r="E92" s="10" t="s">
        <v>5610</v>
      </c>
    </row>
    <row r="93" customFormat="false" ht="25.5" hidden="false" customHeight="true" outlineLevel="0" collapsed="false">
      <c r="A93" s="10" t="s">
        <v>5611</v>
      </c>
      <c r="B93" s="9" t="n">
        <v>2</v>
      </c>
      <c r="C93" s="10" t="s">
        <v>59</v>
      </c>
      <c r="D93" s="10" t="s">
        <v>235</v>
      </c>
      <c r="E93" s="10" t="s">
        <v>5612</v>
      </c>
    </row>
    <row r="94" customFormat="false" ht="25.5" hidden="false" customHeight="true" outlineLevel="0" collapsed="false">
      <c r="A94" s="10" t="s">
        <v>5613</v>
      </c>
      <c r="B94" s="9" t="n">
        <v>2</v>
      </c>
      <c r="C94" s="10" t="s">
        <v>5560</v>
      </c>
      <c r="D94" s="10" t="s">
        <v>5614</v>
      </c>
      <c r="E94" s="10" t="s">
        <v>5615</v>
      </c>
    </row>
    <row r="95" customFormat="false" ht="25.5" hidden="false" customHeight="true" outlineLevel="0" collapsed="false">
      <c r="A95" s="10" t="s">
        <v>5616</v>
      </c>
      <c r="B95" s="9" t="n">
        <v>2</v>
      </c>
      <c r="C95" s="10" t="s">
        <v>5527</v>
      </c>
      <c r="D95" s="10" t="s">
        <v>5617</v>
      </c>
      <c r="E95" s="10" t="s">
        <v>5618</v>
      </c>
    </row>
    <row r="96" customFormat="false" ht="25.5" hidden="false" customHeight="true" outlineLevel="0" collapsed="false">
      <c r="A96" s="10" t="s">
        <v>5619</v>
      </c>
      <c r="B96" s="9" t="n">
        <v>2</v>
      </c>
      <c r="C96" s="10" t="s">
        <v>5390</v>
      </c>
      <c r="D96" s="10" t="s">
        <v>5620</v>
      </c>
      <c r="E96" s="10" t="s">
        <v>5621</v>
      </c>
    </row>
    <row r="97" customFormat="false" ht="25.5" hidden="false" customHeight="true" outlineLevel="0" collapsed="false">
      <c r="A97" s="10" t="s">
        <v>5622</v>
      </c>
      <c r="B97" s="9" t="n">
        <v>2</v>
      </c>
      <c r="C97" s="10" t="s">
        <v>3291</v>
      </c>
      <c r="D97" s="10" t="s">
        <v>5623</v>
      </c>
      <c r="E97" s="10" t="s">
        <v>5624</v>
      </c>
    </row>
    <row r="98" customFormat="false" ht="25.5" hidden="false" customHeight="true" outlineLevel="0" collapsed="false">
      <c r="A98" s="10" t="s">
        <v>5625</v>
      </c>
      <c r="B98" s="9" t="n">
        <v>2</v>
      </c>
      <c r="C98" s="10" t="s">
        <v>59</v>
      </c>
      <c r="D98" s="10" t="s">
        <v>5626</v>
      </c>
      <c r="E98" s="10" t="s">
        <v>5627</v>
      </c>
    </row>
    <row r="99" customFormat="false" ht="25.5" hidden="false" customHeight="true" outlineLevel="0" collapsed="false">
      <c r="A99" s="10" t="s">
        <v>5628</v>
      </c>
      <c r="B99" s="9" t="n">
        <v>2</v>
      </c>
      <c r="C99" s="10" t="s">
        <v>837</v>
      </c>
      <c r="D99" s="10" t="s">
        <v>5629</v>
      </c>
      <c r="E99" s="10" t="s">
        <v>5630</v>
      </c>
    </row>
    <row r="100" customFormat="false" ht="25.5" hidden="false" customHeight="true" outlineLevel="0" collapsed="false">
      <c r="A100" s="10" t="s">
        <v>5631</v>
      </c>
      <c r="B100" s="9" t="n">
        <v>2</v>
      </c>
      <c r="C100" s="10" t="s">
        <v>59</v>
      </c>
      <c r="D100" s="10" t="s">
        <v>5632</v>
      </c>
      <c r="E100" s="10" t="s">
        <v>5633</v>
      </c>
    </row>
    <row r="101" customFormat="false" ht="25.5" hidden="false" customHeight="true" outlineLevel="0" collapsed="false">
      <c r="A101" s="10" t="s">
        <v>5634</v>
      </c>
      <c r="B101" s="9" t="n">
        <v>2</v>
      </c>
      <c r="C101" s="10" t="s">
        <v>3842</v>
      </c>
      <c r="D101" s="10" t="s">
        <v>5635</v>
      </c>
      <c r="E101" s="10" t="s">
        <v>5636</v>
      </c>
    </row>
    <row r="102" customFormat="false" ht="25.5" hidden="false" customHeight="true" outlineLevel="0" collapsed="false">
      <c r="A102" s="10" t="s">
        <v>5637</v>
      </c>
      <c r="B102" s="9" t="n">
        <v>2</v>
      </c>
      <c r="C102" s="10" t="s">
        <v>1500</v>
      </c>
      <c r="D102" s="10" t="s">
        <v>5638</v>
      </c>
      <c r="E102" s="10" t="s">
        <v>5639</v>
      </c>
    </row>
    <row r="103" customFormat="false" ht="25.5" hidden="false" customHeight="true" outlineLevel="0" collapsed="false">
      <c r="A103" s="10" t="s">
        <v>5640</v>
      </c>
      <c r="B103" s="9" t="n">
        <v>2</v>
      </c>
      <c r="C103" s="10" t="s">
        <v>59</v>
      </c>
      <c r="D103" s="10" t="s">
        <v>5641</v>
      </c>
      <c r="E103" s="10" t="s">
        <v>5642</v>
      </c>
    </row>
    <row r="104" customFormat="false" ht="25.5" hidden="false" customHeight="true" outlineLevel="0" collapsed="false">
      <c r="A104" s="10" t="s">
        <v>5643</v>
      </c>
      <c r="B104" s="9" t="n">
        <v>2</v>
      </c>
      <c r="C104" s="10" t="s">
        <v>2713</v>
      </c>
      <c r="D104" s="10" t="s">
        <v>5644</v>
      </c>
      <c r="E104" s="10" t="s">
        <v>5645</v>
      </c>
    </row>
    <row r="105" customFormat="false" ht="25.5" hidden="false" customHeight="true" outlineLevel="0" collapsed="false">
      <c r="A105" s="10" t="s">
        <v>5646</v>
      </c>
      <c r="B105" s="9" t="n">
        <v>2</v>
      </c>
      <c r="C105" s="10" t="s">
        <v>3842</v>
      </c>
      <c r="D105" s="10" t="s">
        <v>5647</v>
      </c>
      <c r="E105" s="10" t="s">
        <v>5648</v>
      </c>
    </row>
    <row r="106" customFormat="false" ht="25.5" hidden="false" customHeight="true" outlineLevel="0" collapsed="false">
      <c r="A106" s="10" t="s">
        <v>5649</v>
      </c>
      <c r="B106" s="9" t="n">
        <v>2</v>
      </c>
      <c r="C106" s="10" t="s">
        <v>5650</v>
      </c>
      <c r="D106" s="10" t="s">
        <v>5651</v>
      </c>
      <c r="E106" s="10" t="s">
        <v>5652</v>
      </c>
    </row>
    <row r="107" customFormat="false" ht="25.5" hidden="false" customHeight="true" outlineLevel="0" collapsed="false">
      <c r="A107" s="10" t="s">
        <v>5653</v>
      </c>
      <c r="B107" s="9" t="n">
        <v>2</v>
      </c>
      <c r="C107" s="10" t="s">
        <v>2140</v>
      </c>
      <c r="D107" s="10" t="s">
        <v>5654</v>
      </c>
      <c r="E107" s="10" t="s">
        <v>5655</v>
      </c>
    </row>
    <row r="108" customFormat="false" ht="25.5" hidden="false" customHeight="true" outlineLevel="0" collapsed="false">
      <c r="A108" s="10" t="s">
        <v>5656</v>
      </c>
      <c r="B108" s="9" t="n">
        <v>2</v>
      </c>
      <c r="C108" s="10" t="s">
        <v>59</v>
      </c>
      <c r="D108" s="10" t="s">
        <v>235</v>
      </c>
      <c r="E108" s="10" t="s">
        <v>5657</v>
      </c>
    </row>
    <row r="109" customFormat="false" ht="25.5" hidden="false" customHeight="true" outlineLevel="0" collapsed="false">
      <c r="A109" s="10" t="s">
        <v>5658</v>
      </c>
      <c r="B109" s="9" t="n">
        <v>2</v>
      </c>
      <c r="C109" s="10" t="s">
        <v>2713</v>
      </c>
      <c r="D109" s="10" t="s">
        <v>5659</v>
      </c>
      <c r="E109" s="10" t="s">
        <v>5660</v>
      </c>
    </row>
    <row r="110" customFormat="false" ht="25.5" hidden="false" customHeight="true" outlineLevel="0" collapsed="false">
      <c r="A110" s="10" t="s">
        <v>5661</v>
      </c>
      <c r="B110" s="9" t="n">
        <v>2</v>
      </c>
      <c r="C110" s="10" t="s">
        <v>4203</v>
      </c>
      <c r="D110" s="10" t="s">
        <v>5662</v>
      </c>
      <c r="E110" s="10" t="s">
        <v>5663</v>
      </c>
    </row>
    <row r="111" customFormat="false" ht="25.5" hidden="false" customHeight="true" outlineLevel="0" collapsed="false">
      <c r="A111" s="10" t="s">
        <v>5664</v>
      </c>
      <c r="B111" s="9" t="n">
        <v>2</v>
      </c>
      <c r="C111" s="10" t="s">
        <v>2713</v>
      </c>
      <c r="D111" s="10" t="s">
        <v>5665</v>
      </c>
      <c r="E111" s="10" t="s">
        <v>5666</v>
      </c>
    </row>
    <row r="112" customFormat="false" ht="25.5" hidden="false" customHeight="true" outlineLevel="0" collapsed="false">
      <c r="A112" s="10" t="s">
        <v>5667</v>
      </c>
      <c r="B112" s="9" t="n">
        <v>2</v>
      </c>
      <c r="C112" s="10" t="s">
        <v>4582</v>
      </c>
      <c r="D112" s="10" t="s">
        <v>5668</v>
      </c>
      <c r="E112" s="10" t="s">
        <v>5669</v>
      </c>
    </row>
    <row r="113" customFormat="false" ht="25.5" hidden="false" customHeight="true" outlineLevel="0" collapsed="false">
      <c r="A113" s="10" t="s">
        <v>5670</v>
      </c>
      <c r="B113" s="9" t="n">
        <v>2</v>
      </c>
      <c r="C113" s="10" t="s">
        <v>3842</v>
      </c>
      <c r="D113" s="10" t="s">
        <v>5671</v>
      </c>
      <c r="E113" s="10" t="s">
        <v>5672</v>
      </c>
    </row>
    <row r="114" customFormat="false" ht="25.5" hidden="false" customHeight="true" outlineLevel="0" collapsed="false">
      <c r="A114" s="10" t="s">
        <v>5673</v>
      </c>
      <c r="B114" s="9" t="n">
        <v>2</v>
      </c>
      <c r="C114" s="10" t="s">
        <v>59</v>
      </c>
      <c r="D114" s="10" t="s">
        <v>5674</v>
      </c>
      <c r="E114" s="10" t="s">
        <v>5675</v>
      </c>
    </row>
    <row r="115" customFormat="false" ht="25.5" hidden="false" customHeight="true" outlineLevel="0" collapsed="false">
      <c r="A115" s="10" t="s">
        <v>5676</v>
      </c>
      <c r="B115" s="9" t="n">
        <v>2</v>
      </c>
      <c r="C115" s="10" t="s">
        <v>3842</v>
      </c>
      <c r="D115" s="10" t="s">
        <v>5677</v>
      </c>
      <c r="E115" s="10" t="s">
        <v>5678</v>
      </c>
    </row>
    <row r="116" customFormat="false" ht="25.5" hidden="false" customHeight="true" outlineLevel="0" collapsed="false">
      <c r="A116" s="10" t="s">
        <v>5679</v>
      </c>
      <c r="B116" s="9" t="n">
        <v>2</v>
      </c>
      <c r="C116" s="10" t="s">
        <v>5517</v>
      </c>
      <c r="D116" s="10" t="s">
        <v>5680</v>
      </c>
      <c r="E116" s="10" t="s">
        <v>5681</v>
      </c>
    </row>
    <row r="117" customFormat="false" ht="25.5" hidden="false" customHeight="true" outlineLevel="0" collapsed="false">
      <c r="A117" s="10" t="s">
        <v>5682</v>
      </c>
      <c r="B117" s="9" t="n">
        <v>2</v>
      </c>
      <c r="C117" s="10" t="s">
        <v>3842</v>
      </c>
      <c r="D117" s="10" t="s">
        <v>5683</v>
      </c>
      <c r="E117" s="10" t="s">
        <v>5684</v>
      </c>
    </row>
    <row r="118" customFormat="false" ht="25.5" hidden="false" customHeight="true" outlineLevel="0" collapsed="false">
      <c r="A118" s="10" t="s">
        <v>5685</v>
      </c>
      <c r="B118" s="9" t="n">
        <v>2</v>
      </c>
      <c r="C118" s="10" t="s">
        <v>59</v>
      </c>
      <c r="D118" s="10" t="s">
        <v>5686</v>
      </c>
      <c r="E118" s="10" t="s">
        <v>5687</v>
      </c>
    </row>
    <row r="119" customFormat="false" ht="25.5" hidden="false" customHeight="true" outlineLevel="0" collapsed="false">
      <c r="A119" s="10" t="s">
        <v>5688</v>
      </c>
      <c r="B119" s="9" t="n">
        <v>2</v>
      </c>
      <c r="C119" s="10" t="s">
        <v>5689</v>
      </c>
      <c r="D119" s="10" t="s">
        <v>5690</v>
      </c>
      <c r="E119" s="10" t="s">
        <v>5691</v>
      </c>
    </row>
    <row r="120" customFormat="false" ht="25.5" hidden="false" customHeight="true" outlineLevel="0" collapsed="false">
      <c r="A120" s="10" t="s">
        <v>5692</v>
      </c>
      <c r="B120" s="9" t="n">
        <v>2</v>
      </c>
      <c r="C120" s="10" t="s">
        <v>4949</v>
      </c>
      <c r="D120" s="10" t="s">
        <v>5693</v>
      </c>
      <c r="E120" s="10" t="s">
        <v>5694</v>
      </c>
    </row>
    <row r="121" customFormat="false" ht="25.5" hidden="false" customHeight="true" outlineLevel="0" collapsed="false">
      <c r="A121" s="10" t="s">
        <v>5695</v>
      </c>
      <c r="B121" s="9" t="n">
        <v>2</v>
      </c>
      <c r="C121" s="10" t="s">
        <v>3842</v>
      </c>
      <c r="D121" s="10" t="s">
        <v>5683</v>
      </c>
      <c r="E121" s="10" t="s">
        <v>5684</v>
      </c>
    </row>
    <row r="122" customFormat="false" ht="25.5" hidden="false" customHeight="true" outlineLevel="0" collapsed="false">
      <c r="A122" s="10" t="s">
        <v>5696</v>
      </c>
      <c r="B122" s="9" t="n">
        <v>2</v>
      </c>
      <c r="C122" s="10" t="s">
        <v>59</v>
      </c>
      <c r="D122" s="10" t="s">
        <v>235</v>
      </c>
      <c r="E122" s="10" t="s">
        <v>5697</v>
      </c>
    </row>
    <row r="123" customFormat="false" ht="25.5" hidden="false" customHeight="true" outlineLevel="0" collapsed="false">
      <c r="A123" s="10" t="s">
        <v>5698</v>
      </c>
      <c r="B123" s="9" t="n">
        <v>2</v>
      </c>
      <c r="C123" s="10" t="s">
        <v>59</v>
      </c>
      <c r="D123" s="10" t="s">
        <v>5699</v>
      </c>
      <c r="E123" s="10" t="s">
        <v>5700</v>
      </c>
    </row>
    <row r="124" customFormat="false" ht="25.5" hidden="false" customHeight="true" outlineLevel="0" collapsed="false">
      <c r="A124" s="10" t="s">
        <v>5701</v>
      </c>
      <c r="B124" s="9" t="n">
        <v>2</v>
      </c>
      <c r="C124" s="10" t="s">
        <v>59</v>
      </c>
      <c r="D124" s="10" t="s">
        <v>5699</v>
      </c>
      <c r="E124" s="10" t="s">
        <v>5700</v>
      </c>
    </row>
    <row r="125" customFormat="false" ht="25.5" hidden="false" customHeight="true" outlineLevel="0" collapsed="false">
      <c r="A125" s="10" t="s">
        <v>5702</v>
      </c>
      <c r="B125" s="9" t="n">
        <v>2</v>
      </c>
      <c r="C125" s="10" t="s">
        <v>5401</v>
      </c>
      <c r="D125" s="10" t="s">
        <v>5703</v>
      </c>
      <c r="E125" s="10" t="s">
        <v>5704</v>
      </c>
    </row>
    <row r="126" customFormat="false" ht="25.5" hidden="false" customHeight="true" outlineLevel="0" collapsed="false">
      <c r="A126" s="10" t="s">
        <v>5705</v>
      </c>
      <c r="B126" s="9" t="n">
        <v>2</v>
      </c>
      <c r="C126" s="10" t="s">
        <v>5706</v>
      </c>
      <c r="D126" s="10" t="s">
        <v>5707</v>
      </c>
      <c r="E126" s="10" t="s">
        <v>5708</v>
      </c>
    </row>
    <row r="127" customFormat="false" ht="25.5" hidden="false" customHeight="true" outlineLevel="0" collapsed="false">
      <c r="A127" s="10" t="s">
        <v>5709</v>
      </c>
      <c r="B127" s="9" t="n">
        <v>2</v>
      </c>
      <c r="C127" s="10" t="s">
        <v>5336</v>
      </c>
      <c r="D127" s="10" t="s">
        <v>5710</v>
      </c>
      <c r="E127" s="10" t="s">
        <v>5711</v>
      </c>
    </row>
    <row r="128" customFormat="false" ht="25.5" hidden="false" customHeight="true" outlineLevel="0" collapsed="false">
      <c r="A128" s="10" t="s">
        <v>5712</v>
      </c>
      <c r="B128" s="9" t="n">
        <v>2</v>
      </c>
      <c r="C128" s="10" t="s">
        <v>1500</v>
      </c>
      <c r="D128" s="10" t="s">
        <v>5713</v>
      </c>
      <c r="E128" s="10" t="s">
        <v>5714</v>
      </c>
    </row>
    <row r="129" customFormat="false" ht="25.5" hidden="false" customHeight="true" outlineLevel="0" collapsed="false">
      <c r="A129" s="10" t="s">
        <v>5715</v>
      </c>
      <c r="B129" s="9" t="n">
        <v>2</v>
      </c>
      <c r="C129" s="10" t="s">
        <v>5560</v>
      </c>
      <c r="D129" s="10" t="s">
        <v>5716</v>
      </c>
      <c r="E129" s="10" t="s">
        <v>5717</v>
      </c>
    </row>
    <row r="130" customFormat="false" ht="25.5" hidden="false" customHeight="true" outlineLevel="0" collapsed="false">
      <c r="A130" s="10" t="s">
        <v>5718</v>
      </c>
      <c r="B130" s="9" t="n">
        <v>2</v>
      </c>
      <c r="C130" s="10" t="s">
        <v>2713</v>
      </c>
      <c r="D130" s="10" t="s">
        <v>5719</v>
      </c>
      <c r="E130" s="10" t="s">
        <v>5720</v>
      </c>
    </row>
    <row r="131" customFormat="false" ht="25.5" hidden="false" customHeight="true" outlineLevel="0" collapsed="false">
      <c r="A131" s="10" t="s">
        <v>5721</v>
      </c>
      <c r="B131" s="9" t="n">
        <v>2</v>
      </c>
      <c r="C131" s="10" t="s">
        <v>4203</v>
      </c>
      <c r="D131" s="10" t="s">
        <v>5722</v>
      </c>
      <c r="E131" s="10" t="s">
        <v>5723</v>
      </c>
    </row>
    <row r="132" customFormat="false" ht="25.5" hidden="false" customHeight="true" outlineLevel="0" collapsed="false">
      <c r="A132" s="10" t="s">
        <v>5724</v>
      </c>
      <c r="B132" s="9" t="n">
        <v>2</v>
      </c>
      <c r="C132" s="10" t="s">
        <v>5725</v>
      </c>
      <c r="D132" s="10" t="s">
        <v>5726</v>
      </c>
      <c r="E132" s="10" t="s">
        <v>5727</v>
      </c>
    </row>
    <row r="133" customFormat="false" ht="25.5" hidden="false" customHeight="true" outlineLevel="0" collapsed="false">
      <c r="A133" s="10" t="s">
        <v>5728</v>
      </c>
      <c r="B133" s="9" t="n">
        <v>2</v>
      </c>
      <c r="C133" s="10" t="s">
        <v>4203</v>
      </c>
      <c r="D133" s="10" t="s">
        <v>5662</v>
      </c>
      <c r="E133" s="10" t="s">
        <v>5729</v>
      </c>
    </row>
    <row r="134" customFormat="false" ht="25.5" hidden="false" customHeight="true" outlineLevel="0" collapsed="false">
      <c r="A134" s="10" t="s">
        <v>5730</v>
      </c>
      <c r="B134" s="9" t="n">
        <v>2</v>
      </c>
      <c r="C134" s="10" t="s">
        <v>59</v>
      </c>
      <c r="D134" s="10" t="s">
        <v>5731</v>
      </c>
      <c r="E134" s="10" t="s">
        <v>5732</v>
      </c>
    </row>
    <row r="135" customFormat="false" ht="25.5" hidden="false" customHeight="true" outlineLevel="0" collapsed="false">
      <c r="A135" s="10" t="s">
        <v>5733</v>
      </c>
      <c r="B135" s="9" t="n">
        <v>2</v>
      </c>
      <c r="C135" s="10" t="s">
        <v>5608</v>
      </c>
      <c r="D135" s="10" t="s">
        <v>5734</v>
      </c>
      <c r="E135" s="10" t="s">
        <v>5735</v>
      </c>
    </row>
    <row r="136" customFormat="false" ht="25.5" hidden="false" customHeight="true" outlineLevel="0" collapsed="false">
      <c r="A136" s="10" t="s">
        <v>5736</v>
      </c>
      <c r="B136" s="9" t="n">
        <v>2</v>
      </c>
      <c r="C136" s="10" t="s">
        <v>1500</v>
      </c>
      <c r="D136" s="10" t="s">
        <v>5737</v>
      </c>
      <c r="E136" s="10" t="s">
        <v>5738</v>
      </c>
    </row>
    <row r="137" customFormat="false" ht="25.5" hidden="false" customHeight="true" outlineLevel="0" collapsed="false">
      <c r="A137" s="10" t="s">
        <v>5739</v>
      </c>
      <c r="B137" s="9" t="n">
        <v>2</v>
      </c>
      <c r="C137" s="10" t="s">
        <v>837</v>
      </c>
      <c r="D137" s="10" t="s">
        <v>5740</v>
      </c>
      <c r="E137" s="10" t="s">
        <v>5741</v>
      </c>
    </row>
    <row r="138" customFormat="false" ht="25.5" hidden="false" customHeight="true" outlineLevel="0" collapsed="false">
      <c r="A138" s="10" t="s">
        <v>5742</v>
      </c>
      <c r="B138" s="9" t="n">
        <v>2</v>
      </c>
      <c r="C138" s="10" t="s">
        <v>3291</v>
      </c>
      <c r="D138" s="10" t="s">
        <v>5743</v>
      </c>
      <c r="E138" s="10" t="s">
        <v>5744</v>
      </c>
    </row>
    <row r="139" customFormat="false" ht="25.5" hidden="false" customHeight="true" outlineLevel="0" collapsed="false">
      <c r="A139" s="10" t="s">
        <v>5745</v>
      </c>
      <c r="B139" s="9" t="n">
        <v>2</v>
      </c>
      <c r="C139" s="10" t="s">
        <v>3291</v>
      </c>
      <c r="D139" s="10" t="s">
        <v>5746</v>
      </c>
      <c r="E139" s="10" t="s">
        <v>5747</v>
      </c>
    </row>
    <row r="140" customFormat="false" ht="25.5" hidden="false" customHeight="true" outlineLevel="0" collapsed="false">
      <c r="A140" s="10" t="s">
        <v>5748</v>
      </c>
      <c r="B140" s="9" t="n">
        <v>2</v>
      </c>
      <c r="C140" s="10" t="s">
        <v>837</v>
      </c>
      <c r="D140" s="10" t="s">
        <v>5749</v>
      </c>
      <c r="E140" s="10" t="s">
        <v>5750</v>
      </c>
    </row>
    <row r="141" customFormat="false" ht="25.5" hidden="false" customHeight="true" outlineLevel="0" collapsed="false">
      <c r="A141" s="10" t="s">
        <v>5751</v>
      </c>
      <c r="B141" s="9" t="n">
        <v>2</v>
      </c>
      <c r="C141" s="10" t="s">
        <v>59</v>
      </c>
      <c r="D141" s="10" t="s">
        <v>5752</v>
      </c>
      <c r="E141" s="10" t="s">
        <v>5753</v>
      </c>
    </row>
    <row r="142" customFormat="false" ht="25.5" hidden="false" customHeight="true" outlineLevel="0" collapsed="false">
      <c r="A142" s="10" t="s">
        <v>5754</v>
      </c>
      <c r="B142" s="9" t="n">
        <v>2</v>
      </c>
      <c r="C142" s="10" t="s">
        <v>2713</v>
      </c>
      <c r="D142" s="10" t="s">
        <v>5755</v>
      </c>
      <c r="E142" s="10" t="s">
        <v>5756</v>
      </c>
    </row>
    <row r="143" customFormat="false" ht="25.5" hidden="false" customHeight="true" outlineLevel="0" collapsed="false">
      <c r="A143" s="10" t="s">
        <v>5757</v>
      </c>
      <c r="B143" s="9" t="n">
        <v>2</v>
      </c>
      <c r="C143" s="10" t="s">
        <v>2713</v>
      </c>
      <c r="D143" s="10" t="s">
        <v>5758</v>
      </c>
      <c r="E143" s="10" t="s">
        <v>5759</v>
      </c>
    </row>
    <row r="144" customFormat="false" ht="25.5" hidden="false" customHeight="true" outlineLevel="0" collapsed="false">
      <c r="A144" s="10" t="s">
        <v>5760</v>
      </c>
      <c r="B144" s="9" t="n">
        <v>2</v>
      </c>
      <c r="C144" s="10" t="s">
        <v>1500</v>
      </c>
      <c r="D144" s="10" t="s">
        <v>5761</v>
      </c>
      <c r="E144" s="10" t="s">
        <v>5762</v>
      </c>
    </row>
    <row r="145" customFormat="false" ht="25.5" hidden="false" customHeight="true" outlineLevel="0" collapsed="false">
      <c r="A145" s="10" t="s">
        <v>5763</v>
      </c>
      <c r="B145" s="9" t="n">
        <v>2</v>
      </c>
      <c r="C145" s="10" t="s">
        <v>1500</v>
      </c>
      <c r="D145" s="10" t="s">
        <v>5764</v>
      </c>
      <c r="E145" s="10" t="s">
        <v>5765</v>
      </c>
    </row>
    <row r="146" customFormat="false" ht="25.5" hidden="false" customHeight="true" outlineLevel="0" collapsed="false">
      <c r="A146" s="10" t="s">
        <v>5766</v>
      </c>
      <c r="B146" s="9" t="n">
        <v>2</v>
      </c>
      <c r="C146" s="10" t="s">
        <v>837</v>
      </c>
      <c r="D146" s="10" t="s">
        <v>5767</v>
      </c>
      <c r="E146" s="10" t="s">
        <v>5768</v>
      </c>
    </row>
    <row r="147" customFormat="false" ht="25.5" hidden="false" customHeight="true" outlineLevel="0" collapsed="false">
      <c r="A147" s="10" t="s">
        <v>5769</v>
      </c>
      <c r="B147" s="9" t="n">
        <v>2</v>
      </c>
      <c r="C147" s="10" t="s">
        <v>4582</v>
      </c>
      <c r="D147" s="10" t="s">
        <v>5770</v>
      </c>
      <c r="E147" s="10" t="s">
        <v>5771</v>
      </c>
    </row>
    <row r="148" customFormat="false" ht="25.5" hidden="false" customHeight="true" outlineLevel="0" collapsed="false">
      <c r="A148" s="10" t="s">
        <v>5772</v>
      </c>
      <c r="B148" s="9" t="n">
        <v>2</v>
      </c>
      <c r="C148" s="10" t="s">
        <v>1500</v>
      </c>
      <c r="D148" s="10" t="s">
        <v>5773</v>
      </c>
      <c r="E148" s="10" t="s">
        <v>5774</v>
      </c>
    </row>
    <row r="149" customFormat="false" ht="25.5" hidden="false" customHeight="true" outlineLevel="0" collapsed="false">
      <c r="A149" s="10" t="s">
        <v>5775</v>
      </c>
      <c r="B149" s="9" t="n">
        <v>2</v>
      </c>
      <c r="C149" s="10" t="s">
        <v>837</v>
      </c>
      <c r="D149" s="10" t="s">
        <v>5776</v>
      </c>
      <c r="E149" s="10" t="s">
        <v>5777</v>
      </c>
    </row>
    <row r="150" customFormat="false" ht="25.5" hidden="false" customHeight="true" outlineLevel="0" collapsed="false">
      <c r="A150" s="10" t="s">
        <v>5778</v>
      </c>
      <c r="B150" s="9" t="n">
        <v>2</v>
      </c>
      <c r="C150" s="10" t="s">
        <v>3842</v>
      </c>
      <c r="D150" s="10" t="s">
        <v>5779</v>
      </c>
      <c r="E150" s="10" t="s">
        <v>5780</v>
      </c>
    </row>
    <row r="151" customFormat="false" ht="25.5" hidden="false" customHeight="true" outlineLevel="0" collapsed="false">
      <c r="A151" s="10" t="s">
        <v>5781</v>
      </c>
      <c r="B151" s="9" t="n">
        <v>2</v>
      </c>
      <c r="C151" s="10" t="s">
        <v>3842</v>
      </c>
      <c r="D151" s="10" t="s">
        <v>5782</v>
      </c>
      <c r="E151" s="10" t="s">
        <v>5783</v>
      </c>
    </row>
    <row r="152" customFormat="false" ht="25.5" hidden="false" customHeight="true" outlineLevel="0" collapsed="false">
      <c r="A152" s="10" t="s">
        <v>5784</v>
      </c>
      <c r="B152" s="9" t="n">
        <v>2</v>
      </c>
      <c r="C152" s="10" t="s">
        <v>59</v>
      </c>
      <c r="D152" s="10" t="s">
        <v>5752</v>
      </c>
      <c r="E152" s="10" t="s">
        <v>5753</v>
      </c>
    </row>
    <row r="153" customFormat="false" ht="25.5" hidden="false" customHeight="true" outlineLevel="0" collapsed="false">
      <c r="A153" s="10" t="s">
        <v>5785</v>
      </c>
      <c r="B153" s="9" t="n">
        <v>2</v>
      </c>
      <c r="C153" s="10" t="s">
        <v>2713</v>
      </c>
      <c r="D153" s="10" t="s">
        <v>3032</v>
      </c>
      <c r="E153" s="10" t="s">
        <v>5786</v>
      </c>
    </row>
    <row r="154" customFormat="false" ht="25.5" hidden="false" customHeight="true" outlineLevel="0" collapsed="false">
      <c r="A154" s="10" t="s">
        <v>5787</v>
      </c>
      <c r="B154" s="9" t="n">
        <v>2</v>
      </c>
      <c r="C154" s="10" t="s">
        <v>59</v>
      </c>
      <c r="D154" s="10" t="s">
        <v>5788</v>
      </c>
      <c r="E154" s="10" t="s">
        <v>5789</v>
      </c>
    </row>
    <row r="155" customFormat="false" ht="25.5" hidden="false" customHeight="true" outlineLevel="0" collapsed="false">
      <c r="A155" s="10" t="s">
        <v>5790</v>
      </c>
      <c r="B155" s="9" t="n">
        <v>2</v>
      </c>
      <c r="C155" s="10" t="s">
        <v>837</v>
      </c>
      <c r="D155" s="10" t="s">
        <v>5791</v>
      </c>
      <c r="E155" s="10" t="s">
        <v>5792</v>
      </c>
    </row>
    <row r="156" customFormat="false" ht="25.5" hidden="false" customHeight="true" outlineLevel="0" collapsed="false">
      <c r="A156" s="10" t="s">
        <v>5793</v>
      </c>
      <c r="B156" s="9" t="n">
        <v>2</v>
      </c>
      <c r="C156" s="10" t="s">
        <v>837</v>
      </c>
      <c r="D156" s="10" t="s">
        <v>5791</v>
      </c>
      <c r="E156" s="10" t="s">
        <v>5792</v>
      </c>
    </row>
    <row r="157" customFormat="false" ht="25.5" hidden="false" customHeight="true" outlineLevel="0" collapsed="false">
      <c r="A157" s="10" t="s">
        <v>5794</v>
      </c>
      <c r="B157" s="9" t="n">
        <v>2</v>
      </c>
      <c r="C157" s="10" t="s">
        <v>837</v>
      </c>
      <c r="D157" s="10" t="s">
        <v>5795</v>
      </c>
      <c r="E157" s="10" t="s">
        <v>5796</v>
      </c>
    </row>
    <row r="158" customFormat="false" ht="25.5" hidden="false" customHeight="true" outlineLevel="0" collapsed="false">
      <c r="A158" s="10" t="s">
        <v>5797</v>
      </c>
      <c r="B158" s="9" t="n">
        <v>2</v>
      </c>
      <c r="C158" s="10" t="s">
        <v>3842</v>
      </c>
      <c r="D158" s="10" t="s">
        <v>5488</v>
      </c>
      <c r="E158" s="10" t="s">
        <v>5798</v>
      </c>
    </row>
    <row r="159" customFormat="false" ht="25.5" hidden="false" customHeight="true" outlineLevel="0" collapsed="false">
      <c r="A159" s="10" t="s">
        <v>5799</v>
      </c>
      <c r="B159" s="9" t="n">
        <v>2</v>
      </c>
      <c r="C159" s="10" t="s">
        <v>3842</v>
      </c>
      <c r="D159" s="10" t="s">
        <v>5800</v>
      </c>
      <c r="E159" s="10" t="s">
        <v>5801</v>
      </c>
    </row>
    <row r="160" customFormat="false" ht="25.5" hidden="false" customHeight="true" outlineLevel="0" collapsed="false">
      <c r="A160" s="10" t="s">
        <v>5802</v>
      </c>
      <c r="B160" s="9" t="n">
        <v>2</v>
      </c>
      <c r="C160" s="10" t="s">
        <v>3842</v>
      </c>
      <c r="D160" s="10" t="s">
        <v>5803</v>
      </c>
      <c r="E160" s="10" t="s">
        <v>5804</v>
      </c>
    </row>
    <row r="161" customFormat="false" ht="25.5" hidden="false" customHeight="true" outlineLevel="0" collapsed="false">
      <c r="A161" s="10" t="s">
        <v>5805</v>
      </c>
      <c r="B161" s="9" t="n">
        <v>2</v>
      </c>
      <c r="C161" s="10" t="s">
        <v>5806</v>
      </c>
      <c r="D161" s="10" t="s">
        <v>5807</v>
      </c>
      <c r="E161" s="10" t="s">
        <v>5808</v>
      </c>
    </row>
    <row r="162" customFormat="false" ht="25.5" hidden="false" customHeight="true" outlineLevel="0" collapsed="false">
      <c r="A162" s="10" t="s">
        <v>5809</v>
      </c>
      <c r="B162" s="9" t="n">
        <v>2</v>
      </c>
      <c r="C162" s="10" t="s">
        <v>837</v>
      </c>
      <c r="D162" s="10" t="s">
        <v>5810</v>
      </c>
      <c r="E162" s="10" t="s">
        <v>5811</v>
      </c>
    </row>
    <row r="163" customFormat="false" ht="25.5" hidden="false" customHeight="true" outlineLevel="0" collapsed="false">
      <c r="A163" s="10" t="s">
        <v>5812</v>
      </c>
      <c r="B163" s="9" t="n">
        <v>2</v>
      </c>
      <c r="C163" s="10" t="s">
        <v>59</v>
      </c>
      <c r="D163" s="10" t="s">
        <v>5641</v>
      </c>
      <c r="E163" s="10" t="s">
        <v>5642</v>
      </c>
    </row>
    <row r="164" customFormat="false" ht="25.5" hidden="false" customHeight="true" outlineLevel="0" collapsed="false">
      <c r="A164" s="10" t="s">
        <v>5813</v>
      </c>
      <c r="B164" s="9" t="n">
        <v>2</v>
      </c>
      <c r="C164" s="10" t="s">
        <v>59</v>
      </c>
      <c r="D164" s="10" t="s">
        <v>5814</v>
      </c>
      <c r="E164" s="10" t="s">
        <v>5815</v>
      </c>
    </row>
    <row r="165" customFormat="false" ht="25.5" hidden="false" customHeight="true" outlineLevel="0" collapsed="false">
      <c r="A165" s="10" t="s">
        <v>5816</v>
      </c>
      <c r="B165" s="9" t="n">
        <v>2</v>
      </c>
      <c r="C165" s="10" t="s">
        <v>59</v>
      </c>
      <c r="D165" s="10" t="s">
        <v>5814</v>
      </c>
      <c r="E165" s="10" t="s">
        <v>5817</v>
      </c>
    </row>
    <row r="166" customFormat="false" ht="25.5" hidden="false" customHeight="true" outlineLevel="0" collapsed="false">
      <c r="A166" s="10" t="s">
        <v>5818</v>
      </c>
      <c r="B166" s="9" t="n">
        <v>2</v>
      </c>
      <c r="C166" s="10" t="s">
        <v>1500</v>
      </c>
      <c r="D166" s="10" t="s">
        <v>5819</v>
      </c>
      <c r="E166" s="10" t="s">
        <v>5820</v>
      </c>
    </row>
    <row r="167" customFormat="false" ht="25.5" hidden="false" customHeight="true" outlineLevel="0" collapsed="false">
      <c r="A167" s="10" t="s">
        <v>5821</v>
      </c>
      <c r="B167" s="9" t="n">
        <v>2</v>
      </c>
      <c r="C167" s="10" t="s">
        <v>2713</v>
      </c>
      <c r="D167" s="10" t="s">
        <v>5755</v>
      </c>
      <c r="E167" s="10" t="s">
        <v>5756</v>
      </c>
    </row>
    <row r="168" customFormat="false" ht="25.5" hidden="false" customHeight="true" outlineLevel="0" collapsed="false">
      <c r="A168" s="10" t="s">
        <v>5822</v>
      </c>
      <c r="B168" s="9" t="n">
        <v>2</v>
      </c>
      <c r="C168" s="10" t="s">
        <v>2713</v>
      </c>
      <c r="D168" s="10" t="s">
        <v>5823</v>
      </c>
      <c r="E168" s="10" t="s">
        <v>5824</v>
      </c>
    </row>
    <row r="169" customFormat="false" ht="25.5" hidden="false" customHeight="true" outlineLevel="0" collapsed="false">
      <c r="A169" s="10" t="s">
        <v>5825</v>
      </c>
      <c r="B169" s="9" t="n">
        <v>2</v>
      </c>
      <c r="C169" s="10" t="s">
        <v>5394</v>
      </c>
      <c r="D169" s="10" t="s">
        <v>5826</v>
      </c>
      <c r="E169" s="10" t="s">
        <v>5827</v>
      </c>
    </row>
    <row r="170" customFormat="false" ht="25.5" hidden="false" customHeight="true" outlineLevel="0" collapsed="false">
      <c r="A170" s="10" t="s">
        <v>5828</v>
      </c>
      <c r="B170" s="9" t="n">
        <v>2</v>
      </c>
      <c r="C170" s="10" t="s">
        <v>59</v>
      </c>
      <c r="D170" s="10" t="s">
        <v>5829</v>
      </c>
      <c r="E170" s="10" t="s">
        <v>5830</v>
      </c>
    </row>
    <row r="171" customFormat="false" ht="25.5" hidden="false" customHeight="true" outlineLevel="0" collapsed="false">
      <c r="A171" s="10" t="s">
        <v>5831</v>
      </c>
      <c r="B171" s="9" t="n">
        <v>2</v>
      </c>
      <c r="C171" s="10" t="s">
        <v>837</v>
      </c>
      <c r="D171" s="10" t="s">
        <v>5832</v>
      </c>
      <c r="E171" s="10" t="s">
        <v>5833</v>
      </c>
    </row>
    <row r="172" customFormat="false" ht="25.5" hidden="false" customHeight="true" outlineLevel="0" collapsed="false">
      <c r="A172" s="10" t="s">
        <v>5834</v>
      </c>
      <c r="B172" s="9" t="n">
        <v>2</v>
      </c>
      <c r="C172" s="10" t="s">
        <v>3291</v>
      </c>
      <c r="D172" s="10" t="s">
        <v>5835</v>
      </c>
      <c r="E172" s="10" t="s">
        <v>5836</v>
      </c>
    </row>
    <row r="173" customFormat="false" ht="25.5" hidden="false" customHeight="true" outlineLevel="0" collapsed="false">
      <c r="A173" s="10" t="s">
        <v>5837</v>
      </c>
      <c r="B173" s="9" t="n">
        <v>2</v>
      </c>
      <c r="C173" s="10" t="s">
        <v>5689</v>
      </c>
      <c r="D173" s="10" t="s">
        <v>5838</v>
      </c>
      <c r="E173" s="10" t="s">
        <v>5839</v>
      </c>
    </row>
    <row r="174" customFormat="false" ht="25.5" hidden="false" customHeight="true" outlineLevel="0" collapsed="false">
      <c r="A174" s="10" t="s">
        <v>5840</v>
      </c>
      <c r="B174" s="9" t="n">
        <v>2</v>
      </c>
      <c r="C174" s="10" t="s">
        <v>837</v>
      </c>
      <c r="D174" s="10" t="s">
        <v>5841</v>
      </c>
      <c r="E174" s="10" t="s">
        <v>5842</v>
      </c>
    </row>
    <row r="175" customFormat="false" ht="25.5" hidden="false" customHeight="true" outlineLevel="0" collapsed="false">
      <c r="A175" s="10" t="s">
        <v>5843</v>
      </c>
      <c r="B175" s="9" t="n">
        <v>2</v>
      </c>
      <c r="C175" s="10" t="s">
        <v>837</v>
      </c>
      <c r="D175" s="10" t="s">
        <v>5844</v>
      </c>
      <c r="E175" s="10" t="s">
        <v>5845</v>
      </c>
    </row>
    <row r="176" customFormat="false" ht="25.5" hidden="false" customHeight="true" outlineLevel="0" collapsed="false">
      <c r="A176" s="10" t="s">
        <v>5846</v>
      </c>
      <c r="B176" s="9" t="n">
        <v>2</v>
      </c>
      <c r="C176" s="10" t="s">
        <v>2713</v>
      </c>
      <c r="D176" s="10" t="s">
        <v>5659</v>
      </c>
      <c r="E176" s="10" t="s">
        <v>5847</v>
      </c>
    </row>
    <row r="177" customFormat="false" ht="25.5" hidden="false" customHeight="true" outlineLevel="0" collapsed="false">
      <c r="A177" s="10" t="s">
        <v>5848</v>
      </c>
      <c r="B177" s="9" t="n">
        <v>2</v>
      </c>
      <c r="C177" s="10" t="s">
        <v>59</v>
      </c>
      <c r="D177" s="10" t="s">
        <v>5814</v>
      </c>
      <c r="E177" s="10" t="s">
        <v>5849</v>
      </c>
    </row>
    <row r="178" customFormat="false" ht="25.5" hidden="false" customHeight="true" outlineLevel="0" collapsed="false">
      <c r="A178" s="10" t="s">
        <v>5850</v>
      </c>
      <c r="B178" s="9" t="n">
        <v>2</v>
      </c>
      <c r="C178" s="10" t="s">
        <v>3842</v>
      </c>
      <c r="D178" s="10" t="s">
        <v>5683</v>
      </c>
      <c r="E178" s="10" t="s">
        <v>5684</v>
      </c>
    </row>
    <row r="179" customFormat="false" ht="25.5" hidden="false" customHeight="true" outlineLevel="0" collapsed="false">
      <c r="A179" s="10" t="s">
        <v>5851</v>
      </c>
      <c r="B179" s="9" t="n">
        <v>2</v>
      </c>
      <c r="C179" s="10" t="s">
        <v>4203</v>
      </c>
      <c r="D179" s="10" t="s">
        <v>5852</v>
      </c>
      <c r="E179" s="10" t="s">
        <v>5853</v>
      </c>
    </row>
    <row r="180" customFormat="false" ht="25.5" hidden="false" customHeight="true" outlineLevel="0" collapsed="false">
      <c r="A180" s="10" t="s">
        <v>5854</v>
      </c>
      <c r="B180" s="9" t="n">
        <v>2</v>
      </c>
      <c r="C180" s="10" t="s">
        <v>4203</v>
      </c>
      <c r="D180" s="10" t="s">
        <v>5855</v>
      </c>
      <c r="E180" s="10" t="s">
        <v>5856</v>
      </c>
    </row>
    <row r="181" customFormat="false" ht="25.5" hidden="false" customHeight="true" outlineLevel="0" collapsed="false">
      <c r="A181" s="10" t="s">
        <v>5857</v>
      </c>
      <c r="B181" s="9" t="n">
        <v>2</v>
      </c>
      <c r="C181" s="10" t="s">
        <v>59</v>
      </c>
      <c r="D181" s="10" t="s">
        <v>5858</v>
      </c>
      <c r="E181" s="10" t="s">
        <v>5859</v>
      </c>
    </row>
    <row r="182" customFormat="false" ht="25.5" hidden="false" customHeight="true" outlineLevel="0" collapsed="false">
      <c r="A182" s="10" t="s">
        <v>5860</v>
      </c>
      <c r="B182" s="9" t="n">
        <v>2</v>
      </c>
      <c r="C182" s="10" t="s">
        <v>1500</v>
      </c>
      <c r="D182" s="10" t="s">
        <v>5861</v>
      </c>
      <c r="E182" s="10" t="s">
        <v>5862</v>
      </c>
    </row>
    <row r="183" customFormat="false" ht="25.5" hidden="false" customHeight="true" outlineLevel="0" collapsed="false">
      <c r="A183" s="10" t="s">
        <v>5863</v>
      </c>
      <c r="B183" s="9" t="n">
        <v>2</v>
      </c>
      <c r="C183" s="10" t="s">
        <v>1500</v>
      </c>
      <c r="D183" s="10" t="s">
        <v>5864</v>
      </c>
      <c r="E183" s="10" t="s">
        <v>5865</v>
      </c>
    </row>
    <row r="184" customFormat="false" ht="25.5" hidden="false" customHeight="true" outlineLevel="0" collapsed="false">
      <c r="A184" s="10" t="s">
        <v>5866</v>
      </c>
      <c r="B184" s="9" t="n">
        <v>2</v>
      </c>
      <c r="C184" s="10" t="s">
        <v>5401</v>
      </c>
      <c r="D184" s="10" t="s">
        <v>5867</v>
      </c>
      <c r="E184" s="10" t="s">
        <v>5868</v>
      </c>
    </row>
    <row r="185" customFormat="false" ht="25.5" hidden="false" customHeight="true" outlineLevel="0" collapsed="false">
      <c r="A185" s="10" t="s">
        <v>5869</v>
      </c>
      <c r="B185" s="9" t="n">
        <v>2</v>
      </c>
      <c r="C185" s="10" t="s">
        <v>2713</v>
      </c>
      <c r="D185" s="10" t="s">
        <v>5870</v>
      </c>
      <c r="E185" s="10" t="s">
        <v>5871</v>
      </c>
    </row>
    <row r="186" customFormat="false" ht="25.5" hidden="false" customHeight="true" outlineLevel="0" collapsed="false">
      <c r="A186" s="10" t="s">
        <v>5872</v>
      </c>
      <c r="B186" s="9" t="n">
        <v>2</v>
      </c>
      <c r="C186" s="10" t="s">
        <v>3291</v>
      </c>
      <c r="D186" s="10" t="s">
        <v>5873</v>
      </c>
      <c r="E186" s="10" t="s">
        <v>5874</v>
      </c>
    </row>
    <row r="187" customFormat="false" ht="25.5" hidden="false" customHeight="true" outlineLevel="0" collapsed="false">
      <c r="A187" s="10" t="s">
        <v>5875</v>
      </c>
      <c r="B187" s="9" t="n">
        <v>2</v>
      </c>
      <c r="C187" s="10" t="s">
        <v>4203</v>
      </c>
      <c r="D187" s="10" t="s">
        <v>5876</v>
      </c>
      <c r="E187" s="10" t="s">
        <v>5877</v>
      </c>
    </row>
    <row r="188" customFormat="false" ht="25.5" hidden="false" customHeight="true" outlineLevel="0" collapsed="false">
      <c r="A188" s="10" t="s">
        <v>5878</v>
      </c>
      <c r="B188" s="9" t="n">
        <v>2</v>
      </c>
      <c r="C188" s="10" t="s">
        <v>59</v>
      </c>
      <c r="D188" s="10" t="s">
        <v>5879</v>
      </c>
      <c r="E188" s="10" t="s">
        <v>5880</v>
      </c>
    </row>
    <row r="189" customFormat="false" ht="25.5" hidden="false" customHeight="true" outlineLevel="0" collapsed="false">
      <c r="A189" s="10" t="s">
        <v>5881</v>
      </c>
      <c r="B189" s="9" t="n">
        <v>2</v>
      </c>
      <c r="C189" s="10" t="s">
        <v>3291</v>
      </c>
      <c r="D189" s="10" t="s">
        <v>5873</v>
      </c>
      <c r="E189" s="10" t="s">
        <v>5882</v>
      </c>
    </row>
    <row r="190" customFormat="false" ht="25.5" hidden="false" customHeight="true" outlineLevel="0" collapsed="false">
      <c r="A190" s="10" t="s">
        <v>5883</v>
      </c>
      <c r="B190" s="9" t="n">
        <v>2</v>
      </c>
      <c r="C190" s="10" t="s">
        <v>2140</v>
      </c>
      <c r="D190" s="10" t="s">
        <v>5884</v>
      </c>
      <c r="E190" s="10" t="s">
        <v>5885</v>
      </c>
    </row>
    <row r="191" customFormat="false" ht="25.5" hidden="false" customHeight="true" outlineLevel="0" collapsed="false">
      <c r="A191" s="10" t="s">
        <v>5886</v>
      </c>
      <c r="B191" s="9" t="n">
        <v>2</v>
      </c>
      <c r="C191" s="10" t="s">
        <v>3291</v>
      </c>
      <c r="D191" s="10" t="s">
        <v>5887</v>
      </c>
      <c r="E191" s="10" t="s">
        <v>5888</v>
      </c>
    </row>
    <row r="192" customFormat="false" ht="25.5" hidden="false" customHeight="true" outlineLevel="0" collapsed="false">
      <c r="A192" s="10" t="s">
        <v>5889</v>
      </c>
      <c r="B192" s="9" t="n">
        <v>2</v>
      </c>
      <c r="C192" s="10" t="s">
        <v>5344</v>
      </c>
      <c r="D192" s="10" t="s">
        <v>5890</v>
      </c>
      <c r="E192" s="10" t="s">
        <v>5891</v>
      </c>
    </row>
    <row r="193" customFormat="false" ht="25.5" hidden="false" customHeight="true" outlineLevel="0" collapsed="false">
      <c r="A193" s="10" t="s">
        <v>5892</v>
      </c>
      <c r="B193" s="9" t="n">
        <v>2</v>
      </c>
      <c r="C193" s="10" t="s">
        <v>3842</v>
      </c>
      <c r="D193" s="10" t="s">
        <v>5779</v>
      </c>
      <c r="E193" s="10" t="s">
        <v>5780</v>
      </c>
    </row>
    <row r="194" customFormat="false" ht="25.5" hidden="false" customHeight="true" outlineLevel="0" collapsed="false">
      <c r="A194" s="10" t="s">
        <v>5893</v>
      </c>
      <c r="B194" s="9" t="n">
        <v>2</v>
      </c>
      <c r="C194" s="10" t="s">
        <v>3291</v>
      </c>
      <c r="D194" s="10" t="s">
        <v>5894</v>
      </c>
      <c r="E194" s="10" t="s">
        <v>5895</v>
      </c>
    </row>
    <row r="195" customFormat="false" ht="25.5" hidden="false" customHeight="true" outlineLevel="0" collapsed="false">
      <c r="A195" s="10" t="s">
        <v>5896</v>
      </c>
      <c r="B195" s="9" t="n">
        <v>2</v>
      </c>
      <c r="C195" s="10" t="s">
        <v>3291</v>
      </c>
      <c r="D195" s="10" t="s">
        <v>5897</v>
      </c>
      <c r="E195" s="10" t="s">
        <v>5898</v>
      </c>
    </row>
    <row r="196" customFormat="false" ht="25.5" hidden="false" customHeight="true" outlineLevel="0" collapsed="false">
      <c r="A196" s="10" t="s">
        <v>5899</v>
      </c>
      <c r="B196" s="9" t="n">
        <v>2</v>
      </c>
      <c r="C196" s="10" t="s">
        <v>3291</v>
      </c>
      <c r="D196" s="10" t="s">
        <v>5894</v>
      </c>
      <c r="E196" s="10" t="s">
        <v>5895</v>
      </c>
    </row>
    <row r="197" customFormat="false" ht="25.5" hidden="false" customHeight="true" outlineLevel="0" collapsed="false">
      <c r="A197" s="10" t="s">
        <v>5900</v>
      </c>
      <c r="B197" s="9" t="n">
        <v>2</v>
      </c>
      <c r="C197" s="10" t="s">
        <v>5650</v>
      </c>
      <c r="D197" s="10" t="s">
        <v>5901</v>
      </c>
      <c r="E197" s="10" t="s">
        <v>5902</v>
      </c>
    </row>
    <row r="198" customFormat="false" ht="25.5" hidden="false" customHeight="true" outlineLevel="0" collapsed="false">
      <c r="A198" s="10" t="s">
        <v>5903</v>
      </c>
      <c r="B198" s="9" t="n">
        <v>2</v>
      </c>
      <c r="C198" s="10" t="s">
        <v>59</v>
      </c>
      <c r="D198" s="10" t="s">
        <v>5904</v>
      </c>
      <c r="E198" s="10" t="s">
        <v>5905</v>
      </c>
    </row>
    <row r="199" customFormat="false" ht="25.5" hidden="false" customHeight="true" outlineLevel="0" collapsed="false">
      <c r="A199" s="10" t="s">
        <v>5906</v>
      </c>
      <c r="B199" s="9" t="n">
        <v>2</v>
      </c>
      <c r="C199" s="10" t="s">
        <v>59</v>
      </c>
      <c r="D199" s="10" t="s">
        <v>5907</v>
      </c>
      <c r="E199" s="10" t="s">
        <v>5908</v>
      </c>
    </row>
    <row r="200" customFormat="false" ht="25.5" hidden="false" customHeight="true" outlineLevel="0" collapsed="false">
      <c r="A200" s="10" t="s">
        <v>5909</v>
      </c>
      <c r="B200" s="9" t="n">
        <v>2</v>
      </c>
      <c r="C200" s="10" t="s">
        <v>1500</v>
      </c>
      <c r="D200" s="10" t="s">
        <v>5910</v>
      </c>
      <c r="E200" s="10" t="s">
        <v>5911</v>
      </c>
    </row>
    <row r="201" customFormat="false" ht="25.5" hidden="false" customHeight="true" outlineLevel="0" collapsed="false">
      <c r="A201" s="10" t="s">
        <v>5912</v>
      </c>
      <c r="B201" s="9" t="n">
        <v>2</v>
      </c>
      <c r="C201" s="10" t="s">
        <v>5365</v>
      </c>
      <c r="D201" s="10" t="s">
        <v>5913</v>
      </c>
      <c r="E201" s="10" t="s">
        <v>5914</v>
      </c>
    </row>
    <row r="202" customFormat="false" ht="25.5" hidden="false" customHeight="true" outlineLevel="0" collapsed="false">
      <c r="A202" s="10" t="s">
        <v>5915</v>
      </c>
      <c r="B202" s="9" t="n">
        <v>2</v>
      </c>
      <c r="C202" s="10" t="s">
        <v>5608</v>
      </c>
      <c r="D202" s="10" t="s">
        <v>5916</v>
      </c>
      <c r="E202" s="10" t="s">
        <v>5917</v>
      </c>
    </row>
    <row r="203" customFormat="false" ht="25.5" hidden="false" customHeight="true" outlineLevel="0" collapsed="false">
      <c r="A203" s="10" t="s">
        <v>5918</v>
      </c>
      <c r="B203" s="9" t="n">
        <v>2</v>
      </c>
      <c r="C203" s="10" t="s">
        <v>1500</v>
      </c>
      <c r="D203" s="10" t="s">
        <v>5919</v>
      </c>
      <c r="E203" s="10" t="s">
        <v>5920</v>
      </c>
    </row>
    <row r="204" customFormat="false" ht="25.5" hidden="false" customHeight="true" outlineLevel="0" collapsed="false">
      <c r="A204" s="10" t="s">
        <v>5921</v>
      </c>
      <c r="B204" s="9" t="n">
        <v>2</v>
      </c>
      <c r="C204" s="10" t="s">
        <v>5689</v>
      </c>
      <c r="D204" s="10" t="s">
        <v>5690</v>
      </c>
      <c r="E204" s="10" t="s">
        <v>5691</v>
      </c>
    </row>
    <row r="205" customFormat="false" ht="25.5" hidden="false" customHeight="true" outlineLevel="0" collapsed="false">
      <c r="A205" s="10" t="s">
        <v>5922</v>
      </c>
      <c r="B205" s="9" t="n">
        <v>2</v>
      </c>
      <c r="C205" s="10" t="s">
        <v>59</v>
      </c>
      <c r="D205" s="10" t="s">
        <v>5923</v>
      </c>
      <c r="E205" s="10" t="s">
        <v>5924</v>
      </c>
    </row>
    <row r="206" customFormat="false" ht="25.5" hidden="false" customHeight="true" outlineLevel="0" collapsed="false">
      <c r="A206" s="10" t="s">
        <v>5925</v>
      </c>
      <c r="B206" s="9" t="n">
        <v>2</v>
      </c>
      <c r="C206" s="10" t="s">
        <v>3842</v>
      </c>
      <c r="D206" s="10" t="s">
        <v>5779</v>
      </c>
      <c r="E206" s="10" t="s">
        <v>5780</v>
      </c>
    </row>
    <row r="207" customFormat="false" ht="25.5" hidden="false" customHeight="true" outlineLevel="0" collapsed="false">
      <c r="A207" s="10" t="s">
        <v>5926</v>
      </c>
      <c r="B207" s="9" t="n">
        <v>2</v>
      </c>
      <c r="C207" s="10" t="s">
        <v>2713</v>
      </c>
      <c r="D207" s="10" t="s">
        <v>3032</v>
      </c>
      <c r="E207" s="10" t="s">
        <v>5786</v>
      </c>
    </row>
    <row r="208" customFormat="false" ht="25.5" hidden="false" customHeight="true" outlineLevel="0" collapsed="false">
      <c r="A208" s="10" t="s">
        <v>5927</v>
      </c>
      <c r="B208" s="9" t="n">
        <v>2</v>
      </c>
      <c r="C208" s="10" t="s">
        <v>2140</v>
      </c>
      <c r="D208" s="10" t="s">
        <v>5928</v>
      </c>
      <c r="E208" s="10" t="s">
        <v>5929</v>
      </c>
    </row>
    <row r="209" customFormat="false" ht="25.5" hidden="false" customHeight="true" outlineLevel="0" collapsed="false">
      <c r="A209" s="10" t="s">
        <v>5930</v>
      </c>
      <c r="B209" s="9" t="n">
        <v>2</v>
      </c>
      <c r="C209" s="10" t="s">
        <v>2713</v>
      </c>
      <c r="D209" s="10" t="s">
        <v>5665</v>
      </c>
      <c r="E209" s="10" t="s">
        <v>5666</v>
      </c>
    </row>
    <row r="210" customFormat="false" ht="25.5" hidden="false" customHeight="true" outlineLevel="0" collapsed="false">
      <c r="A210" s="10" t="s">
        <v>5931</v>
      </c>
      <c r="B210" s="9" t="n">
        <v>2</v>
      </c>
      <c r="C210" s="10" t="s">
        <v>5358</v>
      </c>
      <c r="D210" s="10" t="s">
        <v>5932</v>
      </c>
      <c r="E210" s="10" t="s">
        <v>5933</v>
      </c>
    </row>
    <row r="211" customFormat="false" ht="25.5" hidden="false" customHeight="true" outlineLevel="0" collapsed="false">
      <c r="A211" s="10" t="s">
        <v>5934</v>
      </c>
      <c r="B211" s="9" t="n">
        <v>2</v>
      </c>
      <c r="C211" s="10" t="s">
        <v>2713</v>
      </c>
      <c r="D211" s="10" t="s">
        <v>5440</v>
      </c>
      <c r="E211" s="10" t="s">
        <v>5935</v>
      </c>
    </row>
    <row r="212" customFormat="false" ht="25.5" hidden="false" customHeight="true" outlineLevel="0" collapsed="false">
      <c r="A212" s="10" t="s">
        <v>5936</v>
      </c>
      <c r="B212" s="9" t="n">
        <v>2</v>
      </c>
      <c r="C212" s="10" t="s">
        <v>2140</v>
      </c>
      <c r="D212" s="10" t="s">
        <v>5937</v>
      </c>
      <c r="E212" s="10" t="s">
        <v>5938</v>
      </c>
    </row>
    <row r="213" customFormat="false" ht="25.5" hidden="false" customHeight="true" outlineLevel="0" collapsed="false">
      <c r="A213" s="10" t="s">
        <v>5939</v>
      </c>
      <c r="B213" s="9" t="n">
        <v>2</v>
      </c>
      <c r="C213" s="10" t="s">
        <v>3291</v>
      </c>
      <c r="D213" s="10" t="s">
        <v>5940</v>
      </c>
      <c r="E213" s="10" t="s">
        <v>5941</v>
      </c>
    </row>
    <row r="214" customFormat="false" ht="25.5" hidden="false" customHeight="true" outlineLevel="0" collapsed="false">
      <c r="A214" s="10" t="s">
        <v>5942</v>
      </c>
      <c r="B214" s="9" t="n">
        <v>2</v>
      </c>
      <c r="C214" s="10" t="s">
        <v>2713</v>
      </c>
      <c r="D214" s="10" t="s">
        <v>5943</v>
      </c>
      <c r="E214" s="10" t="s">
        <v>5944</v>
      </c>
    </row>
    <row r="215" customFormat="false" ht="25.5" hidden="false" customHeight="true" outlineLevel="0" collapsed="false">
      <c r="A215" s="10" t="s">
        <v>5945</v>
      </c>
      <c r="B215" s="9" t="n">
        <v>2</v>
      </c>
      <c r="C215" s="10" t="s">
        <v>837</v>
      </c>
      <c r="D215" s="10" t="s">
        <v>5946</v>
      </c>
      <c r="E215" s="10" t="s">
        <v>5947</v>
      </c>
    </row>
    <row r="216" customFormat="false" ht="25.5" hidden="false" customHeight="true" outlineLevel="0" collapsed="false">
      <c r="A216" s="10" t="s">
        <v>5948</v>
      </c>
      <c r="B216" s="9" t="n">
        <v>2</v>
      </c>
      <c r="C216" s="10" t="s">
        <v>5549</v>
      </c>
      <c r="D216" s="10" t="s">
        <v>5949</v>
      </c>
      <c r="E216" s="10" t="s">
        <v>5950</v>
      </c>
    </row>
    <row r="217" customFormat="false" ht="25.5" hidden="false" customHeight="true" outlineLevel="0" collapsed="false">
      <c r="A217" s="10" t="s">
        <v>5951</v>
      </c>
      <c r="B217" s="9" t="n">
        <v>2</v>
      </c>
      <c r="C217" s="10" t="s">
        <v>1500</v>
      </c>
      <c r="D217" s="10" t="s">
        <v>5952</v>
      </c>
      <c r="E217" s="10" t="s">
        <v>5953</v>
      </c>
    </row>
    <row r="218" customFormat="false" ht="25.5" hidden="false" customHeight="true" outlineLevel="0" collapsed="false">
      <c r="A218" s="10" t="s">
        <v>5954</v>
      </c>
      <c r="B218" s="9" t="n">
        <v>2</v>
      </c>
      <c r="C218" s="10" t="s">
        <v>1500</v>
      </c>
      <c r="D218" s="10" t="s">
        <v>5638</v>
      </c>
      <c r="E218" s="10" t="s">
        <v>5639</v>
      </c>
    </row>
    <row r="219" customFormat="false" ht="25.5" hidden="false" customHeight="true" outlineLevel="0" collapsed="false">
      <c r="A219" s="10" t="s">
        <v>5955</v>
      </c>
      <c r="B219" s="9" t="n">
        <v>2</v>
      </c>
      <c r="C219" s="10" t="s">
        <v>3291</v>
      </c>
      <c r="D219" s="10" t="s">
        <v>5956</v>
      </c>
      <c r="E219" s="10" t="s">
        <v>5957</v>
      </c>
    </row>
    <row r="220" customFormat="false" ht="25.5" hidden="false" customHeight="true" outlineLevel="0" collapsed="false">
      <c r="A220" s="10" t="s">
        <v>5958</v>
      </c>
      <c r="B220" s="9" t="n">
        <v>1</v>
      </c>
      <c r="C220" s="10" t="s">
        <v>2140</v>
      </c>
      <c r="D220" s="10" t="s">
        <v>5959</v>
      </c>
      <c r="E220" s="10" t="s">
        <v>2403</v>
      </c>
    </row>
    <row r="221" customFormat="false" ht="25.5" hidden="false" customHeight="true" outlineLevel="0" collapsed="false">
      <c r="A221" s="10" t="s">
        <v>5960</v>
      </c>
      <c r="B221" s="9" t="n">
        <v>1</v>
      </c>
      <c r="C221" s="10" t="s">
        <v>2140</v>
      </c>
      <c r="D221" s="10" t="s">
        <v>5598</v>
      </c>
      <c r="E221" s="10" t="s">
        <v>2166</v>
      </c>
    </row>
    <row r="222" customFormat="false" ht="25.5" hidden="false" customHeight="true" outlineLevel="0" collapsed="false">
      <c r="A222" s="10" t="s">
        <v>5961</v>
      </c>
      <c r="B222" s="9" t="n">
        <v>1</v>
      </c>
      <c r="C222" s="10" t="s">
        <v>2140</v>
      </c>
      <c r="D222" s="10" t="s">
        <v>5962</v>
      </c>
      <c r="E222" s="10" t="s">
        <v>2505</v>
      </c>
    </row>
    <row r="223" customFormat="false" ht="25.5" hidden="false" customHeight="true" outlineLevel="0" collapsed="false">
      <c r="A223" s="10" t="s">
        <v>5963</v>
      </c>
      <c r="B223" s="9" t="n">
        <v>1</v>
      </c>
      <c r="C223" s="10" t="s">
        <v>2140</v>
      </c>
      <c r="D223" s="10" t="s">
        <v>5962</v>
      </c>
      <c r="E223" s="10" t="s">
        <v>2505</v>
      </c>
    </row>
    <row r="224" customFormat="false" ht="25.5" hidden="false" customHeight="true" outlineLevel="0" collapsed="false">
      <c r="A224" s="10" t="s">
        <v>5964</v>
      </c>
      <c r="B224" s="9" t="n">
        <v>1</v>
      </c>
      <c r="C224" s="10" t="s">
        <v>2140</v>
      </c>
      <c r="D224" s="10" t="s">
        <v>5959</v>
      </c>
      <c r="E224" s="10" t="s">
        <v>2403</v>
      </c>
    </row>
    <row r="225" customFormat="false" ht="25.5" hidden="false" customHeight="true" outlineLevel="0" collapsed="false">
      <c r="A225" s="10" t="s">
        <v>5965</v>
      </c>
      <c r="B225" s="9" t="n">
        <v>1</v>
      </c>
      <c r="C225" s="10" t="s">
        <v>4582</v>
      </c>
      <c r="D225" s="10" t="s">
        <v>5966</v>
      </c>
      <c r="E225" s="10" t="s">
        <v>4620</v>
      </c>
    </row>
    <row r="226" customFormat="false" ht="25.5" hidden="false" customHeight="true" outlineLevel="0" collapsed="false">
      <c r="A226" s="10" t="s">
        <v>5967</v>
      </c>
      <c r="B226" s="9" t="n">
        <v>1</v>
      </c>
      <c r="C226" s="10" t="s">
        <v>4582</v>
      </c>
      <c r="D226" s="10" t="s">
        <v>5966</v>
      </c>
      <c r="E226" s="10" t="s">
        <v>4620</v>
      </c>
    </row>
    <row r="227" customFormat="false" ht="25.5" hidden="false" customHeight="true" outlineLevel="0" collapsed="false">
      <c r="A227" s="10" t="s">
        <v>5968</v>
      </c>
      <c r="B227" s="9" t="n">
        <v>1</v>
      </c>
      <c r="C227" s="10" t="s">
        <v>2140</v>
      </c>
      <c r="D227" s="10" t="s">
        <v>5598</v>
      </c>
      <c r="E227" s="10" t="s">
        <v>2166</v>
      </c>
    </row>
    <row r="228" customFormat="false" ht="25.5" hidden="false" customHeight="true" outlineLevel="0" collapsed="false">
      <c r="A228" s="10" t="s">
        <v>5969</v>
      </c>
      <c r="B228" s="9" t="n">
        <v>1</v>
      </c>
      <c r="C228" s="10" t="s">
        <v>59</v>
      </c>
      <c r="D228" s="10" t="s">
        <v>5858</v>
      </c>
      <c r="E228" s="10" t="s">
        <v>825</v>
      </c>
    </row>
    <row r="229" customFormat="false" ht="25.5" hidden="false" customHeight="true" outlineLevel="0" collapsed="false">
      <c r="A229" s="10" t="s">
        <v>5970</v>
      </c>
      <c r="B229" s="9" t="n">
        <v>1</v>
      </c>
      <c r="C229" s="10" t="s">
        <v>59</v>
      </c>
      <c r="D229" s="10" t="s">
        <v>5699</v>
      </c>
      <c r="E229" s="10" t="s">
        <v>304</v>
      </c>
    </row>
    <row r="230" customFormat="false" ht="25.5" hidden="false" customHeight="true" outlineLevel="0" collapsed="false">
      <c r="A230" s="10" t="s">
        <v>5971</v>
      </c>
      <c r="B230" s="9" t="n">
        <v>1</v>
      </c>
      <c r="C230" s="10" t="s">
        <v>4949</v>
      </c>
      <c r="D230" s="10" t="s">
        <v>5972</v>
      </c>
      <c r="E230" s="10" t="s">
        <v>5112</v>
      </c>
    </row>
    <row r="231" customFormat="false" ht="25.5" hidden="false" customHeight="true" outlineLevel="0" collapsed="false">
      <c r="A231" s="10" t="s">
        <v>5973</v>
      </c>
      <c r="B231" s="9" t="n">
        <v>1</v>
      </c>
      <c r="C231" s="10" t="s">
        <v>4949</v>
      </c>
      <c r="D231" s="10" t="s">
        <v>5972</v>
      </c>
      <c r="E231" s="10" t="s">
        <v>5112</v>
      </c>
    </row>
    <row r="232" customFormat="false" ht="25.5" hidden="false" customHeight="true" outlineLevel="0" collapsed="false">
      <c r="A232" s="10" t="s">
        <v>5974</v>
      </c>
      <c r="B232" s="9" t="n">
        <v>1</v>
      </c>
      <c r="C232" s="10" t="s">
        <v>4949</v>
      </c>
      <c r="D232" s="10" t="s">
        <v>5972</v>
      </c>
      <c r="E232" s="10" t="s">
        <v>5112</v>
      </c>
    </row>
    <row r="233" customFormat="false" ht="25.5" hidden="false" customHeight="true" outlineLevel="0" collapsed="false">
      <c r="A233" s="10" t="s">
        <v>5975</v>
      </c>
      <c r="B233" s="9" t="n">
        <v>1</v>
      </c>
      <c r="C233" s="10" t="s">
        <v>4949</v>
      </c>
      <c r="D233" s="10" t="s">
        <v>5972</v>
      </c>
      <c r="E233" s="10" t="s">
        <v>5112</v>
      </c>
    </row>
    <row r="234" customFormat="false" ht="25.5" hidden="false" customHeight="true" outlineLevel="0" collapsed="false">
      <c r="A234" s="10" t="s">
        <v>5976</v>
      </c>
      <c r="B234" s="9" t="n">
        <v>1</v>
      </c>
      <c r="C234" s="10" t="s">
        <v>3291</v>
      </c>
      <c r="D234" s="10" t="s">
        <v>5977</v>
      </c>
      <c r="E234" s="10" t="s">
        <v>3354</v>
      </c>
    </row>
    <row r="235" customFormat="false" ht="25.5" hidden="false" customHeight="true" outlineLevel="0" collapsed="false">
      <c r="A235" s="10" t="s">
        <v>5978</v>
      </c>
      <c r="B235" s="9" t="n">
        <v>1</v>
      </c>
      <c r="C235" s="10" t="s">
        <v>2713</v>
      </c>
      <c r="D235" s="10" t="s">
        <v>5979</v>
      </c>
      <c r="E235" s="10" t="s">
        <v>3156</v>
      </c>
    </row>
    <row r="236" customFormat="false" ht="25.5" hidden="false" customHeight="true" outlineLevel="0" collapsed="false">
      <c r="A236" s="10" t="s">
        <v>5980</v>
      </c>
      <c r="B236" s="9" t="n">
        <v>1</v>
      </c>
      <c r="C236" s="10" t="s">
        <v>3842</v>
      </c>
      <c r="D236" s="10" t="s">
        <v>5981</v>
      </c>
      <c r="E236" s="10" t="s">
        <v>4049</v>
      </c>
    </row>
    <row r="237" customFormat="false" ht="25.5" hidden="false" customHeight="true" outlineLevel="0" collapsed="false">
      <c r="A237" s="10" t="s">
        <v>5982</v>
      </c>
      <c r="B237" s="9" t="n">
        <v>1</v>
      </c>
      <c r="C237" s="10" t="s">
        <v>837</v>
      </c>
      <c r="D237" s="10" t="s">
        <v>5983</v>
      </c>
      <c r="E237" s="10" t="s">
        <v>942</v>
      </c>
    </row>
    <row r="238" customFormat="false" ht="25.5" hidden="false" customHeight="true" outlineLevel="0" collapsed="false">
      <c r="A238" s="10" t="s">
        <v>5984</v>
      </c>
      <c r="B238" s="9" t="n">
        <v>1</v>
      </c>
      <c r="C238" s="10" t="s">
        <v>3842</v>
      </c>
      <c r="D238" s="10" t="s">
        <v>5985</v>
      </c>
      <c r="E238" s="10" t="s">
        <v>4062</v>
      </c>
    </row>
    <row r="239" customFormat="false" ht="25.5" hidden="false" customHeight="true" outlineLevel="0" collapsed="false">
      <c r="A239" s="10" t="s">
        <v>5986</v>
      </c>
      <c r="B239" s="9" t="n">
        <v>1</v>
      </c>
      <c r="C239" s="10" t="s">
        <v>837</v>
      </c>
      <c r="D239" s="10" t="s">
        <v>5987</v>
      </c>
      <c r="E239" s="10" t="s">
        <v>1286</v>
      </c>
    </row>
    <row r="240" customFormat="false" ht="25.5" hidden="false" customHeight="true" outlineLevel="0" collapsed="false">
      <c r="A240" s="10" t="s">
        <v>5988</v>
      </c>
      <c r="B240" s="9" t="n">
        <v>1</v>
      </c>
      <c r="C240" s="10" t="s">
        <v>3291</v>
      </c>
      <c r="D240" s="10" t="s">
        <v>5989</v>
      </c>
      <c r="E240" s="10" t="s">
        <v>3460</v>
      </c>
    </row>
    <row r="241" customFormat="false" ht="25.5" hidden="false" customHeight="true" outlineLevel="0" collapsed="false">
      <c r="A241" s="10" t="s">
        <v>5990</v>
      </c>
      <c r="B241" s="9" t="n">
        <v>1</v>
      </c>
      <c r="C241" s="10" t="s">
        <v>3291</v>
      </c>
      <c r="D241" s="10" t="s">
        <v>5991</v>
      </c>
      <c r="E241" s="10" t="s">
        <v>3341</v>
      </c>
    </row>
    <row r="242" customFormat="false" ht="25.5" hidden="false" customHeight="true" outlineLevel="0" collapsed="false">
      <c r="A242" s="10" t="s">
        <v>5992</v>
      </c>
      <c r="B242" s="9" t="n">
        <v>1</v>
      </c>
      <c r="C242" s="10" t="s">
        <v>3291</v>
      </c>
      <c r="D242" s="10" t="s">
        <v>5993</v>
      </c>
      <c r="E242" s="10" t="s">
        <v>3367</v>
      </c>
    </row>
    <row r="243" customFormat="false" ht="25.5" hidden="false" customHeight="true" outlineLevel="0" collapsed="false">
      <c r="A243" s="10" t="s">
        <v>5994</v>
      </c>
      <c r="B243" s="9" t="n">
        <v>1</v>
      </c>
      <c r="C243" s="10" t="s">
        <v>4582</v>
      </c>
      <c r="D243" s="10" t="s">
        <v>5995</v>
      </c>
      <c r="E243" s="10" t="s">
        <v>4581</v>
      </c>
    </row>
    <row r="244" customFormat="false" ht="25.5" hidden="false" customHeight="true" outlineLevel="0" collapsed="false">
      <c r="A244" s="10" t="s">
        <v>5996</v>
      </c>
      <c r="B244" s="9" t="n">
        <v>1</v>
      </c>
      <c r="C244" s="10" t="s">
        <v>2713</v>
      </c>
      <c r="D244" s="10" t="s">
        <v>5870</v>
      </c>
      <c r="E244" s="10" t="s">
        <v>2987</v>
      </c>
    </row>
    <row r="245" customFormat="false" ht="25.5" hidden="false" customHeight="true" outlineLevel="0" collapsed="false">
      <c r="A245" s="10" t="s">
        <v>5997</v>
      </c>
      <c r="B245" s="9" t="n">
        <v>1</v>
      </c>
      <c r="C245" s="10" t="s">
        <v>3291</v>
      </c>
      <c r="D245" s="10" t="s">
        <v>5993</v>
      </c>
      <c r="E245" s="10" t="s">
        <v>3367</v>
      </c>
    </row>
    <row r="246" customFormat="false" ht="25.5" hidden="false" customHeight="true" outlineLevel="0" collapsed="false">
      <c r="A246" s="10" t="s">
        <v>5998</v>
      </c>
      <c r="B246" s="9" t="n">
        <v>1</v>
      </c>
      <c r="C246" s="10" t="s">
        <v>3291</v>
      </c>
      <c r="D246" s="10" t="s">
        <v>5999</v>
      </c>
      <c r="E246" s="10" t="s">
        <v>3290</v>
      </c>
    </row>
    <row r="247" customFormat="false" ht="25.5" hidden="false" customHeight="true" outlineLevel="0" collapsed="false">
      <c r="A247" s="10" t="s">
        <v>6000</v>
      </c>
      <c r="B247" s="9" t="n">
        <v>1</v>
      </c>
      <c r="C247" s="10" t="s">
        <v>1500</v>
      </c>
      <c r="D247" s="10" t="s">
        <v>6001</v>
      </c>
      <c r="E247" s="10" t="s">
        <v>1924</v>
      </c>
    </row>
    <row r="248" customFormat="false" ht="25.5" hidden="false" customHeight="true" outlineLevel="0" collapsed="false">
      <c r="A248" s="10" t="s">
        <v>6002</v>
      </c>
      <c r="B248" s="9" t="n">
        <v>1</v>
      </c>
      <c r="C248" s="10" t="s">
        <v>4582</v>
      </c>
      <c r="D248" s="10" t="s">
        <v>5995</v>
      </c>
      <c r="E248" s="10" t="s">
        <v>4581</v>
      </c>
    </row>
    <row r="249" customFormat="false" ht="25.5" hidden="false" customHeight="true" outlineLevel="0" collapsed="false">
      <c r="A249" s="10" t="s">
        <v>6003</v>
      </c>
      <c r="B249" s="9" t="n">
        <v>1</v>
      </c>
      <c r="C249" s="10" t="s">
        <v>1500</v>
      </c>
      <c r="D249" s="10" t="s">
        <v>6004</v>
      </c>
      <c r="E249" s="10" t="s">
        <v>1588</v>
      </c>
    </row>
    <row r="250" customFormat="false" ht="25.5" hidden="false" customHeight="true" outlineLevel="0" collapsed="false">
      <c r="A250" s="10" t="s">
        <v>6005</v>
      </c>
      <c r="B250" s="9" t="n">
        <v>1</v>
      </c>
      <c r="C250" s="10" t="s">
        <v>3842</v>
      </c>
      <c r="D250" s="10" t="s">
        <v>6006</v>
      </c>
      <c r="E250" s="10" t="s">
        <v>3956</v>
      </c>
    </row>
    <row r="251" customFormat="false" ht="25.5" hidden="false" customHeight="true" outlineLevel="0" collapsed="false">
      <c r="A251" s="10" t="s">
        <v>6007</v>
      </c>
      <c r="B251" s="9" t="n">
        <v>1</v>
      </c>
      <c r="C251" s="10" t="s">
        <v>4582</v>
      </c>
      <c r="D251" s="10" t="s">
        <v>5995</v>
      </c>
      <c r="E251" s="10" t="s">
        <v>4581</v>
      </c>
    </row>
    <row r="252" customFormat="false" ht="25.5" hidden="false" customHeight="true" outlineLevel="0" collapsed="false">
      <c r="A252" s="10" t="s">
        <v>6008</v>
      </c>
      <c r="B252" s="9" t="n">
        <v>1</v>
      </c>
      <c r="C252" s="10" t="s">
        <v>1500</v>
      </c>
      <c r="D252" s="10" t="s">
        <v>6001</v>
      </c>
      <c r="E252" s="10" t="s">
        <v>1924</v>
      </c>
    </row>
    <row r="253" customFormat="false" ht="25.5" hidden="false" customHeight="true" outlineLevel="0" collapsed="false">
      <c r="A253" s="10" t="s">
        <v>6009</v>
      </c>
      <c r="B253" s="9" t="n">
        <v>1</v>
      </c>
      <c r="C253" s="10" t="s">
        <v>3291</v>
      </c>
      <c r="D253" s="10" t="s">
        <v>6010</v>
      </c>
      <c r="E253" s="10" t="s">
        <v>3304</v>
      </c>
    </row>
    <row r="254" customFormat="false" ht="25.5" hidden="false" customHeight="true" outlineLevel="0" collapsed="false">
      <c r="A254" s="10" t="s">
        <v>6011</v>
      </c>
      <c r="B254" s="9" t="n">
        <v>1</v>
      </c>
      <c r="C254" s="10" t="s">
        <v>3291</v>
      </c>
      <c r="D254" s="10" t="s">
        <v>5993</v>
      </c>
      <c r="E254" s="10" t="s">
        <v>3367</v>
      </c>
    </row>
    <row r="255" customFormat="false" ht="25.5" hidden="false" customHeight="true" outlineLevel="0" collapsed="false">
      <c r="A255" s="10" t="s">
        <v>6012</v>
      </c>
      <c r="B255" s="9" t="n">
        <v>1</v>
      </c>
      <c r="C255" s="10" t="s">
        <v>837</v>
      </c>
      <c r="D255" s="10" t="s">
        <v>6013</v>
      </c>
      <c r="E255" s="10" t="s">
        <v>1446</v>
      </c>
    </row>
    <row r="256" customFormat="false" ht="25.5" hidden="false" customHeight="true" outlineLevel="0" collapsed="false">
      <c r="A256" s="10" t="s">
        <v>6014</v>
      </c>
      <c r="B256" s="9" t="n">
        <v>1</v>
      </c>
      <c r="C256" s="10" t="s">
        <v>837</v>
      </c>
      <c r="D256" s="10" t="s">
        <v>6013</v>
      </c>
      <c r="E256" s="10" t="s">
        <v>1446</v>
      </c>
    </row>
    <row r="257" customFormat="false" ht="25.5" hidden="false" customHeight="true" outlineLevel="0" collapsed="false">
      <c r="A257" s="10" t="s">
        <v>6015</v>
      </c>
      <c r="B257" s="9" t="n">
        <v>1</v>
      </c>
      <c r="C257" s="10" t="s">
        <v>2713</v>
      </c>
      <c r="D257" s="10" t="s">
        <v>6016</v>
      </c>
      <c r="E257" s="10" t="s">
        <v>3230</v>
      </c>
    </row>
    <row r="258" customFormat="false" ht="25.5" hidden="false" customHeight="true" outlineLevel="0" collapsed="false">
      <c r="A258" s="10" t="s">
        <v>6017</v>
      </c>
      <c r="B258" s="9" t="n">
        <v>1</v>
      </c>
      <c r="C258" s="10" t="s">
        <v>4949</v>
      </c>
      <c r="D258" s="10" t="s">
        <v>6018</v>
      </c>
      <c r="E258" s="10" t="s">
        <v>5017</v>
      </c>
    </row>
    <row r="259" customFormat="false" ht="25.5" hidden="false" customHeight="true" outlineLevel="0" collapsed="false">
      <c r="A259" s="10" t="s">
        <v>6019</v>
      </c>
      <c r="B259" s="9" t="n">
        <v>1</v>
      </c>
      <c r="C259" s="10" t="s">
        <v>837</v>
      </c>
      <c r="D259" s="10" t="s">
        <v>6020</v>
      </c>
      <c r="E259" s="10" t="s">
        <v>1111</v>
      </c>
    </row>
    <row r="260" customFormat="false" ht="25.5" hidden="false" customHeight="true" outlineLevel="0" collapsed="false">
      <c r="A260" s="10" t="s">
        <v>6021</v>
      </c>
      <c r="B260" s="9" t="n">
        <v>1</v>
      </c>
      <c r="C260" s="10" t="s">
        <v>837</v>
      </c>
      <c r="D260" s="10" t="s">
        <v>6020</v>
      </c>
      <c r="E260" s="10" t="s">
        <v>1111</v>
      </c>
    </row>
    <row r="261" customFormat="false" ht="25.5" hidden="false" customHeight="true" outlineLevel="0" collapsed="false">
      <c r="A261" s="10" t="s">
        <v>6022</v>
      </c>
      <c r="B261" s="9" t="n">
        <v>1</v>
      </c>
      <c r="C261" s="10" t="s">
        <v>837</v>
      </c>
      <c r="D261" s="10" t="s">
        <v>6023</v>
      </c>
      <c r="E261" s="10" t="s">
        <v>1123</v>
      </c>
    </row>
    <row r="262" customFormat="false" ht="25.5" hidden="false" customHeight="true" outlineLevel="0" collapsed="false">
      <c r="A262" s="10" t="s">
        <v>6024</v>
      </c>
      <c r="B262" s="9" t="n">
        <v>1</v>
      </c>
      <c r="C262" s="10" t="s">
        <v>837</v>
      </c>
      <c r="D262" s="10" t="s">
        <v>6023</v>
      </c>
      <c r="E262" s="10" t="s">
        <v>1123</v>
      </c>
    </row>
    <row r="263" customFormat="false" ht="25.5" hidden="false" customHeight="true" outlineLevel="0" collapsed="false">
      <c r="A263" s="10" t="s">
        <v>6025</v>
      </c>
      <c r="B263" s="9" t="n">
        <v>1</v>
      </c>
      <c r="C263" s="10" t="s">
        <v>837</v>
      </c>
      <c r="D263" s="10" t="s">
        <v>6023</v>
      </c>
      <c r="E263" s="10" t="s">
        <v>1123</v>
      </c>
    </row>
    <row r="264" customFormat="false" ht="25.5" hidden="false" customHeight="true" outlineLevel="0" collapsed="false">
      <c r="A264" s="10" t="s">
        <v>6026</v>
      </c>
      <c r="B264" s="9" t="n">
        <v>1</v>
      </c>
      <c r="C264" s="10" t="s">
        <v>837</v>
      </c>
      <c r="D264" s="10" t="s">
        <v>6023</v>
      </c>
      <c r="E264" s="10" t="s">
        <v>1123</v>
      </c>
    </row>
    <row r="265" customFormat="false" ht="25.5" hidden="false" customHeight="true" outlineLevel="0" collapsed="false">
      <c r="A265" s="10" t="s">
        <v>6027</v>
      </c>
      <c r="B265" s="9" t="n">
        <v>1</v>
      </c>
      <c r="C265" s="10" t="s">
        <v>59</v>
      </c>
      <c r="D265" s="10" t="s">
        <v>6028</v>
      </c>
      <c r="E265" s="10" t="s">
        <v>800</v>
      </c>
    </row>
    <row r="266" customFormat="false" ht="25.5" hidden="false" customHeight="true" outlineLevel="0" collapsed="false">
      <c r="A266" s="10" t="s">
        <v>6029</v>
      </c>
      <c r="B266" s="9" t="n">
        <v>1</v>
      </c>
      <c r="C266" s="10" t="s">
        <v>59</v>
      </c>
      <c r="D266" s="10" t="s">
        <v>6030</v>
      </c>
      <c r="E266" s="10" t="s">
        <v>391</v>
      </c>
    </row>
    <row r="267" customFormat="false" ht="25.5" hidden="false" customHeight="true" outlineLevel="0" collapsed="false">
      <c r="A267" s="10" t="s">
        <v>6031</v>
      </c>
      <c r="B267" s="9" t="n">
        <v>1</v>
      </c>
      <c r="C267" s="10" t="s">
        <v>59</v>
      </c>
      <c r="D267" s="10" t="s">
        <v>6030</v>
      </c>
      <c r="E267" s="10" t="s">
        <v>391</v>
      </c>
    </row>
    <row r="268" customFormat="false" ht="25.5" hidden="false" customHeight="true" outlineLevel="0" collapsed="false">
      <c r="A268" s="10" t="s">
        <v>6032</v>
      </c>
      <c r="B268" s="9" t="n">
        <v>1</v>
      </c>
      <c r="C268" s="10" t="s">
        <v>59</v>
      </c>
      <c r="D268" s="10" t="s">
        <v>235</v>
      </c>
      <c r="E268" s="10" t="s">
        <v>354</v>
      </c>
    </row>
    <row r="269" customFormat="false" ht="25.5" hidden="false" customHeight="true" outlineLevel="0" collapsed="false">
      <c r="A269" s="10" t="s">
        <v>6033</v>
      </c>
      <c r="B269" s="9" t="n">
        <v>1</v>
      </c>
      <c r="C269" s="10" t="s">
        <v>2140</v>
      </c>
      <c r="D269" s="10" t="s">
        <v>5690</v>
      </c>
      <c r="E269" s="10" t="s">
        <v>2621</v>
      </c>
    </row>
    <row r="270" customFormat="false" ht="25.5" hidden="false" customHeight="true" outlineLevel="0" collapsed="false">
      <c r="A270" s="10" t="s">
        <v>6034</v>
      </c>
      <c r="B270" s="9" t="n">
        <v>1</v>
      </c>
      <c r="C270" s="10" t="s">
        <v>3842</v>
      </c>
      <c r="D270" s="10" t="s">
        <v>5690</v>
      </c>
      <c r="E270" s="10" t="s">
        <v>4112</v>
      </c>
    </row>
    <row r="271" customFormat="false" ht="25.5" hidden="false" customHeight="true" outlineLevel="0" collapsed="false">
      <c r="A271" s="10" t="s">
        <v>6035</v>
      </c>
      <c r="B271" s="9" t="n">
        <v>1</v>
      </c>
      <c r="C271" s="10" t="s">
        <v>2713</v>
      </c>
      <c r="D271" s="10" t="s">
        <v>6036</v>
      </c>
      <c r="E271" s="10" t="s">
        <v>2867</v>
      </c>
    </row>
    <row r="272" customFormat="false" ht="25.5" hidden="false" customHeight="true" outlineLevel="0" collapsed="false">
      <c r="A272" s="10" t="s">
        <v>6037</v>
      </c>
      <c r="B272" s="9" t="n">
        <v>1</v>
      </c>
      <c r="C272" s="10" t="s">
        <v>837</v>
      </c>
      <c r="D272" s="10" t="s">
        <v>6038</v>
      </c>
      <c r="E272" s="10" t="s">
        <v>1177</v>
      </c>
    </row>
    <row r="273" customFormat="false" ht="25.5" hidden="false" customHeight="true" outlineLevel="0" collapsed="false">
      <c r="A273" s="10" t="s">
        <v>6039</v>
      </c>
      <c r="B273" s="9" t="n">
        <v>1</v>
      </c>
      <c r="C273" s="10" t="s">
        <v>59</v>
      </c>
      <c r="D273" s="10" t="s">
        <v>6030</v>
      </c>
      <c r="E273" s="10" t="s">
        <v>391</v>
      </c>
    </row>
    <row r="274" customFormat="false" ht="25.5" hidden="false" customHeight="true" outlineLevel="0" collapsed="false">
      <c r="A274" s="10" t="s">
        <v>6040</v>
      </c>
      <c r="B274" s="9" t="n">
        <v>1</v>
      </c>
      <c r="C274" s="10" t="s">
        <v>2713</v>
      </c>
      <c r="D274" s="10" t="s">
        <v>3113</v>
      </c>
      <c r="E274" s="10" t="s">
        <v>3106</v>
      </c>
    </row>
    <row r="275" customFormat="false" ht="25.5" hidden="false" customHeight="true" outlineLevel="0" collapsed="false">
      <c r="A275" s="10" t="s">
        <v>6041</v>
      </c>
      <c r="B275" s="9" t="n">
        <v>1</v>
      </c>
      <c r="C275" s="10" t="s">
        <v>2713</v>
      </c>
      <c r="D275" s="10" t="s">
        <v>3113</v>
      </c>
      <c r="E275" s="10" t="s">
        <v>3106</v>
      </c>
    </row>
    <row r="276" customFormat="false" ht="25.5" hidden="false" customHeight="true" outlineLevel="0" collapsed="false">
      <c r="A276" s="10" t="s">
        <v>6042</v>
      </c>
      <c r="B276" s="9" t="n">
        <v>1</v>
      </c>
      <c r="C276" s="10" t="s">
        <v>4949</v>
      </c>
      <c r="D276" s="10" t="s">
        <v>6043</v>
      </c>
      <c r="E276" s="10" t="s">
        <v>5044</v>
      </c>
    </row>
    <row r="277" customFormat="false" ht="25.5" hidden="false" customHeight="true" outlineLevel="0" collapsed="false">
      <c r="A277" s="10" t="s">
        <v>6044</v>
      </c>
      <c r="B277" s="9" t="n">
        <v>1</v>
      </c>
      <c r="C277" s="10" t="s">
        <v>837</v>
      </c>
      <c r="D277" s="10" t="s">
        <v>6045</v>
      </c>
      <c r="E277" s="10" t="s">
        <v>1034</v>
      </c>
    </row>
    <row r="278" customFormat="false" ht="25.5" hidden="false" customHeight="true" outlineLevel="0" collapsed="false">
      <c r="A278" s="10" t="s">
        <v>6046</v>
      </c>
      <c r="B278" s="9" t="n">
        <v>1</v>
      </c>
      <c r="C278" s="10" t="s">
        <v>1500</v>
      </c>
      <c r="D278" s="10" t="s">
        <v>6047</v>
      </c>
      <c r="E278" s="10" t="s">
        <v>2112</v>
      </c>
    </row>
    <row r="279" customFormat="false" ht="25.5" hidden="false" customHeight="true" outlineLevel="0" collapsed="false">
      <c r="A279" s="10" t="s">
        <v>6048</v>
      </c>
      <c r="B279" s="9" t="n">
        <v>1</v>
      </c>
      <c r="C279" s="10" t="s">
        <v>3291</v>
      </c>
      <c r="D279" s="10" t="s">
        <v>6049</v>
      </c>
      <c r="E279" s="10" t="s">
        <v>3735</v>
      </c>
    </row>
    <row r="280" customFormat="false" ht="25.5" hidden="false" customHeight="true" outlineLevel="0" collapsed="false">
      <c r="A280" s="10" t="s">
        <v>6050</v>
      </c>
      <c r="B280" s="9" t="n">
        <v>1</v>
      </c>
      <c r="C280" s="10" t="s">
        <v>2713</v>
      </c>
      <c r="D280" s="10" t="s">
        <v>6051</v>
      </c>
      <c r="E280" s="10" t="s">
        <v>3207</v>
      </c>
    </row>
    <row r="281" customFormat="false" ht="25.5" hidden="false" customHeight="true" outlineLevel="0" collapsed="false">
      <c r="A281" s="10" t="s">
        <v>6052</v>
      </c>
      <c r="B281" s="9" t="n">
        <v>1</v>
      </c>
      <c r="C281" s="10" t="s">
        <v>2713</v>
      </c>
      <c r="D281" s="10" t="s">
        <v>6053</v>
      </c>
      <c r="E281" s="10" t="s">
        <v>3219</v>
      </c>
    </row>
    <row r="282" customFormat="false" ht="25.5" hidden="false" customHeight="true" outlineLevel="0" collapsed="false">
      <c r="A282" s="10" t="s">
        <v>6054</v>
      </c>
      <c r="B282" s="9" t="n">
        <v>1</v>
      </c>
      <c r="C282" s="10" t="s">
        <v>2713</v>
      </c>
      <c r="D282" s="10" t="s">
        <v>6053</v>
      </c>
      <c r="E282" s="10" t="s">
        <v>3219</v>
      </c>
    </row>
    <row r="283" customFormat="false" ht="25.5" hidden="false" customHeight="true" outlineLevel="0" collapsed="false">
      <c r="A283" s="10" t="s">
        <v>6055</v>
      </c>
      <c r="B283" s="9" t="n">
        <v>1</v>
      </c>
      <c r="C283" s="10" t="s">
        <v>2713</v>
      </c>
      <c r="D283" s="10" t="s">
        <v>6053</v>
      </c>
      <c r="E283" s="10" t="s">
        <v>3219</v>
      </c>
    </row>
    <row r="284" customFormat="false" ht="25.5" hidden="false" customHeight="true" outlineLevel="0" collapsed="false">
      <c r="A284" s="10" t="s">
        <v>6056</v>
      </c>
      <c r="B284" s="9" t="n">
        <v>1</v>
      </c>
      <c r="C284" s="10" t="s">
        <v>59</v>
      </c>
      <c r="D284" s="10" t="s">
        <v>6057</v>
      </c>
      <c r="E284" s="10" t="s">
        <v>811</v>
      </c>
    </row>
    <row r="285" customFormat="false" ht="25.5" hidden="false" customHeight="true" outlineLevel="0" collapsed="false">
      <c r="A285" s="10" t="s">
        <v>6058</v>
      </c>
      <c r="B285" s="9" t="n">
        <v>1</v>
      </c>
      <c r="C285" s="10" t="s">
        <v>4582</v>
      </c>
      <c r="D285" s="10" t="s">
        <v>5589</v>
      </c>
      <c r="E285" s="10" t="s">
        <v>4675</v>
      </c>
    </row>
    <row r="286" customFormat="false" ht="25.5" hidden="false" customHeight="true" outlineLevel="0" collapsed="false">
      <c r="A286" s="10" t="s">
        <v>6059</v>
      </c>
      <c r="B286" s="9" t="n">
        <v>1</v>
      </c>
      <c r="C286" s="10" t="s">
        <v>4582</v>
      </c>
      <c r="D286" s="10" t="s">
        <v>5589</v>
      </c>
      <c r="E286" s="10" t="s">
        <v>4675</v>
      </c>
    </row>
    <row r="287" customFormat="false" ht="25.5" hidden="false" customHeight="true" outlineLevel="0" collapsed="false">
      <c r="A287" s="10" t="s">
        <v>6060</v>
      </c>
      <c r="B287" s="9" t="n">
        <v>1</v>
      </c>
      <c r="C287" s="10" t="s">
        <v>4582</v>
      </c>
      <c r="D287" s="10" t="s">
        <v>5589</v>
      </c>
      <c r="E287" s="10" t="s">
        <v>4675</v>
      </c>
    </row>
    <row r="288" customFormat="false" ht="25.5" hidden="false" customHeight="true" outlineLevel="0" collapsed="false">
      <c r="A288" s="10" t="s">
        <v>6061</v>
      </c>
      <c r="B288" s="9" t="n">
        <v>1</v>
      </c>
      <c r="C288" s="10" t="s">
        <v>4582</v>
      </c>
      <c r="D288" s="10" t="s">
        <v>5589</v>
      </c>
      <c r="E288" s="10" t="s">
        <v>4675</v>
      </c>
    </row>
    <row r="289" customFormat="false" ht="25.5" hidden="false" customHeight="true" outlineLevel="0" collapsed="false">
      <c r="A289" s="10" t="s">
        <v>6062</v>
      </c>
      <c r="B289" s="9" t="n">
        <v>1</v>
      </c>
      <c r="C289" s="10" t="s">
        <v>4582</v>
      </c>
      <c r="D289" s="10" t="s">
        <v>5589</v>
      </c>
      <c r="E289" s="10" t="s">
        <v>4688</v>
      </c>
    </row>
    <row r="290" customFormat="false" ht="25.5" hidden="false" customHeight="true" outlineLevel="0" collapsed="false">
      <c r="A290" s="10" t="s">
        <v>6063</v>
      </c>
      <c r="B290" s="9" t="n">
        <v>1</v>
      </c>
      <c r="C290" s="10" t="s">
        <v>4582</v>
      </c>
      <c r="D290" s="10" t="s">
        <v>5589</v>
      </c>
      <c r="E290" s="10" t="s">
        <v>4675</v>
      </c>
    </row>
    <row r="291" customFormat="false" ht="25.5" hidden="false" customHeight="true" outlineLevel="0" collapsed="false">
      <c r="A291" s="10" t="s">
        <v>6064</v>
      </c>
      <c r="B291" s="9" t="n">
        <v>1</v>
      </c>
      <c r="C291" s="10" t="s">
        <v>1500</v>
      </c>
      <c r="D291" s="10" t="s">
        <v>6065</v>
      </c>
      <c r="E291" s="10" t="s">
        <v>1705</v>
      </c>
    </row>
    <row r="292" customFormat="false" ht="25.5" hidden="false" customHeight="true" outlineLevel="0" collapsed="false">
      <c r="A292" s="10" t="s">
        <v>6066</v>
      </c>
      <c r="B292" s="9" t="n">
        <v>1</v>
      </c>
      <c r="C292" s="10" t="s">
        <v>2713</v>
      </c>
      <c r="D292" s="10" t="s">
        <v>3113</v>
      </c>
      <c r="E292" s="10" t="s">
        <v>3106</v>
      </c>
    </row>
    <row r="293" customFormat="false" ht="25.5" hidden="false" customHeight="true" outlineLevel="0" collapsed="false">
      <c r="A293" s="10" t="s">
        <v>6067</v>
      </c>
      <c r="B293" s="9" t="n">
        <v>1</v>
      </c>
      <c r="C293" s="10" t="s">
        <v>2140</v>
      </c>
      <c r="D293" s="10" t="s">
        <v>6068</v>
      </c>
      <c r="E293" s="10" t="s">
        <v>2530</v>
      </c>
    </row>
    <row r="294" customFormat="false" ht="25.5" hidden="false" customHeight="true" outlineLevel="0" collapsed="false">
      <c r="A294" s="10" t="s">
        <v>6069</v>
      </c>
      <c r="B294" s="9" t="n">
        <v>1</v>
      </c>
      <c r="C294" s="10" t="s">
        <v>837</v>
      </c>
      <c r="D294" s="10" t="s">
        <v>6070</v>
      </c>
      <c r="E294" s="10" t="s">
        <v>1298</v>
      </c>
    </row>
    <row r="295" customFormat="false" ht="25.5" hidden="false" customHeight="true" outlineLevel="0" collapsed="false">
      <c r="A295" s="10" t="s">
        <v>6071</v>
      </c>
      <c r="B295" s="9" t="n">
        <v>1</v>
      </c>
      <c r="C295" s="10" t="s">
        <v>2713</v>
      </c>
      <c r="D295" s="10" t="s">
        <v>6072</v>
      </c>
      <c r="E295" s="10" t="s">
        <v>2891</v>
      </c>
    </row>
    <row r="296" customFormat="false" ht="25.5" hidden="false" customHeight="true" outlineLevel="0" collapsed="false">
      <c r="A296" s="10" t="s">
        <v>6073</v>
      </c>
      <c r="B296" s="9" t="n">
        <v>1</v>
      </c>
      <c r="C296" s="10" t="s">
        <v>837</v>
      </c>
      <c r="D296" s="10" t="s">
        <v>5734</v>
      </c>
      <c r="E296" s="10" t="s">
        <v>1313</v>
      </c>
    </row>
    <row r="297" customFormat="false" ht="25.5" hidden="false" customHeight="true" outlineLevel="0" collapsed="false">
      <c r="A297" s="10" t="s">
        <v>6074</v>
      </c>
      <c r="B297" s="9" t="n">
        <v>1</v>
      </c>
      <c r="C297" s="10" t="s">
        <v>837</v>
      </c>
      <c r="D297" s="10" t="s">
        <v>6075</v>
      </c>
      <c r="E297" s="10" t="s">
        <v>968</v>
      </c>
    </row>
    <row r="298" customFormat="false" ht="25.5" hidden="false" customHeight="true" outlineLevel="0" collapsed="false">
      <c r="A298" s="10" t="s">
        <v>6076</v>
      </c>
      <c r="B298" s="9" t="n">
        <v>1</v>
      </c>
      <c r="C298" s="10" t="s">
        <v>3842</v>
      </c>
      <c r="D298" s="10" t="s">
        <v>6077</v>
      </c>
      <c r="E298" s="10" t="s">
        <v>3997</v>
      </c>
    </row>
    <row r="299" customFormat="false" ht="25.5" hidden="false" customHeight="true" outlineLevel="0" collapsed="false">
      <c r="A299" s="10" t="s">
        <v>6078</v>
      </c>
      <c r="B299" s="9" t="n">
        <v>1</v>
      </c>
      <c r="C299" s="10" t="s">
        <v>3842</v>
      </c>
      <c r="D299" s="10" t="s">
        <v>6077</v>
      </c>
      <c r="E299" s="10" t="s">
        <v>3997</v>
      </c>
    </row>
    <row r="300" customFormat="false" ht="25.5" hidden="false" customHeight="true" outlineLevel="0" collapsed="false">
      <c r="A300" s="10" t="s">
        <v>6079</v>
      </c>
      <c r="B300" s="9" t="n">
        <v>1</v>
      </c>
      <c r="C300" s="10" t="s">
        <v>837</v>
      </c>
      <c r="D300" s="10" t="s">
        <v>6080</v>
      </c>
      <c r="E300" s="10" t="s">
        <v>1340</v>
      </c>
    </row>
    <row r="301" customFormat="false" ht="25.5" hidden="false" customHeight="true" outlineLevel="0" collapsed="false">
      <c r="A301" s="10" t="s">
        <v>6081</v>
      </c>
      <c r="B301" s="9" t="n">
        <v>1</v>
      </c>
      <c r="C301" s="10" t="s">
        <v>2713</v>
      </c>
      <c r="D301" s="10" t="s">
        <v>6082</v>
      </c>
      <c r="E301" s="10" t="s">
        <v>2937</v>
      </c>
    </row>
    <row r="302" customFormat="false" ht="25.5" hidden="false" customHeight="true" outlineLevel="0" collapsed="false">
      <c r="A302" s="10" t="s">
        <v>6083</v>
      </c>
      <c r="B302" s="9" t="n">
        <v>1</v>
      </c>
      <c r="C302" s="10" t="s">
        <v>4949</v>
      </c>
      <c r="D302" s="10" t="s">
        <v>6043</v>
      </c>
      <c r="E302" s="10" t="s">
        <v>5044</v>
      </c>
    </row>
    <row r="303" customFormat="false" ht="25.5" hidden="false" customHeight="true" outlineLevel="0" collapsed="false">
      <c r="A303" s="10" t="s">
        <v>6084</v>
      </c>
      <c r="B303" s="9" t="n">
        <v>1</v>
      </c>
      <c r="C303" s="10" t="s">
        <v>1500</v>
      </c>
      <c r="D303" s="10" t="s">
        <v>6085</v>
      </c>
      <c r="E303" s="10" t="s">
        <v>1811</v>
      </c>
    </row>
    <row r="304" customFormat="false" ht="25.5" hidden="false" customHeight="true" outlineLevel="0" collapsed="false">
      <c r="A304" s="10" t="s">
        <v>6086</v>
      </c>
      <c r="B304" s="9" t="n">
        <v>1</v>
      </c>
      <c r="C304" s="10" t="s">
        <v>1500</v>
      </c>
      <c r="D304" s="10" t="s">
        <v>6085</v>
      </c>
      <c r="E304" s="10" t="s">
        <v>1811</v>
      </c>
    </row>
    <row r="305" customFormat="false" ht="25.5" hidden="false" customHeight="true" outlineLevel="0" collapsed="false">
      <c r="A305" s="10" t="s">
        <v>6087</v>
      </c>
      <c r="B305" s="9" t="n">
        <v>1</v>
      </c>
      <c r="C305" s="10" t="s">
        <v>1500</v>
      </c>
      <c r="D305" s="10" t="s">
        <v>6088</v>
      </c>
      <c r="E305" s="10" t="s">
        <v>1551</v>
      </c>
    </row>
    <row r="306" customFormat="false" ht="25.5" hidden="false" customHeight="true" outlineLevel="0" collapsed="false">
      <c r="A306" s="10" t="s">
        <v>6089</v>
      </c>
      <c r="B306" s="9" t="n">
        <v>1</v>
      </c>
      <c r="C306" s="10" t="s">
        <v>59</v>
      </c>
      <c r="D306" s="10" t="s">
        <v>5979</v>
      </c>
      <c r="E306" s="10" t="s">
        <v>708</v>
      </c>
    </row>
    <row r="307" customFormat="false" ht="25.5" hidden="false" customHeight="true" outlineLevel="0" collapsed="false">
      <c r="A307" s="10" t="s">
        <v>6090</v>
      </c>
      <c r="B307" s="9" t="n">
        <v>1</v>
      </c>
      <c r="C307" s="10" t="s">
        <v>1500</v>
      </c>
      <c r="D307" s="10" t="s">
        <v>6091</v>
      </c>
      <c r="E307" s="10" t="s">
        <v>1859</v>
      </c>
    </row>
    <row r="308" customFormat="false" ht="25.5" hidden="false" customHeight="true" outlineLevel="0" collapsed="false">
      <c r="A308" s="10" t="s">
        <v>6092</v>
      </c>
      <c r="B308" s="9" t="n">
        <v>1</v>
      </c>
      <c r="C308" s="10" t="s">
        <v>59</v>
      </c>
      <c r="D308" s="10" t="s">
        <v>5979</v>
      </c>
      <c r="E308" s="10" t="s">
        <v>708</v>
      </c>
    </row>
    <row r="309" customFormat="false" ht="25.5" hidden="false" customHeight="true" outlineLevel="0" collapsed="false">
      <c r="A309" s="10" t="s">
        <v>6093</v>
      </c>
      <c r="B309" s="9" t="n">
        <v>1</v>
      </c>
      <c r="C309" s="10" t="s">
        <v>59</v>
      </c>
      <c r="D309" s="10" t="s">
        <v>235</v>
      </c>
      <c r="E309" s="10" t="s">
        <v>535</v>
      </c>
    </row>
    <row r="310" customFormat="false" ht="25.5" hidden="false" customHeight="true" outlineLevel="0" collapsed="false">
      <c r="A310" s="10" t="s">
        <v>6094</v>
      </c>
      <c r="B310" s="9" t="n">
        <v>1</v>
      </c>
      <c r="C310" s="10" t="s">
        <v>837</v>
      </c>
      <c r="D310" s="10" t="s">
        <v>6095</v>
      </c>
      <c r="E310" s="10" t="s">
        <v>889</v>
      </c>
    </row>
    <row r="311" customFormat="false" ht="25.5" hidden="false" customHeight="true" outlineLevel="0" collapsed="false">
      <c r="A311" s="10" t="s">
        <v>6096</v>
      </c>
      <c r="B311" s="9" t="n">
        <v>1</v>
      </c>
      <c r="C311" s="10" t="s">
        <v>2713</v>
      </c>
      <c r="D311" s="10" t="s">
        <v>6097</v>
      </c>
      <c r="E311" s="10" t="s">
        <v>3011</v>
      </c>
    </row>
    <row r="312" customFormat="false" ht="25.5" hidden="false" customHeight="true" outlineLevel="0" collapsed="false">
      <c r="A312" s="10" t="s">
        <v>6098</v>
      </c>
      <c r="B312" s="9" t="n">
        <v>1</v>
      </c>
      <c r="C312" s="10" t="s">
        <v>837</v>
      </c>
      <c r="D312" s="10" t="s">
        <v>6099</v>
      </c>
      <c r="E312" s="10" t="s">
        <v>1258</v>
      </c>
    </row>
    <row r="313" customFormat="false" ht="25.5" hidden="false" customHeight="true" outlineLevel="0" collapsed="false">
      <c r="A313" s="10" t="s">
        <v>6100</v>
      </c>
      <c r="B313" s="9" t="n">
        <v>1</v>
      </c>
      <c r="C313" s="10" t="s">
        <v>2713</v>
      </c>
      <c r="D313" s="10" t="s">
        <v>6036</v>
      </c>
      <c r="E313" s="10" t="s">
        <v>2867</v>
      </c>
    </row>
    <row r="314" customFormat="false" ht="25.5" hidden="false" customHeight="true" outlineLevel="0" collapsed="false">
      <c r="A314" s="10" t="s">
        <v>6101</v>
      </c>
      <c r="B314" s="9" t="n">
        <v>1</v>
      </c>
      <c r="C314" s="10" t="s">
        <v>59</v>
      </c>
      <c r="D314" s="10" t="s">
        <v>5858</v>
      </c>
      <c r="E314" s="10" t="s">
        <v>264</v>
      </c>
    </row>
    <row r="315" customFormat="false" ht="25.5" hidden="false" customHeight="true" outlineLevel="0" collapsed="false">
      <c r="A315" s="10" t="s">
        <v>6102</v>
      </c>
      <c r="B315" s="9" t="n">
        <v>1</v>
      </c>
      <c r="C315" s="10" t="s">
        <v>4949</v>
      </c>
      <c r="D315" s="10" t="s">
        <v>5149</v>
      </c>
      <c r="E315" s="10" t="s">
        <v>5140</v>
      </c>
    </row>
    <row r="316" customFormat="false" ht="25.5" hidden="false" customHeight="true" outlineLevel="0" collapsed="false">
      <c r="A316" s="10" t="s">
        <v>6103</v>
      </c>
      <c r="B316" s="9" t="n">
        <v>1</v>
      </c>
      <c r="C316" s="10" t="s">
        <v>3291</v>
      </c>
      <c r="D316" s="10" t="s">
        <v>6104</v>
      </c>
      <c r="E316" s="10" t="s">
        <v>3446</v>
      </c>
    </row>
    <row r="317" customFormat="false" ht="25.5" hidden="false" customHeight="true" outlineLevel="0" collapsed="false">
      <c r="A317" s="10" t="s">
        <v>6105</v>
      </c>
      <c r="B317" s="9" t="n">
        <v>1</v>
      </c>
      <c r="C317" s="10" t="s">
        <v>3842</v>
      </c>
      <c r="D317" s="10" t="s">
        <v>6106</v>
      </c>
      <c r="E317" s="10" t="s">
        <v>4099</v>
      </c>
    </row>
    <row r="318" customFormat="false" ht="25.5" hidden="false" customHeight="true" outlineLevel="0" collapsed="false">
      <c r="A318" s="10" t="s">
        <v>6107</v>
      </c>
      <c r="B318" s="9" t="n">
        <v>1</v>
      </c>
      <c r="C318" s="10" t="s">
        <v>2713</v>
      </c>
      <c r="D318" s="10" t="s">
        <v>6108</v>
      </c>
      <c r="E318" s="10" t="s">
        <v>2762</v>
      </c>
    </row>
    <row r="319" customFormat="false" ht="25.5" hidden="false" customHeight="true" outlineLevel="0" collapsed="false">
      <c r="A319" s="10" t="s">
        <v>6109</v>
      </c>
      <c r="B319" s="9" t="n">
        <v>1</v>
      </c>
      <c r="C319" s="10" t="s">
        <v>2140</v>
      </c>
      <c r="D319" s="10" t="s">
        <v>2161</v>
      </c>
      <c r="E319" s="10" t="s">
        <v>2365</v>
      </c>
    </row>
    <row r="320" customFormat="false" ht="25.5" hidden="false" customHeight="true" outlineLevel="0" collapsed="false">
      <c r="A320" s="10" t="s">
        <v>6110</v>
      </c>
      <c r="B320" s="9" t="n">
        <v>1</v>
      </c>
      <c r="C320" s="10" t="s">
        <v>3842</v>
      </c>
      <c r="D320" s="10" t="s">
        <v>6111</v>
      </c>
      <c r="E320" s="10" t="s">
        <v>3983</v>
      </c>
    </row>
    <row r="321" customFormat="false" ht="25.5" hidden="false" customHeight="true" outlineLevel="0" collapsed="false">
      <c r="A321" s="10" t="s">
        <v>6112</v>
      </c>
      <c r="B321" s="9" t="n">
        <v>1</v>
      </c>
      <c r="C321" s="10" t="s">
        <v>3842</v>
      </c>
      <c r="D321" s="10" t="s">
        <v>6113</v>
      </c>
      <c r="E321" s="10" t="s">
        <v>4036</v>
      </c>
    </row>
    <row r="322" customFormat="false" ht="25.5" hidden="false" customHeight="true" outlineLevel="0" collapsed="false">
      <c r="A322" s="10" t="s">
        <v>6114</v>
      </c>
      <c r="B322" s="9" t="n">
        <v>1</v>
      </c>
      <c r="C322" s="10" t="s">
        <v>1500</v>
      </c>
      <c r="D322" s="10" t="s">
        <v>6115</v>
      </c>
      <c r="E322" s="10" t="s">
        <v>2039</v>
      </c>
    </row>
    <row r="323" customFormat="false" ht="25.5" hidden="false" customHeight="true" outlineLevel="0" collapsed="false">
      <c r="A323" s="10" t="s">
        <v>6116</v>
      </c>
      <c r="B323" s="9" t="n">
        <v>1</v>
      </c>
      <c r="C323" s="10" t="s">
        <v>1500</v>
      </c>
      <c r="D323" s="10" t="s">
        <v>6115</v>
      </c>
      <c r="E323" s="10" t="s">
        <v>2039</v>
      </c>
    </row>
    <row r="324" customFormat="false" ht="25.5" hidden="false" customHeight="true" outlineLevel="0" collapsed="false">
      <c r="A324" s="10" t="s">
        <v>6117</v>
      </c>
      <c r="B324" s="9" t="n">
        <v>1</v>
      </c>
      <c r="C324" s="10" t="s">
        <v>837</v>
      </c>
      <c r="D324" s="10" t="s">
        <v>5605</v>
      </c>
      <c r="E324" s="10" t="s">
        <v>1218</v>
      </c>
    </row>
    <row r="325" customFormat="false" ht="25.5" hidden="false" customHeight="true" outlineLevel="0" collapsed="false">
      <c r="A325" s="10" t="s">
        <v>6118</v>
      </c>
      <c r="B325" s="9" t="n">
        <v>1</v>
      </c>
      <c r="C325" s="10" t="s">
        <v>1500</v>
      </c>
      <c r="D325" s="10" t="s">
        <v>5890</v>
      </c>
      <c r="E325" s="10" t="s">
        <v>2013</v>
      </c>
    </row>
    <row r="326" customFormat="false" ht="25.5" hidden="false" customHeight="true" outlineLevel="0" collapsed="false">
      <c r="A326" s="10" t="s">
        <v>6119</v>
      </c>
      <c r="B326" s="9" t="n">
        <v>1</v>
      </c>
      <c r="C326" s="10" t="s">
        <v>1500</v>
      </c>
      <c r="D326" s="10" t="s">
        <v>6120</v>
      </c>
      <c r="E326" s="10" t="s">
        <v>1937</v>
      </c>
    </row>
    <row r="327" customFormat="false" ht="25.5" hidden="false" customHeight="true" outlineLevel="0" collapsed="false">
      <c r="A327" s="10" t="s">
        <v>6121</v>
      </c>
      <c r="B327" s="9" t="n">
        <v>1</v>
      </c>
      <c r="C327" s="10" t="s">
        <v>837</v>
      </c>
      <c r="D327" s="10" t="s">
        <v>6020</v>
      </c>
      <c r="E327" s="10" t="s">
        <v>1111</v>
      </c>
    </row>
    <row r="328" customFormat="false" ht="25.5" hidden="false" customHeight="true" outlineLevel="0" collapsed="false">
      <c r="A328" s="10" t="s">
        <v>6122</v>
      </c>
      <c r="B328" s="9" t="n">
        <v>1</v>
      </c>
      <c r="C328" s="10" t="s">
        <v>837</v>
      </c>
      <c r="D328" s="10" t="s">
        <v>6123</v>
      </c>
      <c r="E328" s="10" t="s">
        <v>916</v>
      </c>
    </row>
    <row r="329" customFormat="false" ht="25.5" hidden="false" customHeight="true" outlineLevel="0" collapsed="false">
      <c r="A329" s="10" t="s">
        <v>6124</v>
      </c>
      <c r="B329" s="9" t="n">
        <v>1</v>
      </c>
      <c r="C329" s="10" t="s">
        <v>2713</v>
      </c>
      <c r="D329" s="10" t="s">
        <v>6125</v>
      </c>
      <c r="E329" s="10" t="s">
        <v>3279</v>
      </c>
    </row>
    <row r="330" customFormat="false" ht="25.5" hidden="false" customHeight="true" outlineLevel="0" collapsed="false">
      <c r="A330" s="10" t="s">
        <v>6126</v>
      </c>
      <c r="B330" s="9" t="n">
        <v>1</v>
      </c>
      <c r="C330" s="10" t="s">
        <v>4203</v>
      </c>
      <c r="D330" s="10" t="s">
        <v>6127</v>
      </c>
      <c r="E330" s="10" t="s">
        <v>4555</v>
      </c>
    </row>
    <row r="331" customFormat="false" ht="25.5" hidden="false" customHeight="true" outlineLevel="0" collapsed="false">
      <c r="A331" s="10" t="s">
        <v>6128</v>
      </c>
      <c r="B331" s="9" t="n">
        <v>1</v>
      </c>
      <c r="C331" s="10" t="s">
        <v>4203</v>
      </c>
      <c r="D331" s="10" t="s">
        <v>6127</v>
      </c>
      <c r="E331" s="10" t="s">
        <v>4555</v>
      </c>
    </row>
    <row r="332" customFormat="false" ht="25.5" hidden="false" customHeight="true" outlineLevel="0" collapsed="false">
      <c r="A332" s="10" t="s">
        <v>6129</v>
      </c>
      <c r="B332" s="9" t="n">
        <v>1</v>
      </c>
      <c r="C332" s="10" t="s">
        <v>1500</v>
      </c>
      <c r="D332" s="10" t="s">
        <v>6130</v>
      </c>
      <c r="E332" s="10" t="s">
        <v>1872</v>
      </c>
    </row>
    <row r="333" customFormat="false" ht="25.5" hidden="false" customHeight="true" outlineLevel="0" collapsed="false">
      <c r="A333" s="10" t="s">
        <v>6131</v>
      </c>
      <c r="B333" s="9" t="n">
        <v>1</v>
      </c>
      <c r="C333" s="10" t="s">
        <v>59</v>
      </c>
      <c r="D333" s="10" t="s">
        <v>6132</v>
      </c>
      <c r="E333" s="10" t="s">
        <v>721</v>
      </c>
    </row>
    <row r="334" customFormat="false" ht="25.5" hidden="false" customHeight="true" outlineLevel="0" collapsed="false">
      <c r="A334" s="10" t="s">
        <v>6133</v>
      </c>
      <c r="B334" s="9" t="n">
        <v>1</v>
      </c>
      <c r="C334" s="10" t="s">
        <v>4949</v>
      </c>
      <c r="D334" s="10" t="s">
        <v>6134</v>
      </c>
      <c r="E334" s="10" t="s">
        <v>5085</v>
      </c>
    </row>
    <row r="335" customFormat="false" ht="25.5" hidden="false" customHeight="true" outlineLevel="0" collapsed="false">
      <c r="A335" s="10" t="s">
        <v>6135</v>
      </c>
      <c r="B335" s="9" t="n">
        <v>1</v>
      </c>
      <c r="C335" s="10" t="s">
        <v>2713</v>
      </c>
      <c r="D335" s="10" t="s">
        <v>6053</v>
      </c>
      <c r="E335" s="10" t="s">
        <v>3219</v>
      </c>
    </row>
    <row r="336" customFormat="false" ht="25.5" hidden="false" customHeight="true" outlineLevel="0" collapsed="false">
      <c r="A336" s="10" t="s">
        <v>6136</v>
      </c>
      <c r="B336" s="9" t="n">
        <v>1</v>
      </c>
      <c r="C336" s="10" t="s">
        <v>59</v>
      </c>
      <c r="D336" s="10" t="s">
        <v>6137</v>
      </c>
      <c r="E336" s="10" t="s">
        <v>639</v>
      </c>
    </row>
    <row r="337" customFormat="false" ht="25.5" hidden="false" customHeight="true" outlineLevel="0" collapsed="false">
      <c r="A337" s="10" t="s">
        <v>6138</v>
      </c>
      <c r="B337" s="9" t="n">
        <v>1</v>
      </c>
      <c r="C337" s="10" t="s">
        <v>4949</v>
      </c>
      <c r="D337" s="10" t="s">
        <v>6043</v>
      </c>
      <c r="E337" s="10" t="s">
        <v>5044</v>
      </c>
    </row>
    <row r="338" customFormat="false" ht="25.5" hidden="false" customHeight="true" outlineLevel="0" collapsed="false">
      <c r="A338" s="10" t="s">
        <v>6139</v>
      </c>
      <c r="B338" s="9" t="n">
        <v>1</v>
      </c>
      <c r="C338" s="10" t="s">
        <v>837</v>
      </c>
      <c r="D338" s="10" t="s">
        <v>5605</v>
      </c>
      <c r="E338" s="10" t="s">
        <v>1218</v>
      </c>
    </row>
    <row r="339" customFormat="false" ht="25.5" hidden="false" customHeight="true" outlineLevel="0" collapsed="false">
      <c r="A339" s="10" t="s">
        <v>6140</v>
      </c>
      <c r="B339" s="9" t="n">
        <v>1</v>
      </c>
      <c r="C339" s="10" t="s">
        <v>4949</v>
      </c>
      <c r="D339" s="10" t="s">
        <v>6141</v>
      </c>
      <c r="E339" s="10" t="s">
        <v>4990</v>
      </c>
    </row>
    <row r="340" customFormat="false" ht="25.5" hidden="false" customHeight="true" outlineLevel="0" collapsed="false">
      <c r="A340" s="10" t="s">
        <v>6142</v>
      </c>
      <c r="B340" s="9" t="n">
        <v>1</v>
      </c>
      <c r="C340" s="10" t="s">
        <v>59</v>
      </c>
      <c r="D340" s="10" t="s">
        <v>235</v>
      </c>
      <c r="E340" s="10" t="s">
        <v>524</v>
      </c>
    </row>
    <row r="341" customFormat="false" ht="25.5" hidden="false" customHeight="true" outlineLevel="0" collapsed="false">
      <c r="A341" s="10" t="s">
        <v>6143</v>
      </c>
      <c r="B341" s="9" t="n">
        <v>1</v>
      </c>
      <c r="C341" s="10" t="s">
        <v>59</v>
      </c>
      <c r="D341" s="10" t="s">
        <v>5699</v>
      </c>
      <c r="E341" s="10" t="s">
        <v>304</v>
      </c>
    </row>
    <row r="342" customFormat="false" ht="25.5" hidden="false" customHeight="true" outlineLevel="0" collapsed="false">
      <c r="A342" s="10" t="s">
        <v>6144</v>
      </c>
      <c r="B342" s="9" t="n">
        <v>1</v>
      </c>
      <c r="C342" s="10" t="s">
        <v>59</v>
      </c>
      <c r="D342" s="10" t="s">
        <v>5907</v>
      </c>
      <c r="E342" s="10" t="s">
        <v>560</v>
      </c>
    </row>
    <row r="343" customFormat="false" ht="25.5" hidden="false" customHeight="true" outlineLevel="0" collapsed="false">
      <c r="A343" s="10" t="s">
        <v>6145</v>
      </c>
      <c r="B343" s="9" t="n">
        <v>1</v>
      </c>
      <c r="C343" s="10" t="s">
        <v>2140</v>
      </c>
      <c r="D343" s="10" t="s">
        <v>6146</v>
      </c>
      <c r="E343" s="10" t="s">
        <v>2493</v>
      </c>
    </row>
    <row r="344" customFormat="false" ht="25.5" hidden="false" customHeight="true" outlineLevel="0" collapsed="false">
      <c r="A344" s="10" t="s">
        <v>6147</v>
      </c>
      <c r="B344" s="9" t="n">
        <v>1</v>
      </c>
      <c r="C344" s="10" t="s">
        <v>59</v>
      </c>
      <c r="D344" s="10" t="s">
        <v>6148</v>
      </c>
      <c r="E344" s="10" t="s">
        <v>759</v>
      </c>
    </row>
    <row r="345" customFormat="false" ht="25.5" hidden="false" customHeight="true" outlineLevel="0" collapsed="false">
      <c r="A345" s="10" t="s">
        <v>6149</v>
      </c>
      <c r="B345" s="9" t="n">
        <v>1</v>
      </c>
      <c r="C345" s="10" t="s">
        <v>2713</v>
      </c>
      <c r="D345" s="10" t="s">
        <v>6150</v>
      </c>
      <c r="E345" s="10" t="s">
        <v>2879</v>
      </c>
    </row>
    <row r="346" customFormat="false" ht="25.5" hidden="false" customHeight="true" outlineLevel="0" collapsed="false">
      <c r="A346" s="10" t="s">
        <v>6151</v>
      </c>
      <c r="B346" s="9" t="n">
        <v>1</v>
      </c>
      <c r="C346" s="10" t="s">
        <v>4582</v>
      </c>
      <c r="D346" s="10" t="s">
        <v>6152</v>
      </c>
      <c r="E346" s="10" t="s">
        <v>4662</v>
      </c>
    </row>
    <row r="347" customFormat="false" ht="25.5" hidden="false" customHeight="true" outlineLevel="0" collapsed="false">
      <c r="A347" s="10" t="s">
        <v>6153</v>
      </c>
      <c r="B347" s="9" t="n">
        <v>1</v>
      </c>
      <c r="C347" s="10" t="s">
        <v>837</v>
      </c>
      <c r="D347" s="10" t="s">
        <v>6154</v>
      </c>
      <c r="E347" s="10" t="s">
        <v>1135</v>
      </c>
    </row>
    <row r="348" customFormat="false" ht="25.5" hidden="false" customHeight="true" outlineLevel="0" collapsed="false">
      <c r="A348" s="10" t="s">
        <v>6155</v>
      </c>
      <c r="B348" s="9" t="n">
        <v>1</v>
      </c>
      <c r="C348" s="10" t="s">
        <v>1500</v>
      </c>
      <c r="D348" s="10" t="s">
        <v>6156</v>
      </c>
      <c r="E348" s="10" t="s">
        <v>2026</v>
      </c>
    </row>
    <row r="349" customFormat="false" ht="25.5" hidden="false" customHeight="true" outlineLevel="0" collapsed="false">
      <c r="A349" s="10" t="s">
        <v>6157</v>
      </c>
      <c r="B349" s="9" t="n">
        <v>1</v>
      </c>
      <c r="C349" s="10" t="s">
        <v>4582</v>
      </c>
      <c r="D349" s="10" t="s">
        <v>6152</v>
      </c>
      <c r="E349" s="10" t="s">
        <v>4662</v>
      </c>
    </row>
    <row r="350" customFormat="false" ht="25.5" hidden="false" customHeight="true" outlineLevel="0" collapsed="false">
      <c r="A350" s="10" t="s">
        <v>6158</v>
      </c>
      <c r="B350" s="9" t="n">
        <v>1</v>
      </c>
      <c r="C350" s="10" t="s">
        <v>4582</v>
      </c>
      <c r="D350" s="10" t="s">
        <v>6152</v>
      </c>
      <c r="E350" s="10" t="s">
        <v>4662</v>
      </c>
    </row>
    <row r="351" customFormat="false" ht="25.5" hidden="false" customHeight="true" outlineLevel="0" collapsed="false">
      <c r="A351" s="10" t="s">
        <v>6159</v>
      </c>
      <c r="B351" s="9" t="n">
        <v>1</v>
      </c>
      <c r="C351" s="10" t="s">
        <v>837</v>
      </c>
      <c r="D351" s="10" t="s">
        <v>6020</v>
      </c>
      <c r="E351" s="10" t="s">
        <v>1111</v>
      </c>
    </row>
    <row r="352" customFormat="false" ht="25.5" hidden="false" customHeight="true" outlineLevel="0" collapsed="false">
      <c r="A352" s="10" t="s">
        <v>6160</v>
      </c>
      <c r="B352" s="9" t="n">
        <v>1</v>
      </c>
      <c r="C352" s="10" t="s">
        <v>837</v>
      </c>
      <c r="D352" s="10" t="s">
        <v>6020</v>
      </c>
      <c r="E352" s="10" t="s">
        <v>1111</v>
      </c>
    </row>
    <row r="353" customFormat="false" ht="25.5" hidden="false" customHeight="true" outlineLevel="0" collapsed="false">
      <c r="A353" s="10" t="s">
        <v>6161</v>
      </c>
      <c r="B353" s="9" t="n">
        <v>1</v>
      </c>
      <c r="C353" s="10" t="s">
        <v>3291</v>
      </c>
      <c r="D353" s="10" t="s">
        <v>6162</v>
      </c>
      <c r="E353" s="10" t="s">
        <v>3328</v>
      </c>
    </row>
    <row r="354" customFormat="false" ht="25.5" hidden="false" customHeight="true" outlineLevel="0" collapsed="false">
      <c r="A354" s="10" t="s">
        <v>6163</v>
      </c>
      <c r="B354" s="9" t="n">
        <v>1</v>
      </c>
      <c r="C354" s="10" t="s">
        <v>4582</v>
      </c>
      <c r="D354" s="10" t="s">
        <v>6152</v>
      </c>
      <c r="E354" s="10" t="s">
        <v>4662</v>
      </c>
    </row>
    <row r="355" customFormat="false" ht="25.5" hidden="false" customHeight="true" outlineLevel="0" collapsed="false">
      <c r="A355" s="10" t="s">
        <v>6164</v>
      </c>
      <c r="B355" s="9" t="n">
        <v>1</v>
      </c>
      <c r="C355" s="10" t="s">
        <v>837</v>
      </c>
      <c r="D355" s="10" t="s">
        <v>6165</v>
      </c>
      <c r="E355" s="10" t="s">
        <v>955</v>
      </c>
    </row>
    <row r="356" customFormat="false" ht="25.5" hidden="false" customHeight="true" outlineLevel="0" collapsed="false">
      <c r="A356" s="10" t="s">
        <v>6166</v>
      </c>
      <c r="B356" s="9" t="n">
        <v>1</v>
      </c>
      <c r="C356" s="10" t="s">
        <v>4582</v>
      </c>
      <c r="D356" s="10" t="s">
        <v>6152</v>
      </c>
      <c r="E356" s="10" t="s">
        <v>4662</v>
      </c>
    </row>
    <row r="357" customFormat="false" ht="25.5" hidden="false" customHeight="true" outlineLevel="0" collapsed="false">
      <c r="A357" s="10" t="s">
        <v>6167</v>
      </c>
      <c r="B357" s="9" t="n">
        <v>1</v>
      </c>
      <c r="C357" s="10" t="s">
        <v>837</v>
      </c>
      <c r="D357" s="10" t="s">
        <v>6023</v>
      </c>
      <c r="E357" s="10" t="s">
        <v>1123</v>
      </c>
    </row>
    <row r="358" customFormat="false" ht="25.5" hidden="false" customHeight="true" outlineLevel="0" collapsed="false">
      <c r="A358" s="10" t="s">
        <v>6168</v>
      </c>
      <c r="B358" s="9" t="n">
        <v>1</v>
      </c>
      <c r="C358" s="10" t="s">
        <v>1500</v>
      </c>
      <c r="D358" s="10" t="s">
        <v>6169</v>
      </c>
      <c r="E358" s="10" t="s">
        <v>1848</v>
      </c>
    </row>
    <row r="359" customFormat="false" ht="25.5" hidden="false" customHeight="true" outlineLevel="0" collapsed="false">
      <c r="A359" s="10" t="s">
        <v>6170</v>
      </c>
      <c r="B359" s="9" t="n">
        <v>1</v>
      </c>
      <c r="C359" s="10" t="s">
        <v>4203</v>
      </c>
      <c r="D359" s="10" t="s">
        <v>6171</v>
      </c>
      <c r="E359" s="10" t="s">
        <v>4353</v>
      </c>
    </row>
    <row r="360" customFormat="false" ht="25.5" hidden="false" customHeight="true" outlineLevel="0" collapsed="false">
      <c r="A360" s="10" t="s">
        <v>6172</v>
      </c>
      <c r="B360" s="9" t="n">
        <v>1</v>
      </c>
      <c r="C360" s="10" t="s">
        <v>1500</v>
      </c>
      <c r="D360" s="10" t="s">
        <v>6173</v>
      </c>
      <c r="E360" s="10" t="s">
        <v>1640</v>
      </c>
    </row>
    <row r="361" customFormat="false" ht="25.5" hidden="false" customHeight="true" outlineLevel="0" collapsed="false">
      <c r="A361" s="10" t="s">
        <v>6174</v>
      </c>
      <c r="B361" s="9" t="n">
        <v>1</v>
      </c>
      <c r="C361" s="10" t="s">
        <v>2140</v>
      </c>
      <c r="D361" s="10" t="s">
        <v>6175</v>
      </c>
      <c r="E361" s="10" t="s">
        <v>2229</v>
      </c>
    </row>
    <row r="362" customFormat="false" ht="25.5" hidden="false" customHeight="true" outlineLevel="0" collapsed="false">
      <c r="A362" s="10" t="s">
        <v>6176</v>
      </c>
      <c r="B362" s="9" t="n">
        <v>1</v>
      </c>
      <c r="C362" s="10" t="s">
        <v>1500</v>
      </c>
      <c r="D362" s="10" t="s">
        <v>6177</v>
      </c>
      <c r="E362" s="10" t="s">
        <v>1539</v>
      </c>
    </row>
    <row r="363" customFormat="false" ht="25.5" hidden="false" customHeight="true" outlineLevel="0" collapsed="false">
      <c r="A363" s="10" t="s">
        <v>6178</v>
      </c>
      <c r="B363" s="9" t="n">
        <v>1</v>
      </c>
      <c r="C363" s="10" t="s">
        <v>59</v>
      </c>
      <c r="D363" s="10" t="s">
        <v>6179</v>
      </c>
      <c r="E363" s="10" t="s">
        <v>573</v>
      </c>
    </row>
    <row r="364" customFormat="false" ht="25.5" hidden="false" customHeight="true" outlineLevel="0" collapsed="false">
      <c r="A364" s="10" t="s">
        <v>6180</v>
      </c>
      <c r="B364" s="9" t="n">
        <v>1</v>
      </c>
      <c r="C364" s="10" t="s">
        <v>2140</v>
      </c>
      <c r="D364" s="10" t="s">
        <v>5598</v>
      </c>
      <c r="E364" s="10" t="s">
        <v>2166</v>
      </c>
    </row>
    <row r="365" customFormat="false" ht="25.5" hidden="false" customHeight="true" outlineLevel="0" collapsed="false">
      <c r="A365" s="10" t="s">
        <v>6181</v>
      </c>
      <c r="B365" s="9" t="n">
        <v>1</v>
      </c>
      <c r="C365" s="10" t="s">
        <v>59</v>
      </c>
      <c r="D365" s="10" t="s">
        <v>6072</v>
      </c>
      <c r="E365" s="10" t="s">
        <v>137</v>
      </c>
    </row>
    <row r="366" customFormat="false" ht="25.5" hidden="false" customHeight="true" outlineLevel="0" collapsed="false">
      <c r="A366" s="10" t="s">
        <v>6182</v>
      </c>
      <c r="B366" s="9" t="n">
        <v>1</v>
      </c>
      <c r="C366" s="10" t="s">
        <v>59</v>
      </c>
      <c r="D366" s="10" t="s">
        <v>5814</v>
      </c>
      <c r="E366" s="10" t="s">
        <v>441</v>
      </c>
    </row>
    <row r="367" customFormat="false" ht="25.5" hidden="false" customHeight="true" outlineLevel="0" collapsed="false">
      <c r="A367" s="10" t="s">
        <v>6183</v>
      </c>
      <c r="B367" s="9" t="n">
        <v>1</v>
      </c>
      <c r="C367" s="10" t="s">
        <v>837</v>
      </c>
      <c r="D367" s="10" t="s">
        <v>5749</v>
      </c>
      <c r="E367" s="10" t="s">
        <v>1407</v>
      </c>
    </row>
    <row r="368" customFormat="false" ht="25.5" hidden="false" customHeight="true" outlineLevel="0" collapsed="false">
      <c r="A368" s="10" t="s">
        <v>6184</v>
      </c>
      <c r="B368" s="9" t="n">
        <v>1</v>
      </c>
      <c r="C368" s="10" t="s">
        <v>2140</v>
      </c>
      <c r="D368" s="10" t="s">
        <v>2161</v>
      </c>
      <c r="E368" s="10" t="s">
        <v>2153</v>
      </c>
    </row>
    <row r="369" customFormat="false" ht="25.5" hidden="false" customHeight="true" outlineLevel="0" collapsed="false">
      <c r="A369" s="10" t="s">
        <v>6185</v>
      </c>
      <c r="B369" s="9" t="n">
        <v>1</v>
      </c>
      <c r="C369" s="10" t="s">
        <v>837</v>
      </c>
      <c r="D369" s="10" t="s">
        <v>5983</v>
      </c>
      <c r="E369" s="10" t="s">
        <v>942</v>
      </c>
    </row>
    <row r="370" customFormat="false" ht="25.5" hidden="false" customHeight="true" outlineLevel="0" collapsed="false">
      <c r="A370" s="10" t="s">
        <v>6186</v>
      </c>
      <c r="B370" s="9" t="n">
        <v>1</v>
      </c>
      <c r="C370" s="10" t="s">
        <v>2140</v>
      </c>
      <c r="D370" s="10" t="s">
        <v>6187</v>
      </c>
      <c r="E370" s="10" t="s">
        <v>2139</v>
      </c>
    </row>
    <row r="371" customFormat="false" ht="25.5" hidden="false" customHeight="true" outlineLevel="0" collapsed="false">
      <c r="A371" s="10" t="s">
        <v>6188</v>
      </c>
      <c r="B371" s="9" t="n">
        <v>1</v>
      </c>
      <c r="C371" s="10" t="s">
        <v>2140</v>
      </c>
      <c r="D371" s="10" t="s">
        <v>6189</v>
      </c>
      <c r="E371" s="10" t="s">
        <v>2661</v>
      </c>
    </row>
    <row r="372" customFormat="false" ht="25.5" hidden="false" customHeight="true" outlineLevel="0" collapsed="false">
      <c r="A372" s="10" t="s">
        <v>6190</v>
      </c>
      <c r="B372" s="9" t="n">
        <v>1</v>
      </c>
      <c r="C372" s="10" t="s">
        <v>2140</v>
      </c>
      <c r="D372" s="10" t="s">
        <v>6191</v>
      </c>
      <c r="E372" s="10" t="s">
        <v>2377</v>
      </c>
    </row>
    <row r="373" customFormat="false" ht="25.5" hidden="false" customHeight="true" outlineLevel="0" collapsed="false">
      <c r="A373" s="10" t="s">
        <v>6192</v>
      </c>
      <c r="B373" s="9" t="n">
        <v>1</v>
      </c>
      <c r="C373" s="10" t="s">
        <v>2140</v>
      </c>
      <c r="D373" s="10" t="s">
        <v>6175</v>
      </c>
      <c r="E373" s="10" t="s">
        <v>2229</v>
      </c>
    </row>
    <row r="374" customFormat="false" ht="25.5" hidden="false" customHeight="true" outlineLevel="0" collapsed="false">
      <c r="A374" s="10" t="s">
        <v>6193</v>
      </c>
      <c r="B374" s="9" t="n">
        <v>1</v>
      </c>
      <c r="C374" s="10" t="s">
        <v>2140</v>
      </c>
      <c r="D374" s="10" t="s">
        <v>6194</v>
      </c>
      <c r="E374" s="10" t="s">
        <v>2557</v>
      </c>
    </row>
    <row r="375" customFormat="false" ht="25.5" hidden="false" customHeight="true" outlineLevel="0" collapsed="false">
      <c r="A375" s="10" t="s">
        <v>6195</v>
      </c>
      <c r="B375" s="9" t="n">
        <v>1</v>
      </c>
      <c r="C375" s="10" t="s">
        <v>4949</v>
      </c>
      <c r="D375" s="10" t="s">
        <v>6018</v>
      </c>
      <c r="E375" s="10" t="s">
        <v>5017</v>
      </c>
    </row>
    <row r="376" customFormat="false" ht="25.5" hidden="false" customHeight="true" outlineLevel="0" collapsed="false">
      <c r="A376" s="10" t="s">
        <v>6196</v>
      </c>
      <c r="B376" s="9" t="n">
        <v>1</v>
      </c>
      <c r="C376" s="10" t="s">
        <v>4949</v>
      </c>
      <c r="D376" s="10" t="s">
        <v>6197</v>
      </c>
      <c r="E376" s="10" t="s">
        <v>5260</v>
      </c>
    </row>
    <row r="377" customFormat="false" ht="25.5" hidden="false" customHeight="true" outlineLevel="0" collapsed="false">
      <c r="A377" s="10" t="s">
        <v>6198</v>
      </c>
      <c r="B377" s="9" t="n">
        <v>1</v>
      </c>
      <c r="C377" s="10" t="s">
        <v>4949</v>
      </c>
      <c r="D377" s="10" t="s">
        <v>5242</v>
      </c>
      <c r="E377" s="10" t="s">
        <v>5233</v>
      </c>
    </row>
    <row r="378" customFormat="false" ht="25.5" hidden="false" customHeight="true" outlineLevel="0" collapsed="false">
      <c r="A378" s="10" t="s">
        <v>6199</v>
      </c>
      <c r="B378" s="9" t="n">
        <v>1</v>
      </c>
      <c r="C378" s="10" t="s">
        <v>2713</v>
      </c>
      <c r="D378" s="10" t="s">
        <v>6072</v>
      </c>
      <c r="E378" s="10" t="s">
        <v>2891</v>
      </c>
    </row>
    <row r="379" customFormat="false" ht="25.5" hidden="false" customHeight="true" outlineLevel="0" collapsed="false">
      <c r="A379" s="10" t="s">
        <v>6200</v>
      </c>
      <c r="B379" s="9" t="n">
        <v>1</v>
      </c>
      <c r="C379" s="10" t="s">
        <v>2140</v>
      </c>
      <c r="D379" s="10" t="s">
        <v>6201</v>
      </c>
      <c r="E379" s="10" t="s">
        <v>2325</v>
      </c>
    </row>
    <row r="380" customFormat="false" ht="25.5" hidden="false" customHeight="true" outlineLevel="0" collapsed="false">
      <c r="A380" s="10" t="s">
        <v>6202</v>
      </c>
      <c r="B380" s="9" t="n">
        <v>1</v>
      </c>
      <c r="C380" s="10" t="s">
        <v>4203</v>
      </c>
      <c r="D380" s="10" t="s">
        <v>4251</v>
      </c>
      <c r="E380" s="10" t="s">
        <v>4318</v>
      </c>
    </row>
    <row r="381" customFormat="false" ht="25.5" hidden="false" customHeight="true" outlineLevel="0" collapsed="false">
      <c r="A381" s="10" t="s">
        <v>6203</v>
      </c>
      <c r="B381" s="9" t="n">
        <v>1</v>
      </c>
      <c r="C381" s="10" t="s">
        <v>2713</v>
      </c>
      <c r="D381" s="10" t="s">
        <v>6097</v>
      </c>
      <c r="E381" s="10" t="s">
        <v>3011</v>
      </c>
    </row>
    <row r="382" customFormat="false" ht="25.5" hidden="false" customHeight="true" outlineLevel="0" collapsed="false">
      <c r="A382" s="10" t="s">
        <v>6204</v>
      </c>
      <c r="B382" s="9" t="n">
        <v>1</v>
      </c>
      <c r="C382" s="10" t="s">
        <v>2713</v>
      </c>
      <c r="D382" s="10" t="s">
        <v>6205</v>
      </c>
      <c r="E382" s="10" t="s">
        <v>2950</v>
      </c>
    </row>
    <row r="383" customFormat="false" ht="25.5" hidden="false" customHeight="true" outlineLevel="0" collapsed="false">
      <c r="A383" s="10" t="s">
        <v>6206</v>
      </c>
      <c r="B383" s="9" t="n">
        <v>1</v>
      </c>
      <c r="C383" s="10" t="s">
        <v>2713</v>
      </c>
      <c r="D383" s="10" t="s">
        <v>5870</v>
      </c>
      <c r="E383" s="10" t="s">
        <v>2806</v>
      </c>
    </row>
    <row r="384" customFormat="false" ht="25.5" hidden="false" customHeight="true" outlineLevel="0" collapsed="false">
      <c r="A384" s="10" t="s">
        <v>6207</v>
      </c>
      <c r="B384" s="9" t="n">
        <v>1</v>
      </c>
      <c r="C384" s="10" t="s">
        <v>4582</v>
      </c>
      <c r="D384" s="10" t="s">
        <v>5966</v>
      </c>
      <c r="E384" s="10" t="s">
        <v>4620</v>
      </c>
    </row>
    <row r="385" customFormat="false" ht="25.5" hidden="false" customHeight="true" outlineLevel="0" collapsed="false">
      <c r="A385" s="10" t="s">
        <v>6208</v>
      </c>
      <c r="B385" s="9" t="n">
        <v>1</v>
      </c>
      <c r="C385" s="10" t="s">
        <v>1500</v>
      </c>
      <c r="D385" s="10" t="s">
        <v>6173</v>
      </c>
      <c r="E385" s="10" t="s">
        <v>1640</v>
      </c>
    </row>
    <row r="386" customFormat="false" ht="25.5" hidden="false" customHeight="true" outlineLevel="0" collapsed="false">
      <c r="A386" s="10" t="s">
        <v>6209</v>
      </c>
      <c r="B386" s="9" t="n">
        <v>1</v>
      </c>
      <c r="C386" s="10" t="s">
        <v>59</v>
      </c>
      <c r="D386" s="10" t="s">
        <v>6210</v>
      </c>
      <c r="E386" s="10" t="s">
        <v>379</v>
      </c>
    </row>
    <row r="387" customFormat="false" ht="25.5" hidden="false" customHeight="true" outlineLevel="0" collapsed="false">
      <c r="A387" s="10" t="s">
        <v>6211</v>
      </c>
      <c r="B387" s="9" t="n">
        <v>1</v>
      </c>
      <c r="C387" s="10" t="s">
        <v>837</v>
      </c>
      <c r="D387" s="10" t="s">
        <v>6212</v>
      </c>
      <c r="E387" s="10" t="s">
        <v>995</v>
      </c>
    </row>
    <row r="388" customFormat="false" ht="25.5" hidden="false" customHeight="true" outlineLevel="0" collapsed="false">
      <c r="A388" s="10" t="s">
        <v>6213</v>
      </c>
      <c r="B388" s="9" t="n">
        <v>1</v>
      </c>
      <c r="C388" s="10" t="s">
        <v>2140</v>
      </c>
      <c r="D388" s="10" t="s">
        <v>6146</v>
      </c>
      <c r="E388" s="10" t="s">
        <v>2493</v>
      </c>
    </row>
    <row r="389" customFormat="false" ht="25.5" hidden="false" customHeight="true" outlineLevel="0" collapsed="false">
      <c r="A389" s="10" t="s">
        <v>6214</v>
      </c>
      <c r="B389" s="9" t="n">
        <v>1</v>
      </c>
      <c r="C389" s="10" t="s">
        <v>59</v>
      </c>
      <c r="D389" s="10" t="s">
        <v>5632</v>
      </c>
      <c r="E389" s="10" t="s">
        <v>201</v>
      </c>
    </row>
    <row r="390" customFormat="false" ht="25.5" hidden="false" customHeight="true" outlineLevel="0" collapsed="false">
      <c r="A390" s="10" t="s">
        <v>6215</v>
      </c>
      <c r="B390" s="9" t="n">
        <v>1</v>
      </c>
      <c r="C390" s="10" t="s">
        <v>837</v>
      </c>
      <c r="D390" s="10" t="s">
        <v>6216</v>
      </c>
      <c r="E390" s="10" t="s">
        <v>836</v>
      </c>
    </row>
    <row r="391" customFormat="false" ht="25.5" hidden="false" customHeight="true" outlineLevel="0" collapsed="false">
      <c r="A391" s="10" t="s">
        <v>6217</v>
      </c>
      <c r="B391" s="9" t="n">
        <v>1</v>
      </c>
      <c r="C391" s="10" t="s">
        <v>837</v>
      </c>
      <c r="D391" s="10" t="s">
        <v>6218</v>
      </c>
      <c r="E391" s="10" t="s">
        <v>981</v>
      </c>
    </row>
    <row r="392" customFormat="false" ht="25.5" hidden="false" customHeight="true" outlineLevel="0" collapsed="false">
      <c r="A392" s="10" t="s">
        <v>6219</v>
      </c>
      <c r="B392" s="9" t="n">
        <v>1</v>
      </c>
      <c r="C392" s="10" t="s">
        <v>1500</v>
      </c>
      <c r="D392" s="10" t="s">
        <v>6220</v>
      </c>
      <c r="E392" s="10" t="s">
        <v>1825</v>
      </c>
    </row>
    <row r="393" customFormat="false" ht="25.5" hidden="false" customHeight="true" outlineLevel="0" collapsed="false">
      <c r="A393" s="10" t="s">
        <v>6221</v>
      </c>
      <c r="B393" s="9" t="n">
        <v>1</v>
      </c>
      <c r="C393" s="10" t="s">
        <v>1500</v>
      </c>
      <c r="D393" s="10" t="s">
        <v>6085</v>
      </c>
      <c r="E393" s="10" t="s">
        <v>1811</v>
      </c>
    </row>
    <row r="394" customFormat="false" ht="25.5" hidden="false" customHeight="true" outlineLevel="0" collapsed="false">
      <c r="A394" s="10" t="s">
        <v>6222</v>
      </c>
      <c r="B394" s="9" t="n">
        <v>1</v>
      </c>
      <c r="C394" s="10" t="s">
        <v>3842</v>
      </c>
      <c r="D394" s="10" t="s">
        <v>5690</v>
      </c>
      <c r="E394" s="10" t="s">
        <v>4112</v>
      </c>
    </row>
    <row r="395" customFormat="false" ht="25.5" hidden="false" customHeight="true" outlineLevel="0" collapsed="false">
      <c r="A395" s="10" t="s">
        <v>6223</v>
      </c>
      <c r="B395" s="9" t="n">
        <v>1</v>
      </c>
      <c r="C395" s="10" t="s">
        <v>3291</v>
      </c>
      <c r="D395" s="10" t="s">
        <v>6224</v>
      </c>
      <c r="E395" s="10" t="s">
        <v>3566</v>
      </c>
    </row>
    <row r="396" customFormat="false" ht="25.5" hidden="false" customHeight="true" outlineLevel="0" collapsed="false">
      <c r="A396" s="10" t="s">
        <v>6225</v>
      </c>
      <c r="B396" s="9" t="n">
        <v>1</v>
      </c>
      <c r="C396" s="10" t="s">
        <v>2140</v>
      </c>
      <c r="D396" s="10" t="s">
        <v>6226</v>
      </c>
      <c r="E396" s="10" t="s">
        <v>2674</v>
      </c>
    </row>
    <row r="397" customFormat="false" ht="25.5" hidden="false" customHeight="true" outlineLevel="0" collapsed="false">
      <c r="A397" s="10" t="s">
        <v>6227</v>
      </c>
      <c r="B397" s="9" t="n">
        <v>1</v>
      </c>
      <c r="C397" s="10" t="s">
        <v>59</v>
      </c>
      <c r="D397" s="10" t="s">
        <v>6228</v>
      </c>
      <c r="E397" s="10" t="s">
        <v>626</v>
      </c>
    </row>
    <row r="398" customFormat="false" ht="25.5" hidden="false" customHeight="true" outlineLevel="0" collapsed="false">
      <c r="A398" s="10" t="s">
        <v>6229</v>
      </c>
      <c r="B398" s="9" t="n">
        <v>1</v>
      </c>
      <c r="C398" s="10" t="s">
        <v>1500</v>
      </c>
      <c r="D398" s="10" t="s">
        <v>6230</v>
      </c>
      <c r="E398" s="10" t="s">
        <v>1680</v>
      </c>
    </row>
    <row r="399" customFormat="false" ht="25.5" hidden="false" customHeight="true" outlineLevel="0" collapsed="false">
      <c r="A399" s="10" t="s">
        <v>6231</v>
      </c>
      <c r="B399" s="9" t="n">
        <v>1</v>
      </c>
      <c r="C399" s="10" t="s">
        <v>837</v>
      </c>
      <c r="D399" s="10" t="s">
        <v>6232</v>
      </c>
      <c r="E399" s="10" t="s">
        <v>1162</v>
      </c>
    </row>
    <row r="400" customFormat="false" ht="25.5" hidden="false" customHeight="true" outlineLevel="0" collapsed="false">
      <c r="A400" s="10" t="s">
        <v>6233</v>
      </c>
      <c r="B400" s="9" t="n">
        <v>1</v>
      </c>
      <c r="C400" s="10" t="s">
        <v>2713</v>
      </c>
      <c r="D400" s="10" t="s">
        <v>6053</v>
      </c>
      <c r="E400" s="10" t="s">
        <v>3219</v>
      </c>
    </row>
    <row r="401" customFormat="false" ht="25.5" hidden="false" customHeight="true" outlineLevel="0" collapsed="false">
      <c r="A401" s="10" t="s">
        <v>6234</v>
      </c>
      <c r="B401" s="9" t="n">
        <v>1</v>
      </c>
      <c r="C401" s="10" t="s">
        <v>4949</v>
      </c>
      <c r="D401" s="10" t="s">
        <v>6235</v>
      </c>
      <c r="E401" s="10" t="s">
        <v>5193</v>
      </c>
    </row>
    <row r="402" customFormat="false" ht="25.5" hidden="false" customHeight="true" outlineLevel="0" collapsed="false">
      <c r="A402" s="10" t="s">
        <v>6236</v>
      </c>
      <c r="B402" s="9" t="n">
        <v>1</v>
      </c>
      <c r="C402" s="10" t="s">
        <v>4949</v>
      </c>
      <c r="D402" s="10" t="s">
        <v>6237</v>
      </c>
      <c r="E402" s="10" t="s">
        <v>4948</v>
      </c>
    </row>
    <row r="403" customFormat="false" ht="25.5" hidden="false" customHeight="true" outlineLevel="0" collapsed="false">
      <c r="A403" s="10" t="s">
        <v>6238</v>
      </c>
      <c r="B403" s="9" t="n">
        <v>1</v>
      </c>
      <c r="C403" s="10" t="s">
        <v>2713</v>
      </c>
      <c r="D403" s="10" t="s">
        <v>6239</v>
      </c>
      <c r="E403" s="10" t="s">
        <v>3180</v>
      </c>
    </row>
    <row r="404" customFormat="false" ht="25.5" hidden="false" customHeight="true" outlineLevel="0" collapsed="false">
      <c r="A404" s="10" t="s">
        <v>6240</v>
      </c>
      <c r="B404" s="9" t="n">
        <v>1</v>
      </c>
      <c r="C404" s="10" t="s">
        <v>2140</v>
      </c>
      <c r="D404" s="10" t="s">
        <v>6241</v>
      </c>
      <c r="E404" s="10" t="s">
        <v>2454</v>
      </c>
    </row>
    <row r="405" customFormat="false" ht="25.5" hidden="false" customHeight="true" outlineLevel="0" collapsed="false">
      <c r="A405" s="10" t="s">
        <v>6242</v>
      </c>
      <c r="B405" s="9" t="n">
        <v>1</v>
      </c>
      <c r="C405" s="10" t="s">
        <v>2140</v>
      </c>
      <c r="D405" s="10" t="s">
        <v>5598</v>
      </c>
      <c r="E405" s="10" t="s">
        <v>2266</v>
      </c>
    </row>
    <row r="406" customFormat="false" ht="25.5" hidden="false" customHeight="true" outlineLevel="0" collapsed="false">
      <c r="A406" s="10" t="s">
        <v>6243</v>
      </c>
      <c r="B406" s="9" t="n">
        <v>1</v>
      </c>
      <c r="C406" s="10" t="s">
        <v>59</v>
      </c>
      <c r="D406" s="10" t="s">
        <v>6244</v>
      </c>
      <c r="E406" s="10" t="s">
        <v>682</v>
      </c>
    </row>
    <row r="407" customFormat="false" ht="25.5" hidden="false" customHeight="true" outlineLevel="0" collapsed="false">
      <c r="A407" s="10" t="s">
        <v>6245</v>
      </c>
      <c r="B407" s="9" t="n">
        <v>1</v>
      </c>
      <c r="C407" s="10" t="s">
        <v>2713</v>
      </c>
      <c r="D407" s="10" t="s">
        <v>6051</v>
      </c>
      <c r="E407" s="10" t="s">
        <v>3207</v>
      </c>
    </row>
    <row r="408" customFormat="false" ht="25.5" hidden="false" customHeight="true" outlineLevel="0" collapsed="false">
      <c r="A408" s="10" t="s">
        <v>6246</v>
      </c>
      <c r="B408" s="9" t="n">
        <v>1</v>
      </c>
      <c r="C408" s="10" t="s">
        <v>59</v>
      </c>
      <c r="D408" s="10" t="s">
        <v>235</v>
      </c>
      <c r="E408" s="10" t="s">
        <v>478</v>
      </c>
    </row>
    <row r="409" customFormat="false" ht="25.5" hidden="false" customHeight="true" outlineLevel="0" collapsed="false">
      <c r="A409" s="10" t="s">
        <v>6247</v>
      </c>
      <c r="B409" s="9" t="n">
        <v>1</v>
      </c>
      <c r="C409" s="10" t="s">
        <v>59</v>
      </c>
      <c r="D409" s="10" t="s">
        <v>6248</v>
      </c>
      <c r="E409" s="10" t="s">
        <v>586</v>
      </c>
    </row>
    <row r="410" customFormat="false" ht="25.5" hidden="false" customHeight="true" outlineLevel="0" collapsed="false">
      <c r="A410" s="10" t="s">
        <v>6249</v>
      </c>
      <c r="B410" s="9" t="n">
        <v>1</v>
      </c>
      <c r="C410" s="10" t="s">
        <v>2140</v>
      </c>
      <c r="D410" s="10" t="s">
        <v>2161</v>
      </c>
      <c r="E410" s="10" t="s">
        <v>2241</v>
      </c>
    </row>
    <row r="411" customFormat="false" ht="25.5" hidden="false" customHeight="true" outlineLevel="0" collapsed="false">
      <c r="A411" s="10" t="s">
        <v>6250</v>
      </c>
      <c r="B411" s="9" t="n">
        <v>1</v>
      </c>
      <c r="C411" s="10" t="s">
        <v>59</v>
      </c>
      <c r="D411" s="10" t="s">
        <v>6248</v>
      </c>
      <c r="E411" s="10" t="s">
        <v>586</v>
      </c>
    </row>
    <row r="412" customFormat="false" ht="25.5" hidden="false" customHeight="true" outlineLevel="0" collapsed="false">
      <c r="A412" s="10" t="s">
        <v>6251</v>
      </c>
      <c r="B412" s="9" t="n">
        <v>1</v>
      </c>
      <c r="C412" s="10" t="s">
        <v>59</v>
      </c>
      <c r="D412" s="10" t="s">
        <v>6072</v>
      </c>
      <c r="E412" s="10" t="s">
        <v>600</v>
      </c>
    </row>
    <row r="413" customFormat="false" ht="25.5" hidden="false" customHeight="true" outlineLevel="0" collapsed="false">
      <c r="A413" s="10" t="s">
        <v>6252</v>
      </c>
      <c r="B413" s="9" t="n">
        <v>1</v>
      </c>
      <c r="C413" s="10" t="s">
        <v>4582</v>
      </c>
      <c r="D413" s="10" t="s">
        <v>5770</v>
      </c>
      <c r="E413" s="10" t="s">
        <v>4782</v>
      </c>
    </row>
    <row r="414" customFormat="false" ht="25.5" hidden="false" customHeight="true" outlineLevel="0" collapsed="false">
      <c r="A414" s="10" t="s">
        <v>6253</v>
      </c>
      <c r="B414" s="9" t="n">
        <v>1</v>
      </c>
      <c r="C414" s="10" t="s">
        <v>4949</v>
      </c>
      <c r="D414" s="10" t="s">
        <v>6254</v>
      </c>
      <c r="E414" s="10" t="s">
        <v>5247</v>
      </c>
    </row>
    <row r="415" customFormat="false" ht="25.5" hidden="false" customHeight="true" outlineLevel="0" collapsed="false">
      <c r="A415" s="10" t="s">
        <v>6255</v>
      </c>
      <c r="B415" s="9" t="n">
        <v>1</v>
      </c>
      <c r="C415" s="10" t="s">
        <v>4949</v>
      </c>
      <c r="D415" s="10" t="s">
        <v>6254</v>
      </c>
      <c r="E415" s="10" t="s">
        <v>5247</v>
      </c>
    </row>
    <row r="416" customFormat="false" ht="25.5" hidden="false" customHeight="true" outlineLevel="0" collapsed="false">
      <c r="A416" s="10" t="s">
        <v>6256</v>
      </c>
      <c r="B416" s="9" t="n">
        <v>1</v>
      </c>
      <c r="C416" s="10" t="s">
        <v>3842</v>
      </c>
      <c r="D416" s="10" t="s">
        <v>5683</v>
      </c>
      <c r="E416" s="10" t="s">
        <v>3841</v>
      </c>
    </row>
    <row r="417" customFormat="false" ht="25.5" hidden="false" customHeight="true" outlineLevel="0" collapsed="false">
      <c r="A417" s="10" t="s">
        <v>6257</v>
      </c>
      <c r="B417" s="9" t="n">
        <v>1</v>
      </c>
      <c r="C417" s="10" t="s">
        <v>3842</v>
      </c>
      <c r="D417" s="10" t="s">
        <v>6258</v>
      </c>
      <c r="E417" s="10" t="s">
        <v>4162</v>
      </c>
    </row>
    <row r="418" customFormat="false" ht="25.5" hidden="false" customHeight="true" outlineLevel="0" collapsed="false">
      <c r="A418" s="10" t="s">
        <v>6259</v>
      </c>
      <c r="B418" s="9" t="n">
        <v>1</v>
      </c>
      <c r="C418" s="10" t="s">
        <v>2713</v>
      </c>
      <c r="D418" s="10" t="s">
        <v>6260</v>
      </c>
      <c r="E418" s="10" t="s">
        <v>2783</v>
      </c>
    </row>
    <row r="419" customFormat="false" ht="25.5" hidden="false" customHeight="true" outlineLevel="0" collapsed="false">
      <c r="A419" s="10" t="s">
        <v>6261</v>
      </c>
      <c r="B419" s="9" t="n">
        <v>1</v>
      </c>
      <c r="C419" s="10" t="s">
        <v>1500</v>
      </c>
      <c r="D419" s="10" t="s">
        <v>5890</v>
      </c>
      <c r="E419" s="10" t="s">
        <v>2013</v>
      </c>
    </row>
    <row r="420" customFormat="false" ht="25.5" hidden="false" customHeight="true" outlineLevel="0" collapsed="false">
      <c r="A420" s="10" t="s">
        <v>6262</v>
      </c>
      <c r="B420" s="9" t="n">
        <v>1</v>
      </c>
      <c r="C420" s="10" t="s">
        <v>1500</v>
      </c>
      <c r="D420" s="10" t="s">
        <v>6263</v>
      </c>
      <c r="E420" s="10" t="s">
        <v>1988</v>
      </c>
    </row>
    <row r="421" customFormat="false" ht="25.5" hidden="false" customHeight="true" outlineLevel="0" collapsed="false">
      <c r="A421" s="10" t="s">
        <v>6264</v>
      </c>
      <c r="B421" s="9" t="n">
        <v>1</v>
      </c>
      <c r="C421" s="10" t="s">
        <v>1500</v>
      </c>
      <c r="D421" s="10" t="s">
        <v>6265</v>
      </c>
      <c r="E421" s="10" t="s">
        <v>1975</v>
      </c>
    </row>
    <row r="422" customFormat="false" ht="25.5" hidden="false" customHeight="true" outlineLevel="0" collapsed="false">
      <c r="A422" s="10" t="s">
        <v>6266</v>
      </c>
      <c r="B422" s="9" t="n">
        <v>1</v>
      </c>
      <c r="C422" s="10" t="s">
        <v>1500</v>
      </c>
      <c r="D422" s="10" t="s">
        <v>6115</v>
      </c>
      <c r="E422" s="10" t="s">
        <v>2039</v>
      </c>
    </row>
    <row r="423" customFormat="false" ht="25.5" hidden="false" customHeight="true" outlineLevel="0" collapsed="false">
      <c r="A423" s="10" t="s">
        <v>6267</v>
      </c>
      <c r="B423" s="9" t="n">
        <v>1</v>
      </c>
      <c r="C423" s="10" t="s">
        <v>837</v>
      </c>
      <c r="D423" s="10" t="s">
        <v>6268</v>
      </c>
      <c r="E423" s="10" t="s">
        <v>1074</v>
      </c>
    </row>
    <row r="424" customFormat="false" ht="25.5" hidden="false" customHeight="true" outlineLevel="0" collapsed="false">
      <c r="A424" s="10" t="s">
        <v>6269</v>
      </c>
      <c r="B424" s="9" t="n">
        <v>1</v>
      </c>
      <c r="C424" s="10" t="s">
        <v>2140</v>
      </c>
      <c r="D424" s="10" t="s">
        <v>6270</v>
      </c>
      <c r="E424" s="10" t="s">
        <v>2416</v>
      </c>
    </row>
    <row r="425" customFormat="false" ht="25.5" hidden="false" customHeight="true" outlineLevel="0" collapsed="false">
      <c r="A425" s="10" t="s">
        <v>6271</v>
      </c>
      <c r="B425" s="9" t="n">
        <v>1</v>
      </c>
      <c r="C425" s="10" t="s">
        <v>837</v>
      </c>
      <c r="D425" s="10" t="s">
        <v>6272</v>
      </c>
      <c r="E425" s="10" t="s">
        <v>1086</v>
      </c>
    </row>
    <row r="426" customFormat="false" ht="25.5" hidden="false" customHeight="true" outlineLevel="0" collapsed="false">
      <c r="A426" s="10" t="s">
        <v>6273</v>
      </c>
      <c r="B426" s="9" t="n">
        <v>1</v>
      </c>
      <c r="C426" s="10" t="s">
        <v>837</v>
      </c>
      <c r="D426" s="10" t="s">
        <v>6232</v>
      </c>
      <c r="E426" s="10" t="s">
        <v>1162</v>
      </c>
    </row>
    <row r="427" customFormat="false" ht="25.5" hidden="false" customHeight="true" outlineLevel="0" collapsed="false">
      <c r="A427" s="10" t="s">
        <v>6274</v>
      </c>
      <c r="B427" s="9" t="n">
        <v>1</v>
      </c>
      <c r="C427" s="10" t="s">
        <v>4203</v>
      </c>
      <c r="D427" s="10" t="s">
        <v>6275</v>
      </c>
      <c r="E427" s="10" t="s">
        <v>4330</v>
      </c>
    </row>
    <row r="428" customFormat="false" ht="25.5" hidden="false" customHeight="true" outlineLevel="0" collapsed="false">
      <c r="A428" s="10" t="s">
        <v>6276</v>
      </c>
      <c r="B428" s="9" t="n">
        <v>1</v>
      </c>
      <c r="C428" s="10" t="s">
        <v>2140</v>
      </c>
      <c r="D428" s="10" t="s">
        <v>5690</v>
      </c>
      <c r="E428" s="10" t="s">
        <v>2621</v>
      </c>
    </row>
    <row r="429" customFormat="false" ht="25.5" hidden="false" customHeight="true" outlineLevel="0" collapsed="false">
      <c r="A429" s="10" t="s">
        <v>6277</v>
      </c>
      <c r="B429" s="9" t="n">
        <v>1</v>
      </c>
      <c r="C429" s="10" t="s">
        <v>3842</v>
      </c>
      <c r="D429" s="10" t="s">
        <v>6278</v>
      </c>
      <c r="E429" s="10" t="s">
        <v>4010</v>
      </c>
    </row>
    <row r="430" customFormat="false" ht="25.5" hidden="false" customHeight="true" outlineLevel="0" collapsed="false">
      <c r="A430" s="10" t="s">
        <v>6279</v>
      </c>
      <c r="B430" s="9" t="n">
        <v>1</v>
      </c>
      <c r="C430" s="10" t="s">
        <v>3842</v>
      </c>
      <c r="D430" s="10" t="s">
        <v>6278</v>
      </c>
      <c r="E430" s="10" t="s">
        <v>4010</v>
      </c>
    </row>
    <row r="431" customFormat="false" ht="25.5" hidden="false" customHeight="true" outlineLevel="0" collapsed="false">
      <c r="A431" s="10" t="s">
        <v>6280</v>
      </c>
      <c r="B431" s="9" t="n">
        <v>1</v>
      </c>
      <c r="C431" s="10" t="s">
        <v>3842</v>
      </c>
      <c r="D431" s="10" t="s">
        <v>6278</v>
      </c>
      <c r="E431" s="10" t="s">
        <v>4010</v>
      </c>
    </row>
    <row r="432" customFormat="false" ht="25.5" hidden="false" customHeight="true" outlineLevel="0" collapsed="false">
      <c r="A432" s="10" t="s">
        <v>6281</v>
      </c>
      <c r="B432" s="9" t="n">
        <v>1</v>
      </c>
      <c r="C432" s="10" t="s">
        <v>3842</v>
      </c>
      <c r="D432" s="10" t="s">
        <v>6278</v>
      </c>
      <c r="E432" s="10" t="s">
        <v>4010</v>
      </c>
    </row>
    <row r="433" customFormat="false" ht="25.5" hidden="false" customHeight="true" outlineLevel="0" collapsed="false">
      <c r="A433" s="10" t="s">
        <v>6282</v>
      </c>
      <c r="B433" s="9" t="n">
        <v>1</v>
      </c>
      <c r="C433" s="10" t="s">
        <v>2713</v>
      </c>
      <c r="D433" s="10" t="s">
        <v>6283</v>
      </c>
      <c r="E433" s="10" t="s">
        <v>3266</v>
      </c>
    </row>
    <row r="434" customFormat="false" ht="25.5" hidden="false" customHeight="true" outlineLevel="0" collapsed="false">
      <c r="A434" s="10" t="s">
        <v>6284</v>
      </c>
      <c r="B434" s="9" t="n">
        <v>1</v>
      </c>
      <c r="C434" s="10" t="s">
        <v>59</v>
      </c>
      <c r="D434" s="10" t="s">
        <v>235</v>
      </c>
      <c r="E434" s="10" t="s">
        <v>535</v>
      </c>
    </row>
    <row r="435" customFormat="false" ht="25.5" hidden="false" customHeight="true" outlineLevel="0" collapsed="false">
      <c r="A435" s="10" t="s">
        <v>6285</v>
      </c>
      <c r="B435" s="9" t="n">
        <v>1</v>
      </c>
      <c r="C435" s="10" t="s">
        <v>2140</v>
      </c>
      <c r="D435" s="10" t="s">
        <v>6146</v>
      </c>
      <c r="E435" s="10" t="s">
        <v>2493</v>
      </c>
    </row>
    <row r="436" customFormat="false" ht="25.5" hidden="false" customHeight="true" outlineLevel="0" collapsed="false">
      <c r="A436" s="10" t="s">
        <v>6286</v>
      </c>
      <c r="B436" s="9" t="n">
        <v>1</v>
      </c>
      <c r="C436" s="10" t="s">
        <v>3842</v>
      </c>
      <c r="D436" s="10" t="s">
        <v>6287</v>
      </c>
      <c r="E436" s="10" t="s">
        <v>3944</v>
      </c>
    </row>
    <row r="437" customFormat="false" ht="25.5" hidden="false" customHeight="true" outlineLevel="0" collapsed="false">
      <c r="A437" s="10" t="s">
        <v>6288</v>
      </c>
      <c r="B437" s="9" t="n">
        <v>1</v>
      </c>
      <c r="C437" s="10" t="s">
        <v>59</v>
      </c>
      <c r="D437" s="10" t="s">
        <v>5814</v>
      </c>
      <c r="E437" s="10" t="s">
        <v>441</v>
      </c>
    </row>
    <row r="438" customFormat="false" ht="25.5" hidden="false" customHeight="true" outlineLevel="0" collapsed="false">
      <c r="A438" s="10" t="s">
        <v>6289</v>
      </c>
      <c r="B438" s="9" t="n">
        <v>1</v>
      </c>
      <c r="C438" s="10" t="s">
        <v>59</v>
      </c>
      <c r="D438" s="10" t="s">
        <v>5858</v>
      </c>
      <c r="E438" s="10" t="s">
        <v>747</v>
      </c>
    </row>
    <row r="439" customFormat="false" ht="25.5" hidden="false" customHeight="true" outlineLevel="0" collapsed="false">
      <c r="A439" s="10" t="s">
        <v>6290</v>
      </c>
      <c r="B439" s="9" t="n">
        <v>1</v>
      </c>
      <c r="C439" s="10" t="s">
        <v>837</v>
      </c>
      <c r="D439" s="10" t="s">
        <v>6291</v>
      </c>
      <c r="E439" s="10" t="s">
        <v>1204</v>
      </c>
    </row>
    <row r="440" customFormat="false" ht="25.5" hidden="false" customHeight="true" outlineLevel="0" collapsed="false">
      <c r="A440" s="10" t="s">
        <v>6292</v>
      </c>
      <c r="B440" s="9" t="n">
        <v>1</v>
      </c>
      <c r="C440" s="10" t="s">
        <v>59</v>
      </c>
      <c r="D440" s="10" t="s">
        <v>6244</v>
      </c>
      <c r="E440" s="10" t="s">
        <v>682</v>
      </c>
    </row>
    <row r="441" customFormat="false" ht="25.5" hidden="false" customHeight="true" outlineLevel="0" collapsed="false">
      <c r="A441" s="10" t="s">
        <v>6293</v>
      </c>
      <c r="B441" s="9" t="n">
        <v>1</v>
      </c>
      <c r="C441" s="10" t="s">
        <v>59</v>
      </c>
      <c r="D441" s="10" t="s">
        <v>5814</v>
      </c>
      <c r="E441" s="10" t="s">
        <v>291</v>
      </c>
    </row>
    <row r="442" customFormat="false" ht="25.5" hidden="false" customHeight="true" outlineLevel="0" collapsed="false">
      <c r="A442" s="10" t="s">
        <v>6294</v>
      </c>
      <c r="B442" s="9" t="n">
        <v>1</v>
      </c>
      <c r="C442" s="10" t="s">
        <v>837</v>
      </c>
      <c r="D442" s="10" t="s">
        <v>6154</v>
      </c>
      <c r="E442" s="10" t="s">
        <v>1135</v>
      </c>
    </row>
    <row r="443" customFormat="false" ht="25.5" hidden="false" customHeight="true" outlineLevel="0" collapsed="false">
      <c r="A443" s="10" t="s">
        <v>6295</v>
      </c>
      <c r="B443" s="9" t="n">
        <v>1</v>
      </c>
      <c r="C443" s="10" t="s">
        <v>4582</v>
      </c>
      <c r="D443" s="10" t="s">
        <v>5966</v>
      </c>
      <c r="E443" s="10" t="s">
        <v>4620</v>
      </c>
    </row>
    <row r="444" customFormat="false" ht="25.5" hidden="false" customHeight="true" outlineLevel="0" collapsed="false">
      <c r="A444" s="10" t="s">
        <v>6296</v>
      </c>
      <c r="B444" s="9" t="n">
        <v>1</v>
      </c>
      <c r="C444" s="10" t="s">
        <v>4582</v>
      </c>
      <c r="D444" s="10" t="s">
        <v>5966</v>
      </c>
      <c r="E444" s="10" t="s">
        <v>4620</v>
      </c>
    </row>
    <row r="445" customFormat="false" ht="25.5" hidden="false" customHeight="true" outlineLevel="0" collapsed="false">
      <c r="A445" s="10" t="s">
        <v>6297</v>
      </c>
      <c r="B445" s="9" t="n">
        <v>1</v>
      </c>
      <c r="C445" s="10" t="s">
        <v>2713</v>
      </c>
      <c r="D445" s="10" t="s">
        <v>5576</v>
      </c>
      <c r="E445" s="10" t="s">
        <v>2963</v>
      </c>
    </row>
    <row r="446" customFormat="false" ht="25.5" hidden="false" customHeight="true" outlineLevel="0" collapsed="false">
      <c r="A446" s="10" t="s">
        <v>6298</v>
      </c>
      <c r="B446" s="9" t="n">
        <v>1</v>
      </c>
      <c r="C446" s="10" t="s">
        <v>3291</v>
      </c>
      <c r="D446" s="10" t="s">
        <v>6049</v>
      </c>
      <c r="E446" s="10" t="s">
        <v>3735</v>
      </c>
    </row>
    <row r="447" customFormat="false" ht="25.5" hidden="false" customHeight="true" outlineLevel="0" collapsed="false">
      <c r="A447" s="10" t="s">
        <v>6299</v>
      </c>
      <c r="B447" s="9" t="n">
        <v>1</v>
      </c>
      <c r="C447" s="10" t="s">
        <v>2713</v>
      </c>
      <c r="D447" s="10" t="s">
        <v>6300</v>
      </c>
      <c r="E447" s="10" t="s">
        <v>3254</v>
      </c>
    </row>
    <row r="448" customFormat="false" ht="25.5" hidden="false" customHeight="true" outlineLevel="0" collapsed="false">
      <c r="A448" s="10" t="s">
        <v>6301</v>
      </c>
      <c r="B448" s="9" t="n">
        <v>1</v>
      </c>
      <c r="C448" s="10" t="s">
        <v>4582</v>
      </c>
      <c r="D448" s="10" t="s">
        <v>5770</v>
      </c>
      <c r="E448" s="10" t="s">
        <v>4795</v>
      </c>
    </row>
    <row r="449" customFormat="false" ht="25.5" hidden="false" customHeight="true" outlineLevel="0" collapsed="false">
      <c r="A449" s="10" t="s">
        <v>6302</v>
      </c>
      <c r="B449" s="9" t="n">
        <v>1</v>
      </c>
      <c r="C449" s="10" t="s">
        <v>4582</v>
      </c>
      <c r="D449" s="10" t="s">
        <v>5770</v>
      </c>
      <c r="E449" s="10" t="s">
        <v>4795</v>
      </c>
    </row>
    <row r="450" customFormat="false" ht="25.5" hidden="false" customHeight="true" outlineLevel="0" collapsed="false">
      <c r="A450" s="10" t="s">
        <v>6303</v>
      </c>
      <c r="B450" s="9" t="n">
        <v>1</v>
      </c>
      <c r="C450" s="10" t="s">
        <v>4582</v>
      </c>
      <c r="D450" s="10" t="s">
        <v>5770</v>
      </c>
      <c r="E450" s="10" t="s">
        <v>4795</v>
      </c>
    </row>
    <row r="451" customFormat="false" ht="25.5" hidden="false" customHeight="true" outlineLevel="0" collapsed="false">
      <c r="A451" s="10" t="s">
        <v>6304</v>
      </c>
      <c r="B451" s="9" t="n">
        <v>1</v>
      </c>
      <c r="C451" s="10" t="s">
        <v>2713</v>
      </c>
      <c r="D451" s="10" t="s">
        <v>6239</v>
      </c>
      <c r="E451" s="10" t="s">
        <v>3180</v>
      </c>
    </row>
    <row r="452" customFormat="false" ht="25.5" hidden="false" customHeight="true" outlineLevel="0" collapsed="false">
      <c r="A452" s="10" t="s">
        <v>6305</v>
      </c>
      <c r="B452" s="9" t="n">
        <v>1</v>
      </c>
      <c r="C452" s="10" t="s">
        <v>837</v>
      </c>
      <c r="D452" s="10" t="s">
        <v>6165</v>
      </c>
      <c r="E452" s="10" t="s">
        <v>955</v>
      </c>
    </row>
    <row r="453" customFormat="false" ht="25.5" hidden="false" customHeight="true" outlineLevel="0" collapsed="false">
      <c r="A453" s="10" t="s">
        <v>6306</v>
      </c>
      <c r="B453" s="9" t="n">
        <v>1</v>
      </c>
      <c r="C453" s="10" t="s">
        <v>4582</v>
      </c>
      <c r="D453" s="10" t="s">
        <v>5589</v>
      </c>
      <c r="E453" s="10" t="s">
        <v>4688</v>
      </c>
    </row>
    <row r="454" customFormat="false" ht="25.5" hidden="false" customHeight="true" outlineLevel="0" collapsed="false">
      <c r="A454" s="10" t="s">
        <v>6307</v>
      </c>
      <c r="B454" s="9" t="n">
        <v>1</v>
      </c>
      <c r="C454" s="10" t="s">
        <v>4582</v>
      </c>
      <c r="D454" s="10" t="s">
        <v>5589</v>
      </c>
      <c r="E454" s="10" t="s">
        <v>4688</v>
      </c>
    </row>
    <row r="455" customFormat="false" ht="25.5" hidden="false" customHeight="true" outlineLevel="0" collapsed="false">
      <c r="A455" s="10" t="s">
        <v>6308</v>
      </c>
      <c r="B455" s="9" t="n">
        <v>1</v>
      </c>
      <c r="C455" s="10" t="s">
        <v>2713</v>
      </c>
      <c r="D455" s="10" t="s">
        <v>6309</v>
      </c>
      <c r="E455" s="10" t="s">
        <v>3058</v>
      </c>
    </row>
    <row r="456" customFormat="false" ht="25.5" hidden="false" customHeight="true" outlineLevel="0" collapsed="false">
      <c r="A456" s="10" t="s">
        <v>6310</v>
      </c>
      <c r="B456" s="9" t="n">
        <v>1</v>
      </c>
      <c r="C456" s="10" t="s">
        <v>4582</v>
      </c>
      <c r="D456" s="10" t="s">
        <v>5589</v>
      </c>
      <c r="E456" s="10" t="s">
        <v>4688</v>
      </c>
    </row>
    <row r="457" customFormat="false" ht="25.5" hidden="false" customHeight="true" outlineLevel="0" collapsed="false">
      <c r="A457" s="10" t="s">
        <v>6311</v>
      </c>
      <c r="B457" s="9" t="n">
        <v>1</v>
      </c>
      <c r="C457" s="10" t="s">
        <v>837</v>
      </c>
      <c r="D457" s="10" t="s">
        <v>6080</v>
      </c>
      <c r="E457" s="10" t="s">
        <v>1340</v>
      </c>
    </row>
    <row r="458" customFormat="false" ht="25.5" hidden="false" customHeight="true" outlineLevel="0" collapsed="false">
      <c r="A458" s="10" t="s">
        <v>6312</v>
      </c>
      <c r="B458" s="9" t="n">
        <v>1</v>
      </c>
      <c r="C458" s="10" t="s">
        <v>2140</v>
      </c>
      <c r="D458" s="10" t="s">
        <v>6313</v>
      </c>
      <c r="E458" s="10" t="s">
        <v>2635</v>
      </c>
    </row>
    <row r="459" customFormat="false" ht="25.5" hidden="false" customHeight="true" outlineLevel="0" collapsed="false">
      <c r="A459" s="10" t="s">
        <v>6314</v>
      </c>
      <c r="B459" s="9" t="n">
        <v>1</v>
      </c>
      <c r="C459" s="10" t="s">
        <v>1500</v>
      </c>
      <c r="D459" s="10" t="s">
        <v>6315</v>
      </c>
      <c r="E459" s="10" t="s">
        <v>1770</v>
      </c>
    </row>
    <row r="460" customFormat="false" ht="25.5" hidden="false" customHeight="true" outlineLevel="0" collapsed="false">
      <c r="A460" s="10" t="s">
        <v>6316</v>
      </c>
      <c r="B460" s="9" t="n">
        <v>1</v>
      </c>
      <c r="C460" s="10" t="s">
        <v>837</v>
      </c>
      <c r="D460" s="10" t="s">
        <v>6317</v>
      </c>
      <c r="E460" s="10" t="s">
        <v>1272</v>
      </c>
    </row>
    <row r="461" customFormat="false" ht="25.5" hidden="false" customHeight="true" outlineLevel="0" collapsed="false">
      <c r="A461" s="10" t="s">
        <v>6318</v>
      </c>
      <c r="B461" s="9" t="n">
        <v>1</v>
      </c>
      <c r="C461" s="10" t="s">
        <v>2713</v>
      </c>
      <c r="D461" s="10" t="s">
        <v>5870</v>
      </c>
      <c r="E461" s="10" t="s">
        <v>2987</v>
      </c>
    </row>
    <row r="462" customFormat="false" ht="25.5" hidden="false" customHeight="true" outlineLevel="0" collapsed="false">
      <c r="A462" s="10" t="s">
        <v>6319</v>
      </c>
      <c r="B462" s="9" t="n">
        <v>1</v>
      </c>
      <c r="C462" s="10" t="s">
        <v>2713</v>
      </c>
      <c r="D462" s="10" t="s">
        <v>5719</v>
      </c>
      <c r="E462" s="10" t="s">
        <v>3069</v>
      </c>
    </row>
    <row r="463" customFormat="false" ht="25.5" hidden="false" customHeight="true" outlineLevel="0" collapsed="false">
      <c r="A463" s="10" t="s">
        <v>6320</v>
      </c>
      <c r="B463" s="9" t="n">
        <v>1</v>
      </c>
      <c r="C463" s="10" t="s">
        <v>59</v>
      </c>
      <c r="D463" s="10" t="s">
        <v>6030</v>
      </c>
      <c r="E463" s="10" t="s">
        <v>391</v>
      </c>
    </row>
    <row r="464" customFormat="false" ht="25.5" hidden="false" customHeight="true" outlineLevel="0" collapsed="false">
      <c r="A464" s="10" t="s">
        <v>6321</v>
      </c>
      <c r="B464" s="9" t="n">
        <v>1</v>
      </c>
      <c r="C464" s="10" t="s">
        <v>2713</v>
      </c>
      <c r="D464" s="10" t="s">
        <v>6108</v>
      </c>
      <c r="E464" s="10" t="s">
        <v>2762</v>
      </c>
    </row>
    <row r="465" customFormat="false" ht="25.5" hidden="false" customHeight="true" outlineLevel="0" collapsed="false">
      <c r="A465" s="10" t="s">
        <v>6322</v>
      </c>
      <c r="B465" s="9" t="n">
        <v>1</v>
      </c>
      <c r="C465" s="10" t="s">
        <v>1500</v>
      </c>
      <c r="D465" s="10" t="s">
        <v>6323</v>
      </c>
      <c r="E465" s="10" t="s">
        <v>1718</v>
      </c>
    </row>
    <row r="466" customFormat="false" ht="25.5" hidden="false" customHeight="true" outlineLevel="0" collapsed="false">
      <c r="A466" s="10" t="s">
        <v>6324</v>
      </c>
      <c r="B466" s="9" t="n">
        <v>1</v>
      </c>
      <c r="C466" s="10" t="s">
        <v>59</v>
      </c>
      <c r="D466" s="10" t="s">
        <v>5814</v>
      </c>
      <c r="E466" s="10" t="s">
        <v>279</v>
      </c>
    </row>
    <row r="467" customFormat="false" ht="25.5" hidden="false" customHeight="true" outlineLevel="0" collapsed="false">
      <c r="A467" s="10" t="s">
        <v>6325</v>
      </c>
      <c r="B467" s="9" t="n">
        <v>1</v>
      </c>
      <c r="C467" s="10" t="s">
        <v>59</v>
      </c>
      <c r="D467" s="10" t="s">
        <v>5814</v>
      </c>
      <c r="E467" s="10" t="s">
        <v>279</v>
      </c>
    </row>
    <row r="468" customFormat="false" ht="25.5" hidden="false" customHeight="true" outlineLevel="0" collapsed="false">
      <c r="A468" s="10" t="s">
        <v>6326</v>
      </c>
      <c r="B468" s="9" t="n">
        <v>1</v>
      </c>
      <c r="C468" s="10" t="s">
        <v>2713</v>
      </c>
      <c r="D468" s="10" t="s">
        <v>3032</v>
      </c>
      <c r="E468" s="10" t="s">
        <v>3046</v>
      </c>
    </row>
    <row r="469" customFormat="false" ht="25.5" hidden="false" customHeight="true" outlineLevel="0" collapsed="false">
      <c r="A469" s="10" t="s">
        <v>6327</v>
      </c>
      <c r="B469" s="9" t="n">
        <v>1</v>
      </c>
      <c r="C469" s="10" t="s">
        <v>59</v>
      </c>
      <c r="D469" s="10" t="s">
        <v>6328</v>
      </c>
      <c r="E469" s="10" t="s">
        <v>666</v>
      </c>
    </row>
    <row r="470" customFormat="false" ht="25.5" hidden="false" customHeight="true" outlineLevel="0" collapsed="false">
      <c r="A470" s="10" t="s">
        <v>6329</v>
      </c>
      <c r="B470" s="9" t="n">
        <v>1</v>
      </c>
      <c r="C470" s="10" t="s">
        <v>59</v>
      </c>
      <c r="D470" s="10" t="s">
        <v>6328</v>
      </c>
      <c r="E470" s="10" t="s">
        <v>666</v>
      </c>
    </row>
    <row r="471" customFormat="false" ht="25.5" hidden="false" customHeight="true" outlineLevel="0" collapsed="false">
      <c r="A471" s="10" t="s">
        <v>6330</v>
      </c>
      <c r="B471" s="9" t="n">
        <v>1</v>
      </c>
      <c r="C471" s="10" t="s">
        <v>59</v>
      </c>
      <c r="D471" s="10" t="s">
        <v>6328</v>
      </c>
      <c r="E471" s="10" t="s">
        <v>666</v>
      </c>
    </row>
    <row r="472" customFormat="false" ht="25.5" hidden="false" customHeight="true" outlineLevel="0" collapsed="false">
      <c r="A472" s="10" t="s">
        <v>6331</v>
      </c>
      <c r="B472" s="9" t="n">
        <v>1</v>
      </c>
      <c r="C472" s="10" t="s">
        <v>59</v>
      </c>
      <c r="D472" s="10" t="s">
        <v>6328</v>
      </c>
      <c r="E472" s="10" t="s">
        <v>666</v>
      </c>
    </row>
    <row r="473" customFormat="false" ht="25.5" hidden="false" customHeight="true" outlineLevel="0" collapsed="false">
      <c r="A473" s="10" t="s">
        <v>6332</v>
      </c>
      <c r="B473" s="9" t="n">
        <v>1</v>
      </c>
      <c r="C473" s="10" t="s">
        <v>59</v>
      </c>
      <c r="D473" s="10" t="s">
        <v>6333</v>
      </c>
      <c r="E473" s="10" t="s">
        <v>786</v>
      </c>
    </row>
    <row r="474" customFormat="false" ht="25.5" hidden="false" customHeight="true" outlineLevel="0" collapsed="false">
      <c r="A474" s="10" t="s">
        <v>6334</v>
      </c>
      <c r="B474" s="9" t="n">
        <v>1</v>
      </c>
      <c r="C474" s="10" t="s">
        <v>59</v>
      </c>
      <c r="D474" s="10" t="s">
        <v>6333</v>
      </c>
      <c r="E474" s="10" t="s">
        <v>786</v>
      </c>
    </row>
    <row r="475" customFormat="false" ht="25.5" hidden="false" customHeight="true" outlineLevel="0" collapsed="false">
      <c r="A475" s="10" t="s">
        <v>6335</v>
      </c>
      <c r="B475" s="9" t="n">
        <v>1</v>
      </c>
      <c r="C475" s="10" t="s">
        <v>59</v>
      </c>
      <c r="D475" s="10" t="s">
        <v>6028</v>
      </c>
      <c r="E475" s="10" t="s">
        <v>773</v>
      </c>
    </row>
    <row r="476" customFormat="false" ht="25.5" hidden="false" customHeight="true" outlineLevel="0" collapsed="false">
      <c r="A476" s="10" t="s">
        <v>6336</v>
      </c>
      <c r="B476" s="9" t="n">
        <v>1</v>
      </c>
      <c r="C476" s="10" t="s">
        <v>59</v>
      </c>
      <c r="D476" s="10" t="s">
        <v>6028</v>
      </c>
      <c r="E476" s="10" t="s">
        <v>773</v>
      </c>
    </row>
    <row r="477" customFormat="false" ht="25.5" hidden="false" customHeight="true" outlineLevel="0" collapsed="false">
      <c r="A477" s="10" t="s">
        <v>6337</v>
      </c>
      <c r="B477" s="9" t="n">
        <v>1</v>
      </c>
      <c r="C477" s="10" t="s">
        <v>59</v>
      </c>
      <c r="D477" s="10" t="s">
        <v>6333</v>
      </c>
      <c r="E477" s="10" t="s">
        <v>786</v>
      </c>
    </row>
    <row r="478" customFormat="false" ht="25.5" hidden="false" customHeight="true" outlineLevel="0" collapsed="false">
      <c r="A478" s="10" t="s">
        <v>6338</v>
      </c>
      <c r="B478" s="9" t="n">
        <v>1</v>
      </c>
      <c r="C478" s="10" t="s">
        <v>59</v>
      </c>
      <c r="D478" s="10" t="s">
        <v>6333</v>
      </c>
      <c r="E478" s="10" t="s">
        <v>786</v>
      </c>
    </row>
    <row r="479" customFormat="false" ht="25.5" hidden="false" customHeight="true" outlineLevel="0" collapsed="false">
      <c r="A479" s="10" t="s">
        <v>6339</v>
      </c>
      <c r="B479" s="9" t="n">
        <v>1</v>
      </c>
      <c r="C479" s="10" t="s">
        <v>59</v>
      </c>
      <c r="D479" s="10" t="s">
        <v>6028</v>
      </c>
      <c r="E479" s="10" t="s">
        <v>800</v>
      </c>
    </row>
    <row r="480" customFormat="false" ht="25.5" hidden="false" customHeight="true" outlineLevel="0" collapsed="false">
      <c r="A480" s="10" t="s">
        <v>6340</v>
      </c>
      <c r="B480" s="9" t="n">
        <v>1</v>
      </c>
      <c r="C480" s="10" t="s">
        <v>59</v>
      </c>
      <c r="D480" s="10" t="s">
        <v>6028</v>
      </c>
      <c r="E480" s="10" t="s">
        <v>800</v>
      </c>
    </row>
    <row r="481" customFormat="false" ht="25.5" hidden="false" customHeight="true" outlineLevel="0" collapsed="false">
      <c r="A481" s="10" t="s">
        <v>6341</v>
      </c>
      <c r="B481" s="9" t="n">
        <v>1</v>
      </c>
      <c r="C481" s="10" t="s">
        <v>3291</v>
      </c>
      <c r="D481" s="10" t="s">
        <v>6342</v>
      </c>
      <c r="E481" s="10" t="s">
        <v>3592</v>
      </c>
    </row>
    <row r="482" customFormat="false" ht="25.5" hidden="false" customHeight="true" outlineLevel="0" collapsed="false">
      <c r="A482" s="10" t="s">
        <v>6343</v>
      </c>
      <c r="B482" s="9" t="n">
        <v>1</v>
      </c>
      <c r="C482" s="10" t="s">
        <v>4949</v>
      </c>
      <c r="D482" s="10" t="s">
        <v>5614</v>
      </c>
      <c r="E482" s="10" t="s">
        <v>4977</v>
      </c>
    </row>
    <row r="483" customFormat="false" ht="25.5" hidden="false" customHeight="true" outlineLevel="0" collapsed="false">
      <c r="A483" s="10" t="s">
        <v>6344</v>
      </c>
      <c r="B483" s="9" t="n">
        <v>1</v>
      </c>
      <c r="C483" s="10" t="s">
        <v>4949</v>
      </c>
      <c r="D483" s="10" t="s">
        <v>5614</v>
      </c>
      <c r="E483" s="10" t="s">
        <v>4977</v>
      </c>
    </row>
    <row r="484" customFormat="false" ht="25.5" hidden="false" customHeight="true" outlineLevel="0" collapsed="false">
      <c r="A484" s="10" t="s">
        <v>6345</v>
      </c>
      <c r="B484" s="9" t="n">
        <v>1</v>
      </c>
      <c r="C484" s="10" t="s">
        <v>59</v>
      </c>
      <c r="D484" s="10" t="s">
        <v>235</v>
      </c>
      <c r="E484" s="10" t="s">
        <v>354</v>
      </c>
    </row>
    <row r="485" customFormat="false" ht="25.5" hidden="false" customHeight="true" outlineLevel="0" collapsed="false">
      <c r="A485" s="10" t="s">
        <v>6346</v>
      </c>
      <c r="B485" s="9" t="n">
        <v>1</v>
      </c>
      <c r="C485" s="10" t="s">
        <v>59</v>
      </c>
      <c r="D485" s="10" t="s">
        <v>5632</v>
      </c>
      <c r="E485" s="10" t="s">
        <v>201</v>
      </c>
    </row>
    <row r="486" customFormat="false" ht="25.5" hidden="false" customHeight="true" outlineLevel="0" collapsed="false">
      <c r="A486" s="10" t="s">
        <v>6347</v>
      </c>
      <c r="B486" s="9" t="n">
        <v>1</v>
      </c>
      <c r="C486" s="10" t="s">
        <v>2140</v>
      </c>
      <c r="D486" s="10" t="s">
        <v>6201</v>
      </c>
      <c r="E486" s="10" t="s">
        <v>2325</v>
      </c>
    </row>
    <row r="487" customFormat="false" ht="25.5" hidden="false" customHeight="true" outlineLevel="0" collapsed="false">
      <c r="A487" s="10" t="s">
        <v>6348</v>
      </c>
      <c r="B487" s="9" t="n">
        <v>1</v>
      </c>
      <c r="C487" s="10" t="s">
        <v>59</v>
      </c>
      <c r="D487" s="10" t="s">
        <v>235</v>
      </c>
      <c r="E487" s="10" t="s">
        <v>466</v>
      </c>
    </row>
    <row r="488" customFormat="false" ht="25.5" hidden="false" customHeight="true" outlineLevel="0" collapsed="false">
      <c r="A488" s="10" t="s">
        <v>6349</v>
      </c>
      <c r="B488" s="9" t="n">
        <v>1</v>
      </c>
      <c r="C488" s="10" t="s">
        <v>59</v>
      </c>
      <c r="D488" s="10" t="s">
        <v>235</v>
      </c>
      <c r="E488" s="10" t="s">
        <v>466</v>
      </c>
    </row>
    <row r="489" customFormat="false" ht="25.5" hidden="false" customHeight="true" outlineLevel="0" collapsed="false">
      <c r="A489" s="10" t="s">
        <v>6350</v>
      </c>
      <c r="B489" s="9" t="n">
        <v>1</v>
      </c>
      <c r="C489" s="10" t="s">
        <v>59</v>
      </c>
      <c r="D489" s="10" t="s">
        <v>6210</v>
      </c>
      <c r="E489" s="10" t="s">
        <v>379</v>
      </c>
    </row>
    <row r="490" customFormat="false" ht="25.5" hidden="false" customHeight="true" outlineLevel="0" collapsed="false">
      <c r="A490" s="10" t="s">
        <v>6351</v>
      </c>
      <c r="B490" s="9" t="n">
        <v>1</v>
      </c>
      <c r="C490" s="10" t="s">
        <v>2713</v>
      </c>
      <c r="D490" s="10" t="s">
        <v>6352</v>
      </c>
      <c r="E490" s="10" t="s">
        <v>3168</v>
      </c>
    </row>
    <row r="491" customFormat="false" ht="25.5" hidden="false" customHeight="true" outlineLevel="0" collapsed="false">
      <c r="A491" s="10" t="s">
        <v>6353</v>
      </c>
      <c r="B491" s="9" t="n">
        <v>1</v>
      </c>
      <c r="C491" s="10" t="s">
        <v>2713</v>
      </c>
      <c r="D491" s="10" t="s">
        <v>5665</v>
      </c>
      <c r="E491" s="10" t="s">
        <v>3119</v>
      </c>
    </row>
    <row r="492" customFormat="false" ht="25.5" hidden="false" customHeight="true" outlineLevel="0" collapsed="false">
      <c r="A492" s="10" t="s">
        <v>6354</v>
      </c>
      <c r="B492" s="9" t="n">
        <v>1</v>
      </c>
      <c r="C492" s="10" t="s">
        <v>837</v>
      </c>
      <c r="D492" s="10" t="s">
        <v>6355</v>
      </c>
      <c r="E492" s="10" t="s">
        <v>1381</v>
      </c>
    </row>
    <row r="493" customFormat="false" ht="25.5" hidden="false" customHeight="true" outlineLevel="0" collapsed="false">
      <c r="A493" s="10" t="s">
        <v>6356</v>
      </c>
      <c r="B493" s="9" t="n">
        <v>1</v>
      </c>
      <c r="C493" s="10" t="s">
        <v>2713</v>
      </c>
      <c r="D493" s="10" t="s">
        <v>5665</v>
      </c>
      <c r="E493" s="10" t="s">
        <v>3119</v>
      </c>
    </row>
    <row r="494" customFormat="false" ht="25.5" hidden="false" customHeight="true" outlineLevel="0" collapsed="false">
      <c r="A494" s="10" t="s">
        <v>6357</v>
      </c>
      <c r="B494" s="9" t="n">
        <v>1</v>
      </c>
      <c r="C494" s="10" t="s">
        <v>59</v>
      </c>
      <c r="D494" s="10" t="s">
        <v>6358</v>
      </c>
      <c r="E494" s="10" t="s">
        <v>733</v>
      </c>
    </row>
    <row r="495" customFormat="false" ht="25.5" hidden="false" customHeight="true" outlineLevel="0" collapsed="false">
      <c r="A495" s="10" t="s">
        <v>6359</v>
      </c>
      <c r="B495" s="9" t="n">
        <v>1</v>
      </c>
      <c r="C495" s="10" t="s">
        <v>837</v>
      </c>
      <c r="D495" s="10" t="s">
        <v>6355</v>
      </c>
      <c r="E495" s="10" t="s">
        <v>1381</v>
      </c>
    </row>
    <row r="496" customFormat="false" ht="25.5" hidden="false" customHeight="true" outlineLevel="0" collapsed="false">
      <c r="A496" s="10" t="s">
        <v>6360</v>
      </c>
      <c r="B496" s="9" t="n">
        <v>1</v>
      </c>
      <c r="C496" s="10" t="s">
        <v>2713</v>
      </c>
      <c r="D496" s="10" t="s">
        <v>6125</v>
      </c>
      <c r="E496" s="10" t="s">
        <v>3279</v>
      </c>
    </row>
    <row r="497" customFormat="false" ht="25.5" hidden="false" customHeight="true" outlineLevel="0" collapsed="false">
      <c r="A497" s="10" t="s">
        <v>6361</v>
      </c>
      <c r="B497" s="9" t="n">
        <v>1</v>
      </c>
      <c r="C497" s="10" t="s">
        <v>59</v>
      </c>
      <c r="D497" s="10" t="s">
        <v>6228</v>
      </c>
      <c r="E497" s="10" t="s">
        <v>626</v>
      </c>
    </row>
    <row r="498" customFormat="false" ht="25.5" hidden="false" customHeight="true" outlineLevel="0" collapsed="false">
      <c r="A498" s="10" t="s">
        <v>6362</v>
      </c>
      <c r="B498" s="9" t="n">
        <v>1</v>
      </c>
      <c r="C498" s="10" t="s">
        <v>59</v>
      </c>
      <c r="D498" s="10" t="s">
        <v>6210</v>
      </c>
      <c r="E498" s="10" t="s">
        <v>379</v>
      </c>
    </row>
    <row r="499" customFormat="false" ht="25.5" hidden="false" customHeight="true" outlineLevel="0" collapsed="false">
      <c r="A499" s="10" t="s">
        <v>6363</v>
      </c>
      <c r="B499" s="9" t="n">
        <v>1</v>
      </c>
      <c r="C499" s="10" t="s">
        <v>3291</v>
      </c>
      <c r="D499" s="10" t="s">
        <v>6224</v>
      </c>
      <c r="E499" s="10" t="s">
        <v>3566</v>
      </c>
    </row>
    <row r="500" customFormat="false" ht="25.5" hidden="false" customHeight="true" outlineLevel="0" collapsed="false">
      <c r="A500" s="10" t="s">
        <v>6364</v>
      </c>
      <c r="B500" s="9" t="n">
        <v>1</v>
      </c>
      <c r="C500" s="10" t="s">
        <v>2140</v>
      </c>
      <c r="D500" s="10" t="s">
        <v>6365</v>
      </c>
      <c r="E500" s="10" t="s">
        <v>2353</v>
      </c>
    </row>
    <row r="501" customFormat="false" ht="25.5" hidden="false" customHeight="true" outlineLevel="0" collapsed="false">
      <c r="A501" s="10" t="s">
        <v>6366</v>
      </c>
      <c r="B501" s="9" t="n">
        <v>1</v>
      </c>
      <c r="C501" s="10" t="s">
        <v>59</v>
      </c>
      <c r="D501" s="10" t="s">
        <v>6210</v>
      </c>
      <c r="E501" s="10" t="s">
        <v>379</v>
      </c>
    </row>
    <row r="502" customFormat="false" ht="25.5" hidden="false" customHeight="true" outlineLevel="0" collapsed="false">
      <c r="A502" s="10" t="s">
        <v>6367</v>
      </c>
      <c r="B502" s="9" t="n">
        <v>1</v>
      </c>
      <c r="C502" s="10" t="s">
        <v>837</v>
      </c>
      <c r="D502" s="10" t="s">
        <v>6023</v>
      </c>
      <c r="E502" s="10" t="s">
        <v>1123</v>
      </c>
    </row>
    <row r="503" customFormat="false" ht="25.5" hidden="false" customHeight="true" outlineLevel="0" collapsed="false">
      <c r="A503" s="10" t="s">
        <v>6368</v>
      </c>
      <c r="B503" s="9" t="n">
        <v>1</v>
      </c>
      <c r="C503" s="10" t="s">
        <v>837</v>
      </c>
      <c r="D503" s="10" t="s">
        <v>5614</v>
      </c>
      <c r="E503" s="10" t="s">
        <v>1460</v>
      </c>
    </row>
    <row r="504" customFormat="false" ht="25.5" hidden="false" customHeight="true" outlineLevel="0" collapsed="false">
      <c r="A504" s="10" t="s">
        <v>6369</v>
      </c>
      <c r="B504" s="9" t="n">
        <v>1</v>
      </c>
      <c r="C504" s="10" t="s">
        <v>4203</v>
      </c>
      <c r="D504" s="10" t="s">
        <v>6171</v>
      </c>
      <c r="E504" s="10" t="s">
        <v>4353</v>
      </c>
    </row>
    <row r="505" customFormat="false" ht="25.5" hidden="false" customHeight="true" outlineLevel="0" collapsed="false">
      <c r="A505" s="10" t="s">
        <v>6370</v>
      </c>
      <c r="B505" s="9" t="n">
        <v>1</v>
      </c>
      <c r="C505" s="10" t="s">
        <v>4203</v>
      </c>
      <c r="D505" s="10" t="s">
        <v>6171</v>
      </c>
      <c r="E505" s="10" t="s">
        <v>4353</v>
      </c>
    </row>
    <row r="506" customFormat="false" ht="25.5" hidden="false" customHeight="true" outlineLevel="0" collapsed="false">
      <c r="A506" s="10" t="s">
        <v>6371</v>
      </c>
      <c r="B506" s="9" t="n">
        <v>1</v>
      </c>
      <c r="C506" s="10" t="s">
        <v>4203</v>
      </c>
      <c r="D506" s="10" t="s">
        <v>6171</v>
      </c>
      <c r="E506" s="10" t="s">
        <v>4353</v>
      </c>
    </row>
    <row r="507" customFormat="false" ht="25.5" hidden="false" customHeight="true" outlineLevel="0" collapsed="false">
      <c r="A507" s="10" t="s">
        <v>6372</v>
      </c>
      <c r="B507" s="9" t="n">
        <v>1</v>
      </c>
      <c r="C507" s="10" t="s">
        <v>4203</v>
      </c>
      <c r="D507" s="10" t="s">
        <v>6171</v>
      </c>
      <c r="E507" s="10" t="s">
        <v>4353</v>
      </c>
    </row>
    <row r="508" customFormat="false" ht="25.5" hidden="false" customHeight="true" outlineLevel="0" collapsed="false">
      <c r="A508" s="10" t="s">
        <v>6373</v>
      </c>
      <c r="B508" s="9" t="n">
        <v>1</v>
      </c>
      <c r="C508" s="10" t="s">
        <v>1500</v>
      </c>
      <c r="D508" s="10" t="s">
        <v>6156</v>
      </c>
      <c r="E508" s="10" t="s">
        <v>2026</v>
      </c>
    </row>
    <row r="509" customFormat="false" ht="25.5" hidden="false" customHeight="true" outlineLevel="0" collapsed="false">
      <c r="A509" s="10" t="s">
        <v>6374</v>
      </c>
      <c r="B509" s="9" t="n">
        <v>1</v>
      </c>
      <c r="C509" s="10" t="s">
        <v>837</v>
      </c>
      <c r="D509" s="10" t="s">
        <v>6375</v>
      </c>
      <c r="E509" s="10" t="s">
        <v>1099</v>
      </c>
    </row>
    <row r="510" customFormat="false" ht="25.5" hidden="false" customHeight="true" outlineLevel="0" collapsed="false">
      <c r="A510" s="10" t="s">
        <v>6376</v>
      </c>
      <c r="B510" s="9" t="n">
        <v>1</v>
      </c>
      <c r="C510" s="10" t="s">
        <v>1500</v>
      </c>
      <c r="D510" s="10" t="s">
        <v>6065</v>
      </c>
      <c r="E510" s="10" t="s">
        <v>1705</v>
      </c>
    </row>
    <row r="511" customFormat="false" ht="25.5" hidden="false" customHeight="true" outlineLevel="0" collapsed="false">
      <c r="A511" s="10" t="s">
        <v>6377</v>
      </c>
      <c r="B511" s="9" t="n">
        <v>1</v>
      </c>
      <c r="C511" s="10" t="s">
        <v>4582</v>
      </c>
      <c r="D511" s="10" t="s">
        <v>6378</v>
      </c>
      <c r="E511" s="10" t="s">
        <v>4832</v>
      </c>
    </row>
    <row r="512" customFormat="false" ht="25.5" hidden="false" customHeight="true" outlineLevel="0" collapsed="false">
      <c r="A512" s="10" t="s">
        <v>6379</v>
      </c>
      <c r="B512" s="9" t="n">
        <v>1</v>
      </c>
      <c r="C512" s="10" t="s">
        <v>4582</v>
      </c>
      <c r="D512" s="10" t="s">
        <v>6378</v>
      </c>
      <c r="E512" s="10" t="s">
        <v>4832</v>
      </c>
    </row>
    <row r="513" customFormat="false" ht="25.5" hidden="false" customHeight="true" outlineLevel="0" collapsed="false">
      <c r="A513" s="10" t="s">
        <v>6380</v>
      </c>
      <c r="B513" s="9" t="n">
        <v>1</v>
      </c>
      <c r="C513" s="10" t="s">
        <v>4582</v>
      </c>
      <c r="D513" s="10" t="s">
        <v>6378</v>
      </c>
      <c r="E513" s="10" t="s">
        <v>4832</v>
      </c>
    </row>
    <row r="514" customFormat="false" ht="25.5" hidden="false" customHeight="true" outlineLevel="0" collapsed="false">
      <c r="A514" s="10" t="s">
        <v>6381</v>
      </c>
      <c r="B514" s="9" t="n">
        <v>1</v>
      </c>
      <c r="C514" s="10" t="s">
        <v>4203</v>
      </c>
      <c r="D514" s="10" t="s">
        <v>4251</v>
      </c>
      <c r="E514" s="10" t="s">
        <v>4342</v>
      </c>
    </row>
    <row r="515" customFormat="false" ht="25.5" hidden="false" customHeight="true" outlineLevel="0" collapsed="false">
      <c r="A515" s="10" t="s">
        <v>6382</v>
      </c>
      <c r="B515" s="9" t="n">
        <v>1</v>
      </c>
      <c r="C515" s="10" t="s">
        <v>1500</v>
      </c>
      <c r="D515" s="10" t="s">
        <v>6383</v>
      </c>
      <c r="E515" s="10" t="s">
        <v>2100</v>
      </c>
    </row>
    <row r="516" customFormat="false" ht="25.5" hidden="false" customHeight="true" outlineLevel="0" collapsed="false">
      <c r="A516" s="10" t="s">
        <v>6384</v>
      </c>
      <c r="B516" s="9" t="n">
        <v>1</v>
      </c>
      <c r="C516" s="10" t="s">
        <v>2140</v>
      </c>
      <c r="D516" s="10" t="s">
        <v>6385</v>
      </c>
      <c r="E516" s="10" t="s">
        <v>2583</v>
      </c>
    </row>
    <row r="517" customFormat="false" ht="25.5" hidden="false" customHeight="true" outlineLevel="0" collapsed="false">
      <c r="A517" s="10" t="s">
        <v>6386</v>
      </c>
      <c r="B517" s="9" t="n">
        <v>1</v>
      </c>
      <c r="C517" s="10" t="s">
        <v>1500</v>
      </c>
      <c r="D517" s="10" t="s">
        <v>6387</v>
      </c>
      <c r="E517" s="10" t="s">
        <v>2076</v>
      </c>
    </row>
    <row r="518" customFormat="false" ht="25.5" hidden="false" customHeight="true" outlineLevel="0" collapsed="false">
      <c r="A518" s="10" t="s">
        <v>6388</v>
      </c>
      <c r="B518" s="9" t="n">
        <v>1</v>
      </c>
      <c r="C518" s="10" t="s">
        <v>2140</v>
      </c>
      <c r="D518" s="10" t="s">
        <v>6068</v>
      </c>
      <c r="E518" s="10" t="s">
        <v>2530</v>
      </c>
    </row>
    <row r="519" customFormat="false" ht="25.5" hidden="false" customHeight="true" outlineLevel="0" collapsed="false">
      <c r="A519" s="10" t="s">
        <v>6389</v>
      </c>
      <c r="B519" s="9" t="n">
        <v>1</v>
      </c>
      <c r="C519" s="10" t="s">
        <v>1500</v>
      </c>
      <c r="D519" s="10" t="s">
        <v>6383</v>
      </c>
      <c r="E519" s="10" t="s">
        <v>2100</v>
      </c>
    </row>
    <row r="520" customFormat="false" ht="25.5" hidden="false" customHeight="true" outlineLevel="0" collapsed="false">
      <c r="A520" s="10" t="s">
        <v>6390</v>
      </c>
      <c r="B520" s="9" t="n">
        <v>1</v>
      </c>
      <c r="C520" s="10" t="s">
        <v>1500</v>
      </c>
      <c r="D520" s="10" t="s">
        <v>6383</v>
      </c>
      <c r="E520" s="10" t="s">
        <v>2100</v>
      </c>
    </row>
    <row r="521" customFormat="false" ht="25.5" hidden="false" customHeight="true" outlineLevel="0" collapsed="false">
      <c r="A521" s="10" t="s">
        <v>6391</v>
      </c>
      <c r="B521" s="9" t="n">
        <v>1</v>
      </c>
      <c r="C521" s="10" t="s">
        <v>1500</v>
      </c>
      <c r="D521" s="10" t="s">
        <v>6383</v>
      </c>
      <c r="E521" s="10" t="s">
        <v>2100</v>
      </c>
    </row>
    <row r="522" customFormat="false" ht="25.5" hidden="false" customHeight="true" outlineLevel="0" collapsed="false">
      <c r="A522" s="10" t="s">
        <v>6392</v>
      </c>
      <c r="B522" s="9" t="n">
        <v>1</v>
      </c>
      <c r="C522" s="10" t="s">
        <v>4949</v>
      </c>
      <c r="D522" s="10" t="s">
        <v>6393</v>
      </c>
      <c r="E522" s="10" t="s">
        <v>5154</v>
      </c>
    </row>
    <row r="523" customFormat="false" ht="25.5" hidden="false" customHeight="true" outlineLevel="0" collapsed="false">
      <c r="A523" s="10" t="s">
        <v>6394</v>
      </c>
      <c r="B523" s="9" t="n">
        <v>1</v>
      </c>
      <c r="C523" s="10" t="s">
        <v>2140</v>
      </c>
      <c r="D523" s="10" t="s">
        <v>6226</v>
      </c>
      <c r="E523" s="10" t="s">
        <v>2674</v>
      </c>
    </row>
    <row r="524" customFormat="false" ht="25.5" hidden="false" customHeight="true" outlineLevel="0" collapsed="false">
      <c r="A524" s="10" t="s">
        <v>6395</v>
      </c>
      <c r="B524" s="9" t="n">
        <v>1</v>
      </c>
      <c r="C524" s="10" t="s">
        <v>4949</v>
      </c>
      <c r="D524" s="10" t="s">
        <v>6396</v>
      </c>
      <c r="E524" s="10" t="s">
        <v>5058</v>
      </c>
    </row>
    <row r="525" customFormat="false" ht="25.5" hidden="false" customHeight="true" outlineLevel="0" collapsed="false">
      <c r="A525" s="10" t="s">
        <v>6397</v>
      </c>
      <c r="B525" s="9" t="n">
        <v>1</v>
      </c>
      <c r="C525" s="10" t="s">
        <v>2140</v>
      </c>
      <c r="D525" s="10" t="s">
        <v>6226</v>
      </c>
      <c r="E525" s="10" t="s">
        <v>2674</v>
      </c>
    </row>
    <row r="526" customFormat="false" ht="25.5" hidden="false" customHeight="true" outlineLevel="0" collapsed="false">
      <c r="A526" s="10" t="s">
        <v>6398</v>
      </c>
      <c r="B526" s="9" t="n">
        <v>1</v>
      </c>
      <c r="C526" s="10" t="s">
        <v>2140</v>
      </c>
      <c r="D526" s="10" t="s">
        <v>6399</v>
      </c>
      <c r="E526" s="10" t="s">
        <v>2544</v>
      </c>
    </row>
    <row r="527" customFormat="false" ht="25.5" hidden="false" customHeight="true" outlineLevel="0" collapsed="false">
      <c r="A527" s="10" t="s">
        <v>6400</v>
      </c>
      <c r="B527" s="9" t="n">
        <v>1</v>
      </c>
      <c r="C527" s="10" t="s">
        <v>4949</v>
      </c>
      <c r="D527" s="10" t="s">
        <v>6396</v>
      </c>
      <c r="E527" s="10" t="s">
        <v>5058</v>
      </c>
    </row>
    <row r="528" customFormat="false" ht="25.5" hidden="false" customHeight="true" outlineLevel="0" collapsed="false">
      <c r="A528" s="10" t="s">
        <v>6401</v>
      </c>
      <c r="B528" s="9" t="n">
        <v>1</v>
      </c>
      <c r="C528" s="10" t="s">
        <v>2140</v>
      </c>
      <c r="D528" s="10" t="s">
        <v>6399</v>
      </c>
      <c r="E528" s="10" t="s">
        <v>2544</v>
      </c>
    </row>
    <row r="529" customFormat="false" ht="25.5" hidden="false" customHeight="true" outlineLevel="0" collapsed="false">
      <c r="A529" s="10" t="s">
        <v>6402</v>
      </c>
      <c r="B529" s="9" t="n">
        <v>1</v>
      </c>
      <c r="C529" s="10" t="s">
        <v>2140</v>
      </c>
      <c r="D529" s="10" t="s">
        <v>6226</v>
      </c>
      <c r="E529" s="10" t="s">
        <v>2674</v>
      </c>
    </row>
    <row r="530" customFormat="false" ht="25.5" hidden="false" customHeight="true" outlineLevel="0" collapsed="false">
      <c r="A530" s="10" t="s">
        <v>6403</v>
      </c>
      <c r="B530" s="9" t="n">
        <v>1</v>
      </c>
      <c r="C530" s="10" t="s">
        <v>1500</v>
      </c>
      <c r="D530" s="10" t="s">
        <v>6387</v>
      </c>
      <c r="E530" s="10" t="s">
        <v>2089</v>
      </c>
    </row>
    <row r="531" customFormat="false" ht="25.5" hidden="false" customHeight="true" outlineLevel="0" collapsed="false">
      <c r="A531" s="10" t="s">
        <v>6404</v>
      </c>
      <c r="B531" s="9" t="n">
        <v>1</v>
      </c>
      <c r="C531" s="10" t="s">
        <v>837</v>
      </c>
      <c r="D531" s="10" t="s">
        <v>6405</v>
      </c>
      <c r="E531" s="10" t="s">
        <v>876</v>
      </c>
    </row>
    <row r="532" customFormat="false" ht="25.5" hidden="false" customHeight="true" outlineLevel="0" collapsed="false">
      <c r="A532" s="10" t="s">
        <v>6406</v>
      </c>
      <c r="B532" s="9" t="n">
        <v>1</v>
      </c>
      <c r="C532" s="10" t="s">
        <v>59</v>
      </c>
      <c r="D532" s="10" t="s">
        <v>6407</v>
      </c>
      <c r="E532" s="10" t="s">
        <v>251</v>
      </c>
    </row>
    <row r="533" customFormat="false" ht="25.5" hidden="false" customHeight="true" outlineLevel="0" collapsed="false">
      <c r="A533" s="10" t="s">
        <v>6408</v>
      </c>
      <c r="B533" s="9" t="n">
        <v>1</v>
      </c>
      <c r="C533" s="10" t="s">
        <v>3842</v>
      </c>
      <c r="D533" s="10" t="s">
        <v>6409</v>
      </c>
      <c r="E533" s="10" t="s">
        <v>4189</v>
      </c>
    </row>
    <row r="534" customFormat="false" ht="25.5" hidden="false" customHeight="true" outlineLevel="0" collapsed="false">
      <c r="A534" s="10" t="s">
        <v>6410</v>
      </c>
      <c r="B534" s="9" t="n">
        <v>1</v>
      </c>
      <c r="C534" s="10" t="s">
        <v>837</v>
      </c>
      <c r="D534" s="10" t="s">
        <v>6411</v>
      </c>
      <c r="E534" s="10" t="s">
        <v>1473</v>
      </c>
    </row>
    <row r="535" customFormat="false" ht="25.5" hidden="false" customHeight="true" outlineLevel="0" collapsed="false">
      <c r="A535" s="10" t="s">
        <v>6412</v>
      </c>
      <c r="B535" s="9" t="n">
        <v>1</v>
      </c>
      <c r="C535" s="10" t="s">
        <v>4949</v>
      </c>
      <c r="D535" s="10" t="s">
        <v>6413</v>
      </c>
      <c r="E535" s="10" t="s">
        <v>5071</v>
      </c>
    </row>
    <row r="536" customFormat="false" ht="25.5" hidden="false" customHeight="true" outlineLevel="0" collapsed="false">
      <c r="A536" s="10" t="s">
        <v>6414</v>
      </c>
      <c r="B536" s="9" t="n">
        <v>1</v>
      </c>
      <c r="C536" s="10" t="s">
        <v>837</v>
      </c>
      <c r="D536" s="10" t="s">
        <v>5749</v>
      </c>
      <c r="E536" s="10" t="s">
        <v>1407</v>
      </c>
    </row>
    <row r="537" customFormat="false" ht="25.5" hidden="false" customHeight="true" outlineLevel="0" collapsed="false">
      <c r="A537" s="10" t="s">
        <v>6415</v>
      </c>
      <c r="B537" s="9" t="n">
        <v>1</v>
      </c>
      <c r="C537" s="10" t="s">
        <v>4203</v>
      </c>
      <c r="D537" s="10" t="s">
        <v>6416</v>
      </c>
      <c r="E537" s="10" t="s">
        <v>4529</v>
      </c>
    </row>
    <row r="538" customFormat="false" ht="25.5" hidden="false" customHeight="true" outlineLevel="0" collapsed="false">
      <c r="A538" s="10" t="s">
        <v>6417</v>
      </c>
      <c r="B538" s="9" t="n">
        <v>1</v>
      </c>
      <c r="C538" s="10" t="s">
        <v>4949</v>
      </c>
      <c r="D538" s="10" t="s">
        <v>6418</v>
      </c>
      <c r="E538" s="10" t="s">
        <v>5004</v>
      </c>
    </row>
    <row r="539" customFormat="false" ht="25.5" hidden="false" customHeight="true" outlineLevel="0" collapsed="false">
      <c r="A539" s="10" t="s">
        <v>6419</v>
      </c>
      <c r="B539" s="9" t="n">
        <v>1</v>
      </c>
      <c r="C539" s="10" t="s">
        <v>4949</v>
      </c>
      <c r="D539" s="10" t="s">
        <v>6418</v>
      </c>
      <c r="E539" s="10" t="s">
        <v>5004</v>
      </c>
    </row>
    <row r="540" customFormat="false" ht="25.5" hidden="false" customHeight="true" outlineLevel="0" collapsed="false">
      <c r="A540" s="10" t="s">
        <v>6420</v>
      </c>
      <c r="B540" s="9" t="n">
        <v>1</v>
      </c>
      <c r="C540" s="10" t="s">
        <v>4949</v>
      </c>
      <c r="D540" s="10" t="s">
        <v>6418</v>
      </c>
      <c r="E540" s="10" t="s">
        <v>5004</v>
      </c>
    </row>
    <row r="541" customFormat="false" ht="25.5" hidden="false" customHeight="true" outlineLevel="0" collapsed="false">
      <c r="A541" s="10" t="s">
        <v>6421</v>
      </c>
      <c r="B541" s="9" t="n">
        <v>1</v>
      </c>
      <c r="C541" s="10" t="s">
        <v>2713</v>
      </c>
      <c r="D541" s="10" t="s">
        <v>3113</v>
      </c>
      <c r="E541" s="10" t="s">
        <v>3106</v>
      </c>
    </row>
    <row r="542" customFormat="false" ht="25.5" hidden="false" customHeight="true" outlineLevel="0" collapsed="false">
      <c r="A542" s="10" t="s">
        <v>6422</v>
      </c>
      <c r="B542" s="9" t="n">
        <v>1</v>
      </c>
      <c r="C542" s="10" t="s">
        <v>2713</v>
      </c>
      <c r="D542" s="10" t="s">
        <v>3113</v>
      </c>
      <c r="E542" s="10" t="s">
        <v>3106</v>
      </c>
    </row>
    <row r="543" customFormat="false" ht="25.5" hidden="false" customHeight="true" outlineLevel="0" collapsed="false">
      <c r="A543" s="10" t="s">
        <v>6423</v>
      </c>
      <c r="B543" s="9" t="n">
        <v>1</v>
      </c>
      <c r="C543" s="10" t="s">
        <v>2713</v>
      </c>
      <c r="D543" s="10" t="s">
        <v>6424</v>
      </c>
      <c r="E543" s="10" t="s">
        <v>3131</v>
      </c>
    </row>
    <row r="544" customFormat="false" ht="25.5" hidden="false" customHeight="true" outlineLevel="0" collapsed="false">
      <c r="A544" s="10" t="s">
        <v>6425</v>
      </c>
      <c r="B544" s="9" t="n">
        <v>1</v>
      </c>
      <c r="C544" s="10" t="s">
        <v>2713</v>
      </c>
      <c r="D544" s="10" t="s">
        <v>6424</v>
      </c>
      <c r="E544" s="10" t="s">
        <v>3131</v>
      </c>
    </row>
    <row r="545" customFormat="false" ht="25.5" hidden="false" customHeight="true" outlineLevel="0" collapsed="false">
      <c r="A545" s="10" t="s">
        <v>6426</v>
      </c>
      <c r="B545" s="9" t="n">
        <v>1</v>
      </c>
      <c r="C545" s="10" t="s">
        <v>2713</v>
      </c>
      <c r="D545" s="10" t="s">
        <v>6239</v>
      </c>
      <c r="E545" s="10" t="s">
        <v>3180</v>
      </c>
    </row>
    <row r="546" customFormat="false" ht="25.5" hidden="false" customHeight="true" outlineLevel="0" collapsed="false">
      <c r="A546" s="10" t="s">
        <v>6427</v>
      </c>
      <c r="B546" s="9" t="n">
        <v>1</v>
      </c>
      <c r="C546" s="10" t="s">
        <v>2713</v>
      </c>
      <c r="D546" s="10" t="s">
        <v>3113</v>
      </c>
      <c r="E546" s="10" t="s">
        <v>3106</v>
      </c>
    </row>
    <row r="547" customFormat="false" ht="25.5" hidden="false" customHeight="true" outlineLevel="0" collapsed="false">
      <c r="A547" s="10" t="s">
        <v>6428</v>
      </c>
      <c r="B547" s="9" t="n">
        <v>1</v>
      </c>
      <c r="C547" s="10" t="s">
        <v>4203</v>
      </c>
      <c r="D547" s="10" t="s">
        <v>4251</v>
      </c>
      <c r="E547" s="10" t="s">
        <v>4243</v>
      </c>
    </row>
    <row r="548" customFormat="false" ht="25.5" hidden="false" customHeight="true" outlineLevel="0" collapsed="false">
      <c r="A548" s="10" t="s">
        <v>6429</v>
      </c>
      <c r="B548" s="9" t="n">
        <v>1</v>
      </c>
      <c r="C548" s="10" t="s">
        <v>2713</v>
      </c>
      <c r="D548" s="10" t="s">
        <v>5979</v>
      </c>
      <c r="E548" s="10" t="s">
        <v>3156</v>
      </c>
    </row>
    <row r="549" customFormat="false" ht="25.5" hidden="false" customHeight="true" outlineLevel="0" collapsed="false">
      <c r="A549" s="10" t="s">
        <v>6430</v>
      </c>
      <c r="B549" s="9" t="n">
        <v>1</v>
      </c>
      <c r="C549" s="10" t="s">
        <v>2713</v>
      </c>
      <c r="D549" s="10" t="s">
        <v>6108</v>
      </c>
      <c r="E549" s="10" t="s">
        <v>2762</v>
      </c>
    </row>
    <row r="550" customFormat="false" ht="25.5" hidden="false" customHeight="true" outlineLevel="0" collapsed="false">
      <c r="A550" s="10" t="s">
        <v>6431</v>
      </c>
      <c r="B550" s="9" t="n">
        <v>1</v>
      </c>
      <c r="C550" s="10" t="s">
        <v>3842</v>
      </c>
      <c r="D550" s="10" t="s">
        <v>6258</v>
      </c>
      <c r="E550" s="10" t="s">
        <v>4162</v>
      </c>
    </row>
    <row r="551" customFormat="false" ht="25.5" hidden="false" customHeight="true" outlineLevel="0" collapsed="false">
      <c r="A551" s="10" t="s">
        <v>6432</v>
      </c>
      <c r="B551" s="9" t="n">
        <v>1</v>
      </c>
      <c r="C551" s="10" t="s">
        <v>2140</v>
      </c>
      <c r="D551" s="10" t="s">
        <v>6433</v>
      </c>
      <c r="E551" s="10" t="s">
        <v>2481</v>
      </c>
    </row>
    <row r="552" customFormat="false" ht="25.5" hidden="false" customHeight="true" outlineLevel="0" collapsed="false">
      <c r="A552" s="10" t="s">
        <v>6434</v>
      </c>
      <c r="B552" s="9" t="n">
        <v>1</v>
      </c>
      <c r="C552" s="10" t="s">
        <v>3291</v>
      </c>
      <c r="D552" s="10" t="s">
        <v>6435</v>
      </c>
      <c r="E552" s="10" t="s">
        <v>3670</v>
      </c>
    </row>
    <row r="553" customFormat="false" ht="25.5" hidden="false" customHeight="true" outlineLevel="0" collapsed="false">
      <c r="A553" s="10" t="s">
        <v>6436</v>
      </c>
      <c r="B553" s="9" t="n">
        <v>1</v>
      </c>
      <c r="C553" s="10" t="s">
        <v>4582</v>
      </c>
      <c r="D553" s="10" t="s">
        <v>6437</v>
      </c>
      <c r="E553" s="10" t="s">
        <v>4754</v>
      </c>
    </row>
    <row r="554" customFormat="false" ht="25.5" hidden="false" customHeight="true" outlineLevel="0" collapsed="false">
      <c r="A554" s="10" t="s">
        <v>6438</v>
      </c>
      <c r="B554" s="9" t="n">
        <v>1</v>
      </c>
      <c r="C554" s="10" t="s">
        <v>4582</v>
      </c>
      <c r="D554" s="10" t="s">
        <v>6437</v>
      </c>
      <c r="E554" s="10" t="s">
        <v>4754</v>
      </c>
    </row>
    <row r="555" customFormat="false" ht="25.5" hidden="false" customHeight="true" outlineLevel="0" collapsed="false">
      <c r="A555" s="10" t="s">
        <v>6439</v>
      </c>
      <c r="B555" s="9" t="n">
        <v>1</v>
      </c>
      <c r="C555" s="10" t="s">
        <v>4582</v>
      </c>
      <c r="D555" s="10" t="s">
        <v>6437</v>
      </c>
      <c r="E555" s="10" t="s">
        <v>4754</v>
      </c>
    </row>
    <row r="556" customFormat="false" ht="25.5" hidden="false" customHeight="true" outlineLevel="0" collapsed="false">
      <c r="A556" s="10" t="s">
        <v>6440</v>
      </c>
      <c r="B556" s="9" t="n">
        <v>1</v>
      </c>
      <c r="C556" s="10" t="s">
        <v>4582</v>
      </c>
      <c r="D556" s="10" t="s">
        <v>6437</v>
      </c>
      <c r="E556" s="10" t="s">
        <v>4754</v>
      </c>
    </row>
    <row r="557" customFormat="false" ht="25.5" hidden="false" customHeight="true" outlineLevel="0" collapsed="false">
      <c r="A557" s="10" t="s">
        <v>6441</v>
      </c>
      <c r="B557" s="9" t="n">
        <v>1</v>
      </c>
      <c r="C557" s="10" t="s">
        <v>1500</v>
      </c>
      <c r="D557" s="10" t="s">
        <v>6442</v>
      </c>
      <c r="E557" s="10" t="s">
        <v>1653</v>
      </c>
    </row>
    <row r="558" customFormat="false" ht="25.5" hidden="false" customHeight="true" outlineLevel="0" collapsed="false">
      <c r="A558" s="10" t="s">
        <v>6443</v>
      </c>
      <c r="B558" s="9" t="n">
        <v>1</v>
      </c>
      <c r="C558" s="10" t="s">
        <v>1500</v>
      </c>
      <c r="D558" s="10" t="s">
        <v>6444</v>
      </c>
      <c r="E558" s="10" t="s">
        <v>1910</v>
      </c>
    </row>
    <row r="559" customFormat="false" ht="25.5" hidden="false" customHeight="true" outlineLevel="0" collapsed="false">
      <c r="A559" s="10" t="s">
        <v>6445</v>
      </c>
      <c r="B559" s="9" t="n">
        <v>1</v>
      </c>
      <c r="C559" s="10" t="s">
        <v>2140</v>
      </c>
      <c r="D559" s="10" t="s">
        <v>5707</v>
      </c>
      <c r="E559" s="10" t="s">
        <v>2430</v>
      </c>
    </row>
    <row r="560" customFormat="false" ht="25.5" hidden="false" customHeight="true" outlineLevel="0" collapsed="false">
      <c r="A560" s="10" t="s">
        <v>6446</v>
      </c>
      <c r="B560" s="9" t="n">
        <v>1</v>
      </c>
      <c r="C560" s="10" t="s">
        <v>1500</v>
      </c>
      <c r="D560" s="10" t="s">
        <v>6444</v>
      </c>
      <c r="E560" s="10" t="s">
        <v>1910</v>
      </c>
    </row>
    <row r="561" customFormat="false" ht="25.5" hidden="false" customHeight="true" outlineLevel="0" collapsed="false">
      <c r="A561" s="10" t="s">
        <v>6447</v>
      </c>
      <c r="B561" s="9" t="n">
        <v>1</v>
      </c>
      <c r="C561" s="10" t="s">
        <v>4582</v>
      </c>
      <c r="D561" s="10" t="s">
        <v>5770</v>
      </c>
      <c r="E561" s="10" t="s">
        <v>4768</v>
      </c>
    </row>
    <row r="562" customFormat="false" ht="25.5" hidden="false" customHeight="true" outlineLevel="0" collapsed="false">
      <c r="A562" s="10" t="s">
        <v>6448</v>
      </c>
      <c r="B562" s="9" t="n">
        <v>1</v>
      </c>
      <c r="C562" s="10" t="s">
        <v>4582</v>
      </c>
      <c r="D562" s="10" t="s">
        <v>5995</v>
      </c>
      <c r="E562" s="10" t="s">
        <v>4581</v>
      </c>
    </row>
    <row r="563" customFormat="false" ht="25.5" hidden="false" customHeight="true" outlineLevel="0" collapsed="false">
      <c r="A563" s="10" t="s">
        <v>6449</v>
      </c>
      <c r="B563" s="9" t="n">
        <v>1</v>
      </c>
      <c r="C563" s="10" t="s">
        <v>4582</v>
      </c>
      <c r="D563" s="10" t="s">
        <v>5770</v>
      </c>
      <c r="E563" s="10" t="s">
        <v>4768</v>
      </c>
    </row>
    <row r="564" customFormat="false" ht="25.5" hidden="false" customHeight="true" outlineLevel="0" collapsed="false">
      <c r="A564" s="10" t="s">
        <v>6450</v>
      </c>
      <c r="B564" s="9" t="n">
        <v>1</v>
      </c>
      <c r="C564" s="10" t="s">
        <v>2140</v>
      </c>
      <c r="D564" s="10" t="s">
        <v>5707</v>
      </c>
      <c r="E564" s="10" t="s">
        <v>2430</v>
      </c>
    </row>
    <row r="565" customFormat="false" ht="25.5" hidden="false" customHeight="true" outlineLevel="0" collapsed="false">
      <c r="A565" s="10" t="s">
        <v>6451</v>
      </c>
      <c r="B565" s="9" t="n">
        <v>1</v>
      </c>
      <c r="C565" s="10" t="s">
        <v>1500</v>
      </c>
      <c r="D565" s="10" t="s">
        <v>6444</v>
      </c>
      <c r="E565" s="10" t="s">
        <v>1910</v>
      </c>
    </row>
    <row r="566" customFormat="false" ht="25.5" hidden="false" customHeight="true" outlineLevel="0" collapsed="false">
      <c r="A566" s="10" t="s">
        <v>6452</v>
      </c>
      <c r="B566" s="9" t="n">
        <v>1</v>
      </c>
      <c r="C566" s="10" t="s">
        <v>4582</v>
      </c>
      <c r="D566" s="10" t="s">
        <v>6453</v>
      </c>
      <c r="E566" s="10" t="s">
        <v>4701</v>
      </c>
    </row>
    <row r="567" customFormat="false" ht="25.5" hidden="false" customHeight="true" outlineLevel="0" collapsed="false">
      <c r="A567" s="10" t="s">
        <v>6454</v>
      </c>
      <c r="B567" s="9" t="n">
        <v>1</v>
      </c>
      <c r="C567" s="10" t="s">
        <v>4582</v>
      </c>
      <c r="D567" s="10" t="s">
        <v>6453</v>
      </c>
      <c r="E567" s="10" t="s">
        <v>4701</v>
      </c>
    </row>
    <row r="568" customFormat="false" ht="25.5" hidden="false" customHeight="true" outlineLevel="0" collapsed="false">
      <c r="A568" s="10" t="s">
        <v>6455</v>
      </c>
      <c r="B568" s="9" t="n">
        <v>1</v>
      </c>
      <c r="C568" s="10" t="s">
        <v>4582</v>
      </c>
      <c r="D568" s="10" t="s">
        <v>6453</v>
      </c>
      <c r="E568" s="10" t="s">
        <v>4701</v>
      </c>
    </row>
    <row r="569" customFormat="false" ht="25.5" hidden="false" customHeight="true" outlineLevel="0" collapsed="false">
      <c r="A569" s="10" t="s">
        <v>6456</v>
      </c>
      <c r="B569" s="9" t="n">
        <v>1</v>
      </c>
      <c r="C569" s="10" t="s">
        <v>1500</v>
      </c>
      <c r="D569" s="10" t="s">
        <v>6442</v>
      </c>
      <c r="E569" s="10" t="s">
        <v>1653</v>
      </c>
    </row>
    <row r="570" customFormat="false" ht="25.5" hidden="false" customHeight="true" outlineLevel="0" collapsed="false">
      <c r="A570" s="10" t="s">
        <v>6457</v>
      </c>
      <c r="B570" s="9" t="n">
        <v>1</v>
      </c>
      <c r="C570" s="10" t="s">
        <v>4582</v>
      </c>
      <c r="D570" s="10" t="s">
        <v>5995</v>
      </c>
      <c r="E570" s="10" t="s">
        <v>4581</v>
      </c>
    </row>
    <row r="571" customFormat="false" ht="25.5" hidden="false" customHeight="true" outlineLevel="0" collapsed="false">
      <c r="A571" s="10" t="s">
        <v>6458</v>
      </c>
      <c r="B571" s="9" t="n">
        <v>1</v>
      </c>
      <c r="C571" s="10" t="s">
        <v>837</v>
      </c>
      <c r="D571" s="10" t="s">
        <v>6070</v>
      </c>
      <c r="E571" s="10" t="s">
        <v>1298</v>
      </c>
    </row>
    <row r="572" customFormat="false" ht="25.5" hidden="false" customHeight="true" outlineLevel="0" collapsed="false">
      <c r="A572" s="10" t="s">
        <v>6459</v>
      </c>
      <c r="B572" s="9" t="n">
        <v>1</v>
      </c>
      <c r="C572" s="10" t="s">
        <v>4949</v>
      </c>
      <c r="D572" s="10" t="s">
        <v>6254</v>
      </c>
      <c r="E572" s="10" t="s">
        <v>5247</v>
      </c>
    </row>
    <row r="573" customFormat="false" ht="25.5" hidden="false" customHeight="true" outlineLevel="0" collapsed="false">
      <c r="A573" s="10" t="s">
        <v>6460</v>
      </c>
      <c r="B573" s="9" t="n">
        <v>1</v>
      </c>
      <c r="C573" s="10" t="s">
        <v>4949</v>
      </c>
      <c r="D573" s="10" t="s">
        <v>6254</v>
      </c>
      <c r="E573" s="10" t="s">
        <v>5247</v>
      </c>
    </row>
    <row r="574" customFormat="false" ht="25.5" hidden="false" customHeight="true" outlineLevel="0" collapsed="false">
      <c r="A574" s="10" t="s">
        <v>6461</v>
      </c>
      <c r="B574" s="9" t="n">
        <v>1</v>
      </c>
      <c r="C574" s="10" t="s">
        <v>4203</v>
      </c>
      <c r="D574" s="10" t="s">
        <v>4251</v>
      </c>
      <c r="E574" s="10" t="s">
        <v>4318</v>
      </c>
    </row>
    <row r="575" customFormat="false" ht="25.5" hidden="false" customHeight="true" outlineLevel="0" collapsed="false">
      <c r="A575" s="10" t="s">
        <v>6462</v>
      </c>
      <c r="B575" s="9" t="n">
        <v>1</v>
      </c>
      <c r="C575" s="10" t="s">
        <v>3842</v>
      </c>
      <c r="D575" s="10" t="s">
        <v>6463</v>
      </c>
      <c r="E575" s="10" t="s">
        <v>3865</v>
      </c>
    </row>
    <row r="576" customFormat="false" ht="25.5" hidden="false" customHeight="true" outlineLevel="0" collapsed="false">
      <c r="A576" s="10" t="s">
        <v>6464</v>
      </c>
      <c r="B576" s="9" t="n">
        <v>1</v>
      </c>
      <c r="C576" s="10" t="s">
        <v>3842</v>
      </c>
      <c r="D576" s="10" t="s">
        <v>6463</v>
      </c>
      <c r="E576" s="10" t="s">
        <v>3865</v>
      </c>
    </row>
    <row r="577" customFormat="false" ht="25.5" hidden="false" customHeight="true" outlineLevel="0" collapsed="false">
      <c r="A577" s="10" t="s">
        <v>6465</v>
      </c>
      <c r="B577" s="9" t="n">
        <v>1</v>
      </c>
      <c r="C577" s="10" t="s">
        <v>2713</v>
      </c>
      <c r="D577" s="10" t="s">
        <v>5870</v>
      </c>
      <c r="E577" s="10" t="s">
        <v>2987</v>
      </c>
    </row>
    <row r="578" customFormat="false" ht="25.5" hidden="false" customHeight="true" outlineLevel="0" collapsed="false">
      <c r="A578" s="10" t="s">
        <v>6466</v>
      </c>
      <c r="B578" s="9" t="n">
        <v>1</v>
      </c>
      <c r="C578" s="10" t="s">
        <v>4949</v>
      </c>
      <c r="D578" s="10" t="s">
        <v>6254</v>
      </c>
      <c r="E578" s="10" t="s">
        <v>5247</v>
      </c>
    </row>
    <row r="579" customFormat="false" ht="25.5" hidden="false" customHeight="true" outlineLevel="0" collapsed="false">
      <c r="A579" s="10" t="s">
        <v>6467</v>
      </c>
      <c r="B579" s="9" t="n">
        <v>1</v>
      </c>
      <c r="C579" s="10" t="s">
        <v>4582</v>
      </c>
      <c r="D579" s="10" t="s">
        <v>5770</v>
      </c>
      <c r="E579" s="10" t="s">
        <v>4857</v>
      </c>
    </row>
    <row r="580" customFormat="false" ht="25.5" hidden="false" customHeight="true" outlineLevel="0" collapsed="false">
      <c r="A580" s="10" t="s">
        <v>6468</v>
      </c>
      <c r="B580" s="9" t="n">
        <v>1</v>
      </c>
      <c r="C580" s="10" t="s">
        <v>4582</v>
      </c>
      <c r="D580" s="10" t="s">
        <v>5770</v>
      </c>
      <c r="E580" s="10" t="s">
        <v>4857</v>
      </c>
    </row>
    <row r="581" customFormat="false" ht="25.5" hidden="false" customHeight="true" outlineLevel="0" collapsed="false">
      <c r="A581" s="10" t="s">
        <v>6469</v>
      </c>
      <c r="B581" s="9" t="n">
        <v>1</v>
      </c>
      <c r="C581" s="10" t="s">
        <v>4582</v>
      </c>
      <c r="D581" s="10" t="s">
        <v>5770</v>
      </c>
      <c r="E581" s="10" t="s">
        <v>4857</v>
      </c>
    </row>
    <row r="582" customFormat="false" ht="25.5" hidden="false" customHeight="true" outlineLevel="0" collapsed="false">
      <c r="A582" s="10" t="s">
        <v>6470</v>
      </c>
      <c r="B582" s="9" t="n">
        <v>1</v>
      </c>
      <c r="C582" s="10" t="s">
        <v>4582</v>
      </c>
      <c r="D582" s="10" t="s">
        <v>5770</v>
      </c>
      <c r="E582" s="10" t="s">
        <v>4857</v>
      </c>
    </row>
    <row r="583" customFormat="false" ht="25.5" hidden="false" customHeight="true" outlineLevel="0" collapsed="false">
      <c r="A583" s="10" t="s">
        <v>6471</v>
      </c>
      <c r="B583" s="9" t="n">
        <v>1</v>
      </c>
      <c r="C583" s="10" t="s">
        <v>4582</v>
      </c>
      <c r="D583" s="10" t="s">
        <v>5770</v>
      </c>
      <c r="E583" s="10" t="s">
        <v>4857</v>
      </c>
    </row>
    <row r="584" customFormat="false" ht="25.5" hidden="false" customHeight="true" outlineLevel="0" collapsed="false">
      <c r="A584" s="10" t="s">
        <v>6472</v>
      </c>
      <c r="B584" s="9" t="n">
        <v>1</v>
      </c>
      <c r="C584" s="10" t="s">
        <v>4582</v>
      </c>
      <c r="D584" s="10" t="s">
        <v>5770</v>
      </c>
      <c r="E584" s="10" t="s">
        <v>4857</v>
      </c>
    </row>
    <row r="585" customFormat="false" ht="25.5" hidden="false" customHeight="true" outlineLevel="0" collapsed="false">
      <c r="A585" s="10" t="s">
        <v>6473</v>
      </c>
      <c r="B585" s="9" t="n">
        <v>1</v>
      </c>
      <c r="C585" s="10" t="s">
        <v>837</v>
      </c>
      <c r="D585" s="10" t="s">
        <v>6013</v>
      </c>
      <c r="E585" s="10" t="s">
        <v>1446</v>
      </c>
    </row>
    <row r="586" customFormat="false" ht="25.5" hidden="false" customHeight="true" outlineLevel="0" collapsed="false">
      <c r="A586" s="10" t="s">
        <v>6474</v>
      </c>
      <c r="B586" s="9" t="n">
        <v>1</v>
      </c>
      <c r="C586" s="10" t="s">
        <v>3291</v>
      </c>
      <c r="D586" s="10" t="s">
        <v>6475</v>
      </c>
      <c r="E586" s="10" t="s">
        <v>3761</v>
      </c>
    </row>
    <row r="587" customFormat="false" ht="25.5" hidden="false" customHeight="true" outlineLevel="0" collapsed="false">
      <c r="A587" s="10" t="s">
        <v>6476</v>
      </c>
      <c r="B587" s="9" t="n">
        <v>1</v>
      </c>
      <c r="C587" s="10" t="s">
        <v>837</v>
      </c>
      <c r="D587" s="10" t="s">
        <v>6375</v>
      </c>
      <c r="E587" s="10" t="s">
        <v>1099</v>
      </c>
    </row>
    <row r="588" customFormat="false" ht="25.5" hidden="false" customHeight="true" outlineLevel="0" collapsed="false">
      <c r="A588" s="10" t="s">
        <v>6477</v>
      </c>
      <c r="B588" s="9" t="n">
        <v>1</v>
      </c>
      <c r="C588" s="10" t="s">
        <v>59</v>
      </c>
      <c r="D588" s="10" t="s">
        <v>5858</v>
      </c>
      <c r="E588" s="10" t="s">
        <v>825</v>
      </c>
    </row>
    <row r="589" customFormat="false" ht="25.5" hidden="false" customHeight="true" outlineLevel="0" collapsed="false">
      <c r="A589" s="10" t="s">
        <v>6478</v>
      </c>
      <c r="B589" s="9" t="n">
        <v>1</v>
      </c>
      <c r="C589" s="10" t="s">
        <v>4949</v>
      </c>
      <c r="D589" s="10" t="s">
        <v>5242</v>
      </c>
      <c r="E589" s="10" t="s">
        <v>5233</v>
      </c>
    </row>
    <row r="590" customFormat="false" ht="25.5" hidden="false" customHeight="true" outlineLevel="0" collapsed="false">
      <c r="A590" s="10" t="s">
        <v>6479</v>
      </c>
      <c r="B590" s="9" t="n">
        <v>1</v>
      </c>
      <c r="C590" s="10" t="s">
        <v>837</v>
      </c>
      <c r="D590" s="10" t="s">
        <v>6013</v>
      </c>
      <c r="E590" s="10" t="s">
        <v>1446</v>
      </c>
    </row>
    <row r="591" customFormat="false" ht="25.5" hidden="false" customHeight="true" outlineLevel="0" collapsed="false">
      <c r="A591" s="10" t="s">
        <v>6480</v>
      </c>
      <c r="B591" s="9" t="n">
        <v>1</v>
      </c>
      <c r="C591" s="10" t="s">
        <v>3291</v>
      </c>
      <c r="D591" s="10" t="s">
        <v>6435</v>
      </c>
      <c r="E591" s="10" t="s">
        <v>3670</v>
      </c>
    </row>
    <row r="592" customFormat="false" ht="25.5" hidden="false" customHeight="true" outlineLevel="0" collapsed="false">
      <c r="A592" s="10" t="s">
        <v>6481</v>
      </c>
      <c r="B592" s="9" t="n">
        <v>1</v>
      </c>
      <c r="C592" s="10" t="s">
        <v>3291</v>
      </c>
      <c r="D592" s="10" t="s">
        <v>6104</v>
      </c>
      <c r="E592" s="10" t="s">
        <v>3446</v>
      </c>
    </row>
    <row r="593" customFormat="false" ht="25.5" hidden="false" customHeight="true" outlineLevel="0" collapsed="false">
      <c r="A593" s="10" t="s">
        <v>6482</v>
      </c>
      <c r="B593" s="9" t="n">
        <v>1</v>
      </c>
      <c r="C593" s="10" t="s">
        <v>2713</v>
      </c>
      <c r="D593" s="10" t="s">
        <v>3032</v>
      </c>
      <c r="E593" s="10" t="s">
        <v>3023</v>
      </c>
    </row>
    <row r="594" customFormat="false" ht="25.5" hidden="false" customHeight="true" outlineLevel="0" collapsed="false">
      <c r="A594" s="10" t="s">
        <v>6483</v>
      </c>
      <c r="B594" s="9" t="n">
        <v>1</v>
      </c>
      <c r="C594" s="10" t="s">
        <v>2713</v>
      </c>
      <c r="D594" s="10" t="s">
        <v>3032</v>
      </c>
      <c r="E594" s="10" t="s">
        <v>3023</v>
      </c>
    </row>
    <row r="595" customFormat="false" ht="25.5" hidden="false" customHeight="true" outlineLevel="0" collapsed="false">
      <c r="A595" s="10" t="s">
        <v>6484</v>
      </c>
      <c r="B595" s="9" t="n">
        <v>1</v>
      </c>
      <c r="C595" s="10" t="s">
        <v>2713</v>
      </c>
      <c r="D595" s="10" t="s">
        <v>6283</v>
      </c>
      <c r="E595" s="10" t="s">
        <v>3266</v>
      </c>
    </row>
    <row r="596" customFormat="false" ht="25.5" hidden="false" customHeight="true" outlineLevel="0" collapsed="false">
      <c r="A596" s="10" t="s">
        <v>6485</v>
      </c>
      <c r="B596" s="9" t="n">
        <v>1</v>
      </c>
      <c r="C596" s="10" t="s">
        <v>59</v>
      </c>
      <c r="D596" s="10" t="s">
        <v>6028</v>
      </c>
      <c r="E596" s="10" t="s">
        <v>800</v>
      </c>
    </row>
    <row r="597" customFormat="false" ht="25.5" hidden="false" customHeight="true" outlineLevel="0" collapsed="false">
      <c r="A597" s="10" t="s">
        <v>6486</v>
      </c>
      <c r="B597" s="9" t="n">
        <v>1</v>
      </c>
      <c r="C597" s="10" t="s">
        <v>59</v>
      </c>
      <c r="D597" s="10" t="s">
        <v>6148</v>
      </c>
      <c r="E597" s="10" t="s">
        <v>759</v>
      </c>
    </row>
    <row r="598" customFormat="false" ht="25.5" hidden="false" customHeight="true" outlineLevel="0" collapsed="false">
      <c r="A598" s="10" t="s">
        <v>6487</v>
      </c>
      <c r="B598" s="9" t="n">
        <v>1</v>
      </c>
      <c r="C598" s="10" t="s">
        <v>59</v>
      </c>
      <c r="D598" s="10" t="s">
        <v>5858</v>
      </c>
      <c r="E598" s="10" t="s">
        <v>747</v>
      </c>
    </row>
    <row r="599" customFormat="false" ht="25.5" hidden="false" customHeight="true" outlineLevel="0" collapsed="false">
      <c r="A599" s="10" t="s">
        <v>6488</v>
      </c>
      <c r="B599" s="9" t="n">
        <v>1</v>
      </c>
      <c r="C599" s="10" t="s">
        <v>59</v>
      </c>
      <c r="D599" s="10" t="s">
        <v>235</v>
      </c>
      <c r="E599" s="10" t="s">
        <v>466</v>
      </c>
    </row>
    <row r="600" customFormat="false" ht="25.5" hidden="false" customHeight="true" outlineLevel="0" collapsed="false">
      <c r="A600" s="10" t="s">
        <v>6489</v>
      </c>
      <c r="B600" s="9" t="n">
        <v>1</v>
      </c>
      <c r="C600" s="10" t="s">
        <v>59</v>
      </c>
      <c r="D600" s="10" t="s">
        <v>6028</v>
      </c>
      <c r="E600" s="10" t="s">
        <v>773</v>
      </c>
    </row>
    <row r="601" customFormat="false" ht="25.5" hidden="false" customHeight="true" outlineLevel="0" collapsed="false">
      <c r="A601" s="10" t="s">
        <v>6490</v>
      </c>
      <c r="B601" s="9" t="n">
        <v>1</v>
      </c>
      <c r="C601" s="10" t="s">
        <v>2713</v>
      </c>
      <c r="D601" s="10" t="s">
        <v>6491</v>
      </c>
      <c r="E601" s="10" t="s">
        <v>3093</v>
      </c>
    </row>
    <row r="602" customFormat="false" ht="25.5" hidden="false" customHeight="true" outlineLevel="0" collapsed="false">
      <c r="A602" s="10" t="s">
        <v>6492</v>
      </c>
      <c r="B602" s="9" t="n">
        <v>1</v>
      </c>
      <c r="C602" s="10" t="s">
        <v>59</v>
      </c>
      <c r="D602" s="10" t="s">
        <v>5699</v>
      </c>
      <c r="E602" s="10" t="s">
        <v>78</v>
      </c>
    </row>
    <row r="603" customFormat="false" ht="25.5" hidden="false" customHeight="true" outlineLevel="0" collapsed="false">
      <c r="A603" s="10" t="s">
        <v>6493</v>
      </c>
      <c r="B603" s="9" t="n">
        <v>1</v>
      </c>
      <c r="C603" s="10" t="s">
        <v>4949</v>
      </c>
      <c r="D603" s="10" t="s">
        <v>6134</v>
      </c>
      <c r="E603" s="10" t="s">
        <v>5085</v>
      </c>
    </row>
    <row r="604" customFormat="false" ht="25.5" hidden="false" customHeight="true" outlineLevel="0" collapsed="false">
      <c r="A604" s="10" t="s">
        <v>6494</v>
      </c>
      <c r="B604" s="9" t="n">
        <v>1</v>
      </c>
      <c r="C604" s="10" t="s">
        <v>2713</v>
      </c>
      <c r="D604" s="10" t="s">
        <v>3032</v>
      </c>
      <c r="E604" s="10" t="s">
        <v>3036</v>
      </c>
    </row>
    <row r="605" customFormat="false" ht="25.5" hidden="false" customHeight="true" outlineLevel="0" collapsed="false">
      <c r="A605" s="10" t="s">
        <v>6495</v>
      </c>
      <c r="B605" s="9" t="n">
        <v>1</v>
      </c>
      <c r="C605" s="10" t="s">
        <v>2713</v>
      </c>
      <c r="D605" s="10" t="s">
        <v>5719</v>
      </c>
      <c r="E605" s="10" t="s">
        <v>3069</v>
      </c>
    </row>
    <row r="606" customFormat="false" ht="25.5" hidden="false" customHeight="true" outlineLevel="0" collapsed="false">
      <c r="A606" s="10" t="s">
        <v>6496</v>
      </c>
      <c r="B606" s="9" t="n">
        <v>1</v>
      </c>
      <c r="C606" s="10" t="s">
        <v>2713</v>
      </c>
      <c r="D606" s="10" t="s">
        <v>5719</v>
      </c>
      <c r="E606" s="10" t="s">
        <v>3069</v>
      </c>
    </row>
    <row r="607" customFormat="false" ht="25.5" hidden="false" customHeight="true" outlineLevel="0" collapsed="false">
      <c r="A607" s="10" t="s">
        <v>6497</v>
      </c>
      <c r="B607" s="9" t="n">
        <v>1</v>
      </c>
      <c r="C607" s="10" t="s">
        <v>1500</v>
      </c>
      <c r="D607" s="10" t="s">
        <v>6120</v>
      </c>
      <c r="E607" s="10" t="s">
        <v>1937</v>
      </c>
    </row>
    <row r="608" customFormat="false" ht="25.5" hidden="false" customHeight="true" outlineLevel="0" collapsed="false">
      <c r="A608" s="10" t="s">
        <v>6498</v>
      </c>
      <c r="B608" s="9" t="n">
        <v>1</v>
      </c>
      <c r="C608" s="10" t="s">
        <v>1500</v>
      </c>
      <c r="D608" s="10" t="s">
        <v>6120</v>
      </c>
      <c r="E608" s="10" t="s">
        <v>1937</v>
      </c>
    </row>
    <row r="609" customFormat="false" ht="25.5" hidden="false" customHeight="true" outlineLevel="0" collapsed="false">
      <c r="A609" s="10" t="s">
        <v>6499</v>
      </c>
      <c r="B609" s="9" t="n">
        <v>1</v>
      </c>
      <c r="C609" s="10" t="s">
        <v>2140</v>
      </c>
      <c r="D609" s="10" t="s">
        <v>6068</v>
      </c>
      <c r="E609" s="10" t="s">
        <v>2530</v>
      </c>
    </row>
    <row r="610" customFormat="false" ht="25.5" hidden="false" customHeight="true" outlineLevel="0" collapsed="false">
      <c r="A610" s="10" t="s">
        <v>6500</v>
      </c>
      <c r="B610" s="9" t="n">
        <v>1</v>
      </c>
      <c r="C610" s="10" t="s">
        <v>4582</v>
      </c>
      <c r="D610" s="10" t="s">
        <v>6453</v>
      </c>
      <c r="E610" s="10" t="s">
        <v>4608</v>
      </c>
    </row>
    <row r="611" customFormat="false" ht="25.5" hidden="false" customHeight="true" outlineLevel="0" collapsed="false">
      <c r="A611" s="10" t="s">
        <v>6501</v>
      </c>
      <c r="B611" s="9" t="n">
        <v>1</v>
      </c>
      <c r="C611" s="10" t="s">
        <v>3291</v>
      </c>
      <c r="D611" s="10" t="s">
        <v>6502</v>
      </c>
      <c r="E611" s="10" t="s">
        <v>3709</v>
      </c>
    </row>
    <row r="612" customFormat="false" ht="25.5" hidden="false" customHeight="true" outlineLevel="0" collapsed="false">
      <c r="A612" s="10" t="s">
        <v>6503</v>
      </c>
      <c r="B612" s="9" t="n">
        <v>1</v>
      </c>
      <c r="C612" s="10" t="s">
        <v>4203</v>
      </c>
      <c r="D612" s="10" t="s">
        <v>6504</v>
      </c>
      <c r="E612" s="10" t="s">
        <v>4478</v>
      </c>
    </row>
    <row r="613" customFormat="false" ht="25.5" hidden="false" customHeight="true" outlineLevel="0" collapsed="false">
      <c r="A613" s="10" t="s">
        <v>6505</v>
      </c>
      <c r="B613" s="9" t="n">
        <v>1</v>
      </c>
      <c r="C613" s="10" t="s">
        <v>3291</v>
      </c>
      <c r="D613" s="10" t="s">
        <v>6416</v>
      </c>
      <c r="E613" s="10" t="s">
        <v>3696</v>
      </c>
    </row>
    <row r="614" customFormat="false" ht="25.5" hidden="false" customHeight="true" outlineLevel="0" collapsed="false">
      <c r="A614" s="10" t="s">
        <v>6506</v>
      </c>
      <c r="B614" s="9" t="n">
        <v>1</v>
      </c>
      <c r="C614" s="10" t="s">
        <v>4582</v>
      </c>
      <c r="D614" s="10" t="s">
        <v>6453</v>
      </c>
      <c r="E614" s="10" t="s">
        <v>4594</v>
      </c>
    </row>
    <row r="615" customFormat="false" ht="25.5" hidden="false" customHeight="true" outlineLevel="0" collapsed="false">
      <c r="A615" s="10" t="s">
        <v>6507</v>
      </c>
      <c r="B615" s="9" t="n">
        <v>1</v>
      </c>
      <c r="C615" s="10" t="s">
        <v>4203</v>
      </c>
      <c r="D615" s="10" t="s">
        <v>6504</v>
      </c>
      <c r="E615" s="10" t="s">
        <v>4478</v>
      </c>
    </row>
    <row r="616" customFormat="false" ht="25.5" hidden="false" customHeight="true" outlineLevel="0" collapsed="false">
      <c r="A616" s="10" t="s">
        <v>6508</v>
      </c>
      <c r="B616" s="9" t="n">
        <v>1</v>
      </c>
      <c r="C616" s="10" t="s">
        <v>3842</v>
      </c>
      <c r="D616" s="10" t="s">
        <v>6509</v>
      </c>
      <c r="E616" s="10" t="s">
        <v>3905</v>
      </c>
    </row>
    <row r="617" customFormat="false" ht="25.5" hidden="false" customHeight="true" outlineLevel="0" collapsed="false">
      <c r="A617" s="10" t="s">
        <v>6510</v>
      </c>
      <c r="B617" s="9" t="n">
        <v>1</v>
      </c>
      <c r="C617" s="10" t="s">
        <v>3842</v>
      </c>
      <c r="D617" s="10" t="s">
        <v>6509</v>
      </c>
      <c r="E617" s="10" t="s">
        <v>3905</v>
      </c>
    </row>
    <row r="618" customFormat="false" ht="25.5" hidden="false" customHeight="true" outlineLevel="0" collapsed="false">
      <c r="A618" s="10" t="s">
        <v>6511</v>
      </c>
      <c r="B618" s="9" t="n">
        <v>1</v>
      </c>
      <c r="C618" s="10" t="s">
        <v>3842</v>
      </c>
      <c r="D618" s="10" t="s">
        <v>6509</v>
      </c>
      <c r="E618" s="10" t="s">
        <v>3905</v>
      </c>
    </row>
    <row r="619" customFormat="false" ht="25.5" hidden="false" customHeight="true" outlineLevel="0" collapsed="false">
      <c r="A619" s="10" t="s">
        <v>6512</v>
      </c>
      <c r="B619" s="9" t="n">
        <v>1</v>
      </c>
      <c r="C619" s="10" t="s">
        <v>3842</v>
      </c>
      <c r="D619" s="10" t="s">
        <v>6509</v>
      </c>
      <c r="E619" s="10" t="s">
        <v>3905</v>
      </c>
    </row>
    <row r="620" customFormat="false" ht="25.5" hidden="false" customHeight="true" outlineLevel="0" collapsed="false">
      <c r="A620" s="10" t="s">
        <v>6513</v>
      </c>
      <c r="B620" s="9" t="n">
        <v>1</v>
      </c>
      <c r="C620" s="10" t="s">
        <v>4582</v>
      </c>
      <c r="D620" s="10" t="s">
        <v>6514</v>
      </c>
      <c r="E620" s="10" t="s">
        <v>4870</v>
      </c>
    </row>
    <row r="621" customFormat="false" ht="25.5" hidden="false" customHeight="true" outlineLevel="0" collapsed="false">
      <c r="A621" s="10" t="s">
        <v>6515</v>
      </c>
      <c r="B621" s="9" t="n">
        <v>1</v>
      </c>
      <c r="C621" s="10" t="s">
        <v>3291</v>
      </c>
      <c r="D621" s="10" t="s">
        <v>6416</v>
      </c>
      <c r="E621" s="10" t="s">
        <v>3696</v>
      </c>
    </row>
    <row r="622" customFormat="false" ht="25.5" hidden="false" customHeight="true" outlineLevel="0" collapsed="false">
      <c r="A622" s="10" t="s">
        <v>6516</v>
      </c>
      <c r="B622" s="9" t="n">
        <v>1</v>
      </c>
      <c r="C622" s="10" t="s">
        <v>59</v>
      </c>
      <c r="D622" s="10" t="s">
        <v>6244</v>
      </c>
      <c r="E622" s="10" t="s">
        <v>682</v>
      </c>
    </row>
    <row r="623" customFormat="false" ht="25.5" hidden="false" customHeight="true" outlineLevel="0" collapsed="false">
      <c r="A623" s="10" t="s">
        <v>6517</v>
      </c>
      <c r="B623" s="9" t="n">
        <v>1</v>
      </c>
      <c r="C623" s="10" t="s">
        <v>4949</v>
      </c>
      <c r="D623" s="10" t="s">
        <v>6134</v>
      </c>
      <c r="E623" s="10" t="s">
        <v>5085</v>
      </c>
    </row>
    <row r="624" customFormat="false" ht="25.5" hidden="false" customHeight="true" outlineLevel="0" collapsed="false">
      <c r="A624" s="10" t="s">
        <v>6518</v>
      </c>
      <c r="B624" s="9" t="n">
        <v>1</v>
      </c>
      <c r="C624" s="10" t="s">
        <v>1500</v>
      </c>
      <c r="D624" s="10" t="s">
        <v>6047</v>
      </c>
      <c r="E624" s="10" t="s">
        <v>2112</v>
      </c>
    </row>
    <row r="625" customFormat="false" ht="25.5" hidden="false" customHeight="true" outlineLevel="0" collapsed="false">
      <c r="A625" s="10" t="s">
        <v>6519</v>
      </c>
      <c r="B625" s="9" t="n">
        <v>1</v>
      </c>
      <c r="C625" s="10" t="s">
        <v>4949</v>
      </c>
      <c r="D625" s="10" t="s">
        <v>5149</v>
      </c>
      <c r="E625" s="10" t="s">
        <v>5167</v>
      </c>
    </row>
    <row r="626" customFormat="false" ht="25.5" hidden="false" customHeight="true" outlineLevel="0" collapsed="false">
      <c r="A626" s="10" t="s">
        <v>6520</v>
      </c>
      <c r="B626" s="9" t="n">
        <v>1</v>
      </c>
      <c r="C626" s="10" t="s">
        <v>837</v>
      </c>
      <c r="D626" s="10" t="s">
        <v>6154</v>
      </c>
      <c r="E626" s="10" t="s">
        <v>1135</v>
      </c>
    </row>
    <row r="627" customFormat="false" ht="25.5" hidden="false" customHeight="true" outlineLevel="0" collapsed="false">
      <c r="A627" s="10" t="s">
        <v>6521</v>
      </c>
      <c r="B627" s="9" t="n">
        <v>1</v>
      </c>
      <c r="C627" s="10" t="s">
        <v>4203</v>
      </c>
      <c r="D627" s="10" t="s">
        <v>6522</v>
      </c>
      <c r="E627" s="10" t="s">
        <v>4517</v>
      </c>
    </row>
    <row r="628" customFormat="false" ht="25.5" hidden="false" customHeight="true" outlineLevel="0" collapsed="false">
      <c r="A628" s="10" t="s">
        <v>6523</v>
      </c>
      <c r="B628" s="9" t="n">
        <v>1</v>
      </c>
      <c r="C628" s="10" t="s">
        <v>4203</v>
      </c>
      <c r="D628" s="10" t="s">
        <v>6522</v>
      </c>
      <c r="E628" s="10" t="s">
        <v>4517</v>
      </c>
    </row>
    <row r="629" customFormat="false" ht="25.5" hidden="false" customHeight="true" outlineLevel="0" collapsed="false">
      <c r="A629" s="10" t="s">
        <v>6524</v>
      </c>
      <c r="B629" s="9" t="n">
        <v>1</v>
      </c>
      <c r="C629" s="10" t="s">
        <v>2713</v>
      </c>
      <c r="D629" s="10" t="s">
        <v>6097</v>
      </c>
      <c r="E629" s="10" t="s">
        <v>3011</v>
      </c>
    </row>
    <row r="630" customFormat="false" ht="25.5" hidden="false" customHeight="true" outlineLevel="0" collapsed="false">
      <c r="A630" s="10" t="s">
        <v>6525</v>
      </c>
      <c r="B630" s="9" t="n">
        <v>1</v>
      </c>
      <c r="C630" s="10" t="s">
        <v>4203</v>
      </c>
      <c r="D630" s="10" t="s">
        <v>6526</v>
      </c>
      <c r="E630" s="10" t="s">
        <v>4466</v>
      </c>
    </row>
    <row r="631" customFormat="false" ht="25.5" hidden="false" customHeight="true" outlineLevel="0" collapsed="false">
      <c r="A631" s="10" t="s">
        <v>6527</v>
      </c>
      <c r="B631" s="9" t="n">
        <v>1</v>
      </c>
      <c r="C631" s="10" t="s">
        <v>59</v>
      </c>
      <c r="D631" s="10" t="s">
        <v>6244</v>
      </c>
      <c r="E631" s="10" t="s">
        <v>682</v>
      </c>
    </row>
    <row r="632" customFormat="false" ht="25.5" hidden="false" customHeight="true" outlineLevel="0" collapsed="false">
      <c r="A632" s="10" t="s">
        <v>6528</v>
      </c>
      <c r="B632" s="9" t="n">
        <v>1</v>
      </c>
      <c r="C632" s="10" t="s">
        <v>4582</v>
      </c>
      <c r="D632" s="10" t="s">
        <v>6453</v>
      </c>
      <c r="E632" s="10" t="s">
        <v>4701</v>
      </c>
    </row>
    <row r="633" customFormat="false" ht="25.5" hidden="false" customHeight="true" outlineLevel="0" collapsed="false">
      <c r="A633" s="10" t="s">
        <v>6529</v>
      </c>
      <c r="B633" s="9" t="n">
        <v>1</v>
      </c>
      <c r="C633" s="10" t="s">
        <v>837</v>
      </c>
      <c r="D633" s="10" t="s">
        <v>6530</v>
      </c>
      <c r="E633" s="10" t="s">
        <v>1148</v>
      </c>
    </row>
    <row r="634" customFormat="false" ht="25.5" hidden="false" customHeight="true" outlineLevel="0" collapsed="false">
      <c r="A634" s="10" t="s">
        <v>6531</v>
      </c>
      <c r="B634" s="9" t="n">
        <v>1</v>
      </c>
      <c r="C634" s="10" t="s">
        <v>4203</v>
      </c>
      <c r="D634" s="10" t="s">
        <v>6532</v>
      </c>
      <c r="E634" s="10" t="s">
        <v>4541</v>
      </c>
    </row>
    <row r="635" customFormat="false" ht="25.5" hidden="false" customHeight="true" outlineLevel="0" collapsed="false">
      <c r="A635" s="10" t="s">
        <v>6533</v>
      </c>
      <c r="B635" s="9" t="n">
        <v>1</v>
      </c>
      <c r="C635" s="10" t="s">
        <v>4203</v>
      </c>
      <c r="D635" s="10" t="s">
        <v>6534</v>
      </c>
      <c r="E635" s="10" t="s">
        <v>4202</v>
      </c>
    </row>
    <row r="636" customFormat="false" ht="25.5" hidden="false" customHeight="true" outlineLevel="0" collapsed="false">
      <c r="A636" s="10" t="s">
        <v>6535</v>
      </c>
      <c r="B636" s="9" t="n">
        <v>1</v>
      </c>
      <c r="C636" s="10" t="s">
        <v>4203</v>
      </c>
      <c r="D636" s="10" t="s">
        <v>6534</v>
      </c>
      <c r="E636" s="10" t="s">
        <v>4295</v>
      </c>
    </row>
    <row r="637" customFormat="false" ht="25.5" hidden="false" customHeight="true" outlineLevel="0" collapsed="false">
      <c r="A637" s="10" t="s">
        <v>6536</v>
      </c>
      <c r="B637" s="9" t="n">
        <v>1</v>
      </c>
      <c r="C637" s="10" t="s">
        <v>4203</v>
      </c>
      <c r="D637" s="10" t="s">
        <v>6537</v>
      </c>
      <c r="E637" s="10" t="s">
        <v>4282</v>
      </c>
    </row>
    <row r="638" customFormat="false" ht="25.5" hidden="false" customHeight="true" outlineLevel="0" collapsed="false">
      <c r="A638" s="10" t="s">
        <v>6538</v>
      </c>
      <c r="B638" s="9" t="n">
        <v>1</v>
      </c>
      <c r="C638" s="10" t="s">
        <v>2713</v>
      </c>
      <c r="D638" s="10" t="s">
        <v>6539</v>
      </c>
      <c r="E638" s="10" t="s">
        <v>2737</v>
      </c>
    </row>
    <row r="639" customFormat="false" ht="25.5" hidden="false" customHeight="true" outlineLevel="0" collapsed="false">
      <c r="A639" s="10" t="s">
        <v>6540</v>
      </c>
      <c r="B639" s="9" t="n">
        <v>1</v>
      </c>
      <c r="C639" s="10" t="s">
        <v>4203</v>
      </c>
      <c r="D639" s="10" t="s">
        <v>6541</v>
      </c>
      <c r="E639" s="10" t="s">
        <v>4256</v>
      </c>
    </row>
    <row r="640" customFormat="false" ht="25.5" hidden="false" customHeight="true" outlineLevel="0" collapsed="false">
      <c r="A640" s="10" t="s">
        <v>6542</v>
      </c>
      <c r="B640" s="9" t="n">
        <v>1</v>
      </c>
      <c r="C640" s="10" t="s">
        <v>4582</v>
      </c>
      <c r="D640" s="10" t="s">
        <v>5770</v>
      </c>
      <c r="E640" s="10" t="s">
        <v>4924</v>
      </c>
    </row>
    <row r="641" customFormat="false" ht="25.5" hidden="false" customHeight="true" outlineLevel="0" collapsed="false">
      <c r="A641" s="10" t="s">
        <v>6543</v>
      </c>
      <c r="B641" s="9" t="n">
        <v>1</v>
      </c>
      <c r="C641" s="10" t="s">
        <v>1500</v>
      </c>
      <c r="D641" s="10" t="s">
        <v>6544</v>
      </c>
      <c r="E641" s="10" t="s">
        <v>1756</v>
      </c>
    </row>
    <row r="642" customFormat="false" ht="25.5" hidden="false" customHeight="true" outlineLevel="0" collapsed="false">
      <c r="A642" s="10" t="s">
        <v>6545</v>
      </c>
      <c r="B642" s="9" t="n">
        <v>1</v>
      </c>
      <c r="C642" s="10" t="s">
        <v>3842</v>
      </c>
      <c r="D642" s="10" t="s">
        <v>6546</v>
      </c>
      <c r="E642" s="10" t="s">
        <v>4176</v>
      </c>
    </row>
    <row r="643" customFormat="false" ht="25.5" hidden="false" customHeight="true" outlineLevel="0" collapsed="false">
      <c r="A643" s="10" t="s">
        <v>6547</v>
      </c>
      <c r="B643" s="9" t="n">
        <v>1</v>
      </c>
      <c r="C643" s="10" t="s">
        <v>4582</v>
      </c>
      <c r="D643" s="10" t="s">
        <v>6548</v>
      </c>
      <c r="E643" s="10" t="s">
        <v>4911</v>
      </c>
    </row>
    <row r="644" customFormat="false" ht="25.5" hidden="false" customHeight="true" outlineLevel="0" collapsed="false">
      <c r="A644" s="10" t="s">
        <v>6549</v>
      </c>
      <c r="B644" s="9" t="n">
        <v>1</v>
      </c>
      <c r="C644" s="10" t="s">
        <v>4582</v>
      </c>
      <c r="D644" s="10" t="s">
        <v>5770</v>
      </c>
      <c r="E644" s="10" t="s">
        <v>4806</v>
      </c>
    </row>
    <row r="645" customFormat="false" ht="25.5" hidden="false" customHeight="true" outlineLevel="0" collapsed="false">
      <c r="A645" s="10" t="s">
        <v>6550</v>
      </c>
      <c r="B645" s="9" t="n">
        <v>1</v>
      </c>
      <c r="C645" s="10" t="s">
        <v>4582</v>
      </c>
      <c r="D645" s="10" t="s">
        <v>5770</v>
      </c>
      <c r="E645" s="10" t="s">
        <v>4806</v>
      </c>
    </row>
    <row r="646" customFormat="false" ht="25.5" hidden="false" customHeight="true" outlineLevel="0" collapsed="false">
      <c r="A646" s="10" t="s">
        <v>6551</v>
      </c>
      <c r="B646" s="9" t="n">
        <v>1</v>
      </c>
      <c r="C646" s="10" t="s">
        <v>1500</v>
      </c>
      <c r="D646" s="10" t="s">
        <v>6552</v>
      </c>
      <c r="E646" s="10" t="s">
        <v>2052</v>
      </c>
    </row>
    <row r="647" customFormat="false" ht="25.5" hidden="false" customHeight="true" outlineLevel="0" collapsed="false">
      <c r="A647" s="10" t="s">
        <v>6553</v>
      </c>
      <c r="B647" s="9" t="n">
        <v>1</v>
      </c>
      <c r="C647" s="10" t="s">
        <v>2140</v>
      </c>
      <c r="D647" s="10" t="s">
        <v>5598</v>
      </c>
      <c r="E647" s="10" t="s">
        <v>2276</v>
      </c>
    </row>
    <row r="648" customFormat="false" ht="25.5" hidden="false" customHeight="true" outlineLevel="0" collapsed="false">
      <c r="A648" s="10" t="s">
        <v>6554</v>
      </c>
      <c r="B648" s="9" t="n">
        <v>1</v>
      </c>
      <c r="C648" s="10" t="s">
        <v>59</v>
      </c>
      <c r="D648" s="10" t="s">
        <v>6555</v>
      </c>
      <c r="E648" s="10" t="s">
        <v>652</v>
      </c>
    </row>
    <row r="649" customFormat="false" ht="25.5" hidden="false" customHeight="true" outlineLevel="0" collapsed="false">
      <c r="A649" s="10" t="s">
        <v>6556</v>
      </c>
      <c r="B649" s="9" t="n">
        <v>1</v>
      </c>
      <c r="C649" s="10" t="s">
        <v>2713</v>
      </c>
      <c r="D649" s="10" t="s">
        <v>6557</v>
      </c>
      <c r="E649" s="10" t="s">
        <v>2842</v>
      </c>
    </row>
    <row r="650" customFormat="false" ht="25.5" hidden="false" customHeight="true" outlineLevel="0" collapsed="false">
      <c r="A650" s="10" t="s">
        <v>6558</v>
      </c>
      <c r="B650" s="9" t="n">
        <v>1</v>
      </c>
      <c r="C650" s="10" t="s">
        <v>3842</v>
      </c>
      <c r="D650" s="10" t="s">
        <v>6113</v>
      </c>
      <c r="E650" s="10" t="s">
        <v>4036</v>
      </c>
    </row>
    <row r="651" customFormat="false" ht="25.5" hidden="false" customHeight="true" outlineLevel="0" collapsed="false">
      <c r="A651" s="10" t="s">
        <v>6559</v>
      </c>
      <c r="B651" s="9" t="n">
        <v>1</v>
      </c>
      <c r="C651" s="10" t="s">
        <v>2713</v>
      </c>
      <c r="D651" s="10" t="s">
        <v>6424</v>
      </c>
      <c r="E651" s="10" t="s">
        <v>3131</v>
      </c>
    </row>
    <row r="652" customFormat="false" ht="25.5" hidden="false" customHeight="true" outlineLevel="0" collapsed="false">
      <c r="A652" s="10" t="s">
        <v>6560</v>
      </c>
      <c r="B652" s="9" t="n">
        <v>1</v>
      </c>
      <c r="C652" s="10" t="s">
        <v>4582</v>
      </c>
      <c r="D652" s="10" t="s">
        <v>5770</v>
      </c>
      <c r="E652" s="10" t="s">
        <v>4768</v>
      </c>
    </row>
    <row r="653" customFormat="false" ht="25.5" hidden="false" customHeight="true" outlineLevel="0" collapsed="false">
      <c r="A653" s="10" t="s">
        <v>6561</v>
      </c>
      <c r="B653" s="9" t="n">
        <v>1</v>
      </c>
      <c r="C653" s="10" t="s">
        <v>4582</v>
      </c>
      <c r="D653" s="10" t="s">
        <v>5770</v>
      </c>
      <c r="E653" s="10" t="s">
        <v>4924</v>
      </c>
    </row>
    <row r="654" customFormat="false" ht="25.5" hidden="false" customHeight="true" outlineLevel="0" collapsed="false">
      <c r="A654" s="10" t="s">
        <v>6562</v>
      </c>
      <c r="B654" s="9" t="n">
        <v>1</v>
      </c>
      <c r="C654" s="10" t="s">
        <v>4949</v>
      </c>
      <c r="D654" s="10" t="s">
        <v>6134</v>
      </c>
      <c r="E654" s="10" t="s">
        <v>5085</v>
      </c>
    </row>
    <row r="655" customFormat="false" ht="25.5" hidden="false" customHeight="true" outlineLevel="0" collapsed="false">
      <c r="A655" s="10" t="s">
        <v>6563</v>
      </c>
      <c r="B655" s="9" t="n">
        <v>1</v>
      </c>
      <c r="C655" s="10" t="s">
        <v>1500</v>
      </c>
      <c r="D655" s="10" t="s">
        <v>6552</v>
      </c>
      <c r="E655" s="10" t="s">
        <v>2052</v>
      </c>
    </row>
    <row r="656" customFormat="false" ht="25.5" hidden="false" customHeight="true" outlineLevel="0" collapsed="false">
      <c r="A656" s="10" t="s">
        <v>6564</v>
      </c>
      <c r="B656" s="9" t="n">
        <v>1</v>
      </c>
      <c r="C656" s="10" t="s">
        <v>59</v>
      </c>
      <c r="D656" s="10" t="s">
        <v>6555</v>
      </c>
      <c r="E656" s="10" t="s">
        <v>652</v>
      </c>
    </row>
    <row r="657" customFormat="false" ht="25.5" hidden="false" customHeight="true" outlineLevel="0" collapsed="false">
      <c r="A657" s="10" t="s">
        <v>6565</v>
      </c>
      <c r="B657" s="9" t="n">
        <v>1</v>
      </c>
      <c r="C657" s="10" t="s">
        <v>837</v>
      </c>
      <c r="D657" s="10" t="s">
        <v>6530</v>
      </c>
      <c r="E657" s="10" t="s">
        <v>1148</v>
      </c>
    </row>
    <row r="658" customFormat="false" ht="25.5" hidden="false" customHeight="true" outlineLevel="0" collapsed="false">
      <c r="A658" s="10" t="s">
        <v>6566</v>
      </c>
      <c r="B658" s="9" t="n">
        <v>1</v>
      </c>
      <c r="C658" s="10" t="s">
        <v>4203</v>
      </c>
      <c r="D658" s="10" t="s">
        <v>6567</v>
      </c>
      <c r="E658" s="10" t="s">
        <v>4231</v>
      </c>
    </row>
    <row r="659" customFormat="false" ht="25.5" hidden="false" customHeight="true" outlineLevel="0" collapsed="false">
      <c r="A659" s="10" t="s">
        <v>6568</v>
      </c>
      <c r="B659" s="9" t="n">
        <v>1</v>
      </c>
      <c r="C659" s="10" t="s">
        <v>4203</v>
      </c>
      <c r="D659" s="10" t="s">
        <v>6569</v>
      </c>
      <c r="E659" s="10" t="s">
        <v>4217</v>
      </c>
    </row>
    <row r="660" customFormat="false" ht="25.5" hidden="false" customHeight="true" outlineLevel="0" collapsed="false">
      <c r="A660" s="10" t="s">
        <v>6570</v>
      </c>
      <c r="B660" s="9" t="n">
        <v>1</v>
      </c>
      <c r="C660" s="10" t="s">
        <v>2713</v>
      </c>
      <c r="D660" s="10" t="s">
        <v>6108</v>
      </c>
      <c r="E660" s="10" t="s">
        <v>2762</v>
      </c>
    </row>
    <row r="661" customFormat="false" ht="25.5" hidden="false" customHeight="true" outlineLevel="0" collapsed="false">
      <c r="A661" s="10" t="s">
        <v>6571</v>
      </c>
      <c r="B661" s="9" t="n">
        <v>1</v>
      </c>
      <c r="C661" s="10" t="s">
        <v>2140</v>
      </c>
      <c r="D661" s="10" t="s">
        <v>6068</v>
      </c>
      <c r="E661" s="10" t="s">
        <v>2530</v>
      </c>
    </row>
    <row r="662" customFormat="false" ht="25.5" hidden="false" customHeight="true" outlineLevel="0" collapsed="false">
      <c r="A662" s="10" t="s">
        <v>6572</v>
      </c>
      <c r="B662" s="9" t="n">
        <v>1</v>
      </c>
      <c r="C662" s="10" t="s">
        <v>2140</v>
      </c>
      <c r="D662" s="10" t="s">
        <v>6385</v>
      </c>
      <c r="E662" s="10" t="s">
        <v>2583</v>
      </c>
    </row>
    <row r="663" customFormat="false" ht="25.5" hidden="false" customHeight="true" outlineLevel="0" collapsed="false">
      <c r="A663" s="10" t="s">
        <v>6573</v>
      </c>
      <c r="B663" s="9" t="n">
        <v>1</v>
      </c>
      <c r="C663" s="10" t="s">
        <v>2713</v>
      </c>
      <c r="D663" s="10" t="s">
        <v>6108</v>
      </c>
      <c r="E663" s="10" t="s">
        <v>2750</v>
      </c>
    </row>
    <row r="664" customFormat="false" ht="25.5" hidden="false" customHeight="true" outlineLevel="0" collapsed="false">
      <c r="A664" s="10" t="s">
        <v>6574</v>
      </c>
      <c r="B664" s="9" t="n">
        <v>1</v>
      </c>
      <c r="C664" s="10" t="s">
        <v>2713</v>
      </c>
      <c r="D664" s="10" t="s">
        <v>6557</v>
      </c>
      <c r="E664" s="10" t="s">
        <v>2842</v>
      </c>
    </row>
    <row r="665" customFormat="false" ht="25.5" hidden="false" customHeight="true" outlineLevel="0" collapsed="false">
      <c r="A665" s="10" t="s">
        <v>6575</v>
      </c>
      <c r="B665" s="9" t="n">
        <v>1</v>
      </c>
      <c r="C665" s="10" t="s">
        <v>2713</v>
      </c>
      <c r="D665" s="10" t="s">
        <v>6557</v>
      </c>
      <c r="E665" s="10" t="s">
        <v>2842</v>
      </c>
    </row>
    <row r="666" customFormat="false" ht="25.5" hidden="false" customHeight="true" outlineLevel="0" collapsed="false">
      <c r="A666" s="10" t="s">
        <v>6576</v>
      </c>
      <c r="B666" s="9" t="n">
        <v>1</v>
      </c>
      <c r="C666" s="10" t="s">
        <v>2713</v>
      </c>
      <c r="D666" s="10" t="s">
        <v>6036</v>
      </c>
      <c r="E666" s="10" t="s">
        <v>2867</v>
      </c>
    </row>
    <row r="667" customFormat="false" ht="25.5" hidden="false" customHeight="true" outlineLevel="0" collapsed="false">
      <c r="A667" s="10" t="s">
        <v>6577</v>
      </c>
      <c r="B667" s="9" t="n">
        <v>1</v>
      </c>
      <c r="C667" s="10" t="s">
        <v>2713</v>
      </c>
      <c r="D667" s="10" t="s">
        <v>6557</v>
      </c>
      <c r="E667" s="10" t="s">
        <v>2842</v>
      </c>
    </row>
    <row r="668" customFormat="false" ht="25.5" hidden="false" customHeight="true" outlineLevel="0" collapsed="false">
      <c r="A668" s="10" t="s">
        <v>6578</v>
      </c>
      <c r="B668" s="9" t="n">
        <v>1</v>
      </c>
      <c r="C668" s="10" t="s">
        <v>59</v>
      </c>
      <c r="D668" s="10" t="s">
        <v>5731</v>
      </c>
      <c r="E668" s="10" t="s">
        <v>491</v>
      </c>
    </row>
    <row r="669" customFormat="false" ht="25.5" hidden="false" customHeight="true" outlineLevel="0" collapsed="false">
      <c r="A669" s="10" t="s">
        <v>6579</v>
      </c>
      <c r="B669" s="9" t="n">
        <v>1</v>
      </c>
      <c r="C669" s="10" t="s">
        <v>2140</v>
      </c>
      <c r="D669" s="10" t="s">
        <v>6194</v>
      </c>
      <c r="E669" s="10" t="s">
        <v>2557</v>
      </c>
    </row>
    <row r="670" customFormat="false" ht="25.5" hidden="false" customHeight="true" outlineLevel="0" collapsed="false">
      <c r="A670" s="10" t="s">
        <v>6580</v>
      </c>
      <c r="B670" s="9" t="n">
        <v>1</v>
      </c>
      <c r="C670" s="10" t="s">
        <v>4582</v>
      </c>
      <c r="D670" s="10" t="s">
        <v>6581</v>
      </c>
      <c r="E670" s="10" t="s">
        <v>4936</v>
      </c>
    </row>
    <row r="671" customFormat="false" ht="25.5" hidden="false" customHeight="true" outlineLevel="0" collapsed="false">
      <c r="A671" s="10" t="s">
        <v>6582</v>
      </c>
      <c r="B671" s="9" t="n">
        <v>1</v>
      </c>
      <c r="C671" s="10" t="s">
        <v>2140</v>
      </c>
      <c r="D671" s="10" t="s">
        <v>6365</v>
      </c>
      <c r="E671" s="10" t="s">
        <v>2203</v>
      </c>
    </row>
    <row r="672" customFormat="false" ht="25.5" hidden="false" customHeight="true" outlineLevel="0" collapsed="false">
      <c r="A672" s="10" t="s">
        <v>6583</v>
      </c>
      <c r="B672" s="9" t="n">
        <v>1</v>
      </c>
      <c r="C672" s="10" t="s">
        <v>837</v>
      </c>
      <c r="D672" s="10" t="s">
        <v>6317</v>
      </c>
      <c r="E672" s="10" t="s">
        <v>1272</v>
      </c>
    </row>
    <row r="673" customFormat="false" ht="25.5" hidden="false" customHeight="true" outlineLevel="0" collapsed="false">
      <c r="A673" s="10" t="s">
        <v>6584</v>
      </c>
      <c r="B673" s="9" t="n">
        <v>1</v>
      </c>
      <c r="C673" s="10" t="s">
        <v>3842</v>
      </c>
      <c r="D673" s="10" t="s">
        <v>6585</v>
      </c>
      <c r="E673" s="10" t="s">
        <v>4123</v>
      </c>
    </row>
    <row r="674" customFormat="false" ht="25.5" hidden="false" customHeight="true" outlineLevel="0" collapsed="false">
      <c r="A674" s="10" t="s">
        <v>6586</v>
      </c>
      <c r="B674" s="9" t="n">
        <v>1</v>
      </c>
      <c r="C674" s="10" t="s">
        <v>2713</v>
      </c>
      <c r="D674" s="10" t="s">
        <v>6036</v>
      </c>
      <c r="E674" s="10" t="s">
        <v>2854</v>
      </c>
    </row>
    <row r="675" customFormat="false" ht="25.5" hidden="false" customHeight="true" outlineLevel="0" collapsed="false">
      <c r="A675" s="10" t="s">
        <v>6587</v>
      </c>
      <c r="B675" s="9" t="n">
        <v>1</v>
      </c>
      <c r="C675" s="10" t="s">
        <v>2713</v>
      </c>
      <c r="D675" s="10" t="s">
        <v>6283</v>
      </c>
      <c r="E675" s="10" t="s">
        <v>3266</v>
      </c>
    </row>
    <row r="676" customFormat="false" ht="25.5" hidden="false" customHeight="true" outlineLevel="0" collapsed="false">
      <c r="A676" s="10" t="s">
        <v>6588</v>
      </c>
      <c r="B676" s="9" t="n">
        <v>1</v>
      </c>
      <c r="C676" s="10" t="s">
        <v>3291</v>
      </c>
      <c r="D676" s="10" t="s">
        <v>6589</v>
      </c>
      <c r="E676" s="10" t="s">
        <v>3748</v>
      </c>
    </row>
    <row r="677" customFormat="false" ht="25.5" hidden="false" customHeight="true" outlineLevel="0" collapsed="false">
      <c r="A677" s="10" t="s">
        <v>6590</v>
      </c>
      <c r="B677" s="9" t="n">
        <v>1</v>
      </c>
      <c r="C677" s="10" t="s">
        <v>4949</v>
      </c>
      <c r="D677" s="10" t="s">
        <v>5149</v>
      </c>
      <c r="E677" s="10" t="s">
        <v>5140</v>
      </c>
    </row>
    <row r="678" customFormat="false" ht="25.5" hidden="false" customHeight="true" outlineLevel="0" collapsed="false">
      <c r="A678" s="10" t="s">
        <v>6591</v>
      </c>
      <c r="B678" s="9" t="n">
        <v>1</v>
      </c>
      <c r="C678" s="10" t="s">
        <v>59</v>
      </c>
      <c r="D678" s="10" t="s">
        <v>5814</v>
      </c>
      <c r="E678" s="10" t="s">
        <v>279</v>
      </c>
    </row>
    <row r="679" customFormat="false" ht="25.5" hidden="false" customHeight="true" outlineLevel="0" collapsed="false">
      <c r="A679" s="10" t="s">
        <v>6592</v>
      </c>
      <c r="B679" s="9" t="n">
        <v>1</v>
      </c>
      <c r="C679" s="10" t="s">
        <v>1500</v>
      </c>
      <c r="D679" s="10" t="s">
        <v>6323</v>
      </c>
      <c r="E679" s="10" t="s">
        <v>1718</v>
      </c>
    </row>
    <row r="680" customFormat="false" ht="25.5" hidden="false" customHeight="true" outlineLevel="0" collapsed="false">
      <c r="A680" s="10" t="s">
        <v>6593</v>
      </c>
      <c r="B680" s="9" t="n">
        <v>1</v>
      </c>
      <c r="C680" s="10" t="s">
        <v>4582</v>
      </c>
      <c r="D680" s="10" t="s">
        <v>6378</v>
      </c>
      <c r="E680" s="10" t="s">
        <v>4845</v>
      </c>
    </row>
    <row r="681" customFormat="false" ht="25.5" hidden="false" customHeight="true" outlineLevel="0" collapsed="false">
      <c r="A681" s="10" t="s">
        <v>6594</v>
      </c>
      <c r="B681" s="9" t="n">
        <v>1</v>
      </c>
      <c r="C681" s="10" t="s">
        <v>1500</v>
      </c>
      <c r="D681" s="10" t="s">
        <v>6323</v>
      </c>
      <c r="E681" s="10" t="s">
        <v>1718</v>
      </c>
    </row>
    <row r="682" customFormat="false" ht="25.5" hidden="false" customHeight="true" outlineLevel="0" collapsed="false">
      <c r="A682" s="10" t="s">
        <v>6595</v>
      </c>
      <c r="B682" s="9" t="n">
        <v>1</v>
      </c>
      <c r="C682" s="10" t="s">
        <v>1500</v>
      </c>
      <c r="D682" s="10" t="s">
        <v>6323</v>
      </c>
      <c r="E682" s="10" t="s">
        <v>1718</v>
      </c>
    </row>
    <row r="683" customFormat="false" ht="25.5" hidden="false" customHeight="true" outlineLevel="0" collapsed="false">
      <c r="A683" s="10" t="s">
        <v>6596</v>
      </c>
      <c r="B683" s="9" t="n">
        <v>1</v>
      </c>
      <c r="C683" s="10" t="s">
        <v>4582</v>
      </c>
      <c r="D683" s="10" t="s">
        <v>6378</v>
      </c>
      <c r="E683" s="10" t="s">
        <v>4845</v>
      </c>
    </row>
    <row r="684" customFormat="false" ht="25.5" hidden="false" customHeight="true" outlineLevel="0" collapsed="false">
      <c r="A684" s="10" t="s">
        <v>6597</v>
      </c>
      <c r="B684" s="9" t="n">
        <v>1</v>
      </c>
      <c r="C684" s="10" t="s">
        <v>4582</v>
      </c>
      <c r="D684" s="10" t="s">
        <v>6378</v>
      </c>
      <c r="E684" s="10" t="s">
        <v>4845</v>
      </c>
    </row>
    <row r="685" customFormat="false" ht="25.5" hidden="false" customHeight="true" outlineLevel="0" collapsed="false">
      <c r="A685" s="10" t="s">
        <v>6598</v>
      </c>
      <c r="B685" s="9" t="n">
        <v>1</v>
      </c>
      <c r="C685" s="10" t="s">
        <v>4582</v>
      </c>
      <c r="D685" s="10" t="s">
        <v>6378</v>
      </c>
      <c r="E685" s="10" t="s">
        <v>4845</v>
      </c>
    </row>
    <row r="686" customFormat="false" ht="25.5" hidden="false" customHeight="true" outlineLevel="0" collapsed="false">
      <c r="A686" s="10" t="s">
        <v>6599</v>
      </c>
      <c r="B686" s="9" t="n">
        <v>1</v>
      </c>
      <c r="C686" s="10" t="s">
        <v>4949</v>
      </c>
      <c r="D686" s="10" t="s">
        <v>6237</v>
      </c>
      <c r="E686" s="10" t="s">
        <v>4948</v>
      </c>
    </row>
    <row r="687" customFormat="false" ht="25.5" hidden="false" customHeight="true" outlineLevel="0" collapsed="false">
      <c r="A687" s="10" t="s">
        <v>6600</v>
      </c>
      <c r="B687" s="9" t="n">
        <v>1</v>
      </c>
      <c r="C687" s="10" t="s">
        <v>3842</v>
      </c>
      <c r="D687" s="10" t="s">
        <v>6077</v>
      </c>
      <c r="E687" s="10" t="s">
        <v>3997</v>
      </c>
    </row>
    <row r="688" customFormat="false" ht="25.5" hidden="false" customHeight="true" outlineLevel="0" collapsed="false">
      <c r="A688" s="10" t="s">
        <v>6601</v>
      </c>
      <c r="B688" s="9" t="n">
        <v>1</v>
      </c>
      <c r="C688" s="10" t="s">
        <v>4203</v>
      </c>
      <c r="D688" s="10" t="s">
        <v>6602</v>
      </c>
      <c r="E688" s="10" t="s">
        <v>4270</v>
      </c>
    </row>
    <row r="689" customFormat="false" ht="25.5" hidden="false" customHeight="true" outlineLevel="0" collapsed="false">
      <c r="A689" s="10" t="s">
        <v>6603</v>
      </c>
      <c r="B689" s="9" t="n">
        <v>1</v>
      </c>
      <c r="C689" s="10" t="s">
        <v>2140</v>
      </c>
      <c r="D689" s="10" t="s">
        <v>6604</v>
      </c>
      <c r="E689" s="10" t="s">
        <v>2516</v>
      </c>
    </row>
    <row r="690" customFormat="false" ht="25.5" hidden="false" customHeight="true" outlineLevel="0" collapsed="false">
      <c r="A690" s="10" t="s">
        <v>6605</v>
      </c>
      <c r="B690" s="9" t="n">
        <v>1</v>
      </c>
      <c r="C690" s="10" t="s">
        <v>4949</v>
      </c>
      <c r="D690" s="10" t="s">
        <v>6606</v>
      </c>
      <c r="E690" s="10" t="s">
        <v>5207</v>
      </c>
    </row>
    <row r="691" customFormat="false" ht="25.5" hidden="false" customHeight="true" outlineLevel="0" collapsed="false">
      <c r="A691" s="10" t="s">
        <v>6607</v>
      </c>
      <c r="B691" s="9" t="n">
        <v>1</v>
      </c>
      <c r="C691" s="10" t="s">
        <v>3842</v>
      </c>
      <c r="D691" s="10" t="s">
        <v>6409</v>
      </c>
      <c r="E691" s="10" t="s">
        <v>4189</v>
      </c>
    </row>
    <row r="692" customFormat="false" ht="25.5" hidden="false" customHeight="true" outlineLevel="0" collapsed="false">
      <c r="A692" s="10" t="s">
        <v>6608</v>
      </c>
      <c r="B692" s="9" t="n">
        <v>1</v>
      </c>
      <c r="C692" s="10" t="s">
        <v>3842</v>
      </c>
      <c r="D692" s="10" t="s">
        <v>6585</v>
      </c>
      <c r="E692" s="10" t="s">
        <v>4123</v>
      </c>
    </row>
    <row r="693" customFormat="false" ht="25.5" hidden="false" customHeight="true" outlineLevel="0" collapsed="false">
      <c r="A693" s="10" t="s">
        <v>6609</v>
      </c>
      <c r="B693" s="9" t="n">
        <v>1</v>
      </c>
      <c r="C693" s="10" t="s">
        <v>3291</v>
      </c>
      <c r="D693" s="10" t="s">
        <v>6610</v>
      </c>
      <c r="E693" s="10" t="s">
        <v>3787</v>
      </c>
    </row>
    <row r="694" customFormat="false" ht="25.5" hidden="false" customHeight="true" outlineLevel="0" collapsed="false">
      <c r="A694" s="10" t="s">
        <v>6611</v>
      </c>
      <c r="B694" s="9" t="n">
        <v>1</v>
      </c>
      <c r="C694" s="10" t="s">
        <v>4949</v>
      </c>
      <c r="D694" s="10" t="s">
        <v>6612</v>
      </c>
      <c r="E694" s="10" t="s">
        <v>5274</v>
      </c>
    </row>
    <row r="695" customFormat="false" ht="25.5" hidden="false" customHeight="true" outlineLevel="0" collapsed="false">
      <c r="A695" s="10" t="s">
        <v>6613</v>
      </c>
      <c r="B695" s="9" t="n">
        <v>1</v>
      </c>
      <c r="C695" s="10" t="s">
        <v>3291</v>
      </c>
      <c r="D695" s="10" t="s">
        <v>5991</v>
      </c>
      <c r="E695" s="10" t="s">
        <v>3341</v>
      </c>
    </row>
    <row r="696" customFormat="false" ht="25.5" hidden="false" customHeight="true" outlineLevel="0" collapsed="false">
      <c r="A696" s="10" t="s">
        <v>6614</v>
      </c>
      <c r="B696" s="9" t="n">
        <v>1</v>
      </c>
      <c r="C696" s="10" t="s">
        <v>2140</v>
      </c>
      <c r="D696" s="10" t="s">
        <v>6241</v>
      </c>
      <c r="E696" s="10" t="s">
        <v>2454</v>
      </c>
    </row>
    <row r="697" customFormat="false" ht="25.5" hidden="false" customHeight="true" outlineLevel="0" collapsed="false">
      <c r="A697" s="10" t="s">
        <v>6615</v>
      </c>
      <c r="B697" s="9" t="n">
        <v>1</v>
      </c>
      <c r="C697" s="10" t="s">
        <v>4203</v>
      </c>
      <c r="D697" s="10" t="s">
        <v>6616</v>
      </c>
      <c r="E697" s="10" t="s">
        <v>4491</v>
      </c>
    </row>
    <row r="698" customFormat="false" ht="25.5" hidden="false" customHeight="true" outlineLevel="0" collapsed="false">
      <c r="A698" s="10" t="s">
        <v>6617</v>
      </c>
      <c r="B698" s="9" t="n">
        <v>1</v>
      </c>
      <c r="C698" s="10" t="s">
        <v>1500</v>
      </c>
      <c r="D698" s="10" t="s">
        <v>6315</v>
      </c>
      <c r="E698" s="10" t="s">
        <v>1770</v>
      </c>
    </row>
    <row r="699" customFormat="false" ht="25.5" hidden="false" customHeight="true" outlineLevel="0" collapsed="false">
      <c r="A699" s="10" t="s">
        <v>6618</v>
      </c>
      <c r="B699" s="9" t="n">
        <v>1</v>
      </c>
      <c r="C699" s="10" t="s">
        <v>1500</v>
      </c>
      <c r="D699" s="10" t="s">
        <v>6619</v>
      </c>
      <c r="E699" s="10" t="s">
        <v>1784</v>
      </c>
    </row>
    <row r="700" customFormat="false" ht="25.5" hidden="false" customHeight="true" outlineLevel="0" collapsed="false">
      <c r="A700" s="10" t="s">
        <v>6620</v>
      </c>
      <c r="B700" s="9" t="n">
        <v>1</v>
      </c>
      <c r="C700" s="10" t="s">
        <v>1500</v>
      </c>
      <c r="D700" s="10" t="s">
        <v>6220</v>
      </c>
      <c r="E700" s="10" t="s">
        <v>1825</v>
      </c>
    </row>
    <row r="701" customFormat="false" ht="25.5" hidden="false" customHeight="true" outlineLevel="0" collapsed="false">
      <c r="A701" s="10" t="s">
        <v>6621</v>
      </c>
      <c r="B701" s="9" t="n">
        <v>1</v>
      </c>
      <c r="C701" s="10" t="s">
        <v>2140</v>
      </c>
      <c r="D701" s="10" t="s">
        <v>2578</v>
      </c>
      <c r="E701" s="10" t="s">
        <v>2569</v>
      </c>
    </row>
    <row r="702" customFormat="false" ht="25.5" hidden="false" customHeight="true" outlineLevel="0" collapsed="false">
      <c r="A702" s="10" t="s">
        <v>6622</v>
      </c>
      <c r="B702" s="9" t="n">
        <v>1</v>
      </c>
      <c r="C702" s="10" t="s">
        <v>59</v>
      </c>
      <c r="D702" s="10" t="s">
        <v>6132</v>
      </c>
      <c r="E702" s="10" t="s">
        <v>721</v>
      </c>
    </row>
    <row r="703" customFormat="false" ht="25.5" hidden="false" customHeight="true" outlineLevel="0" collapsed="false">
      <c r="A703" s="10" t="s">
        <v>6623</v>
      </c>
      <c r="B703" s="9" t="n">
        <v>1</v>
      </c>
      <c r="C703" s="10" t="s">
        <v>3842</v>
      </c>
      <c r="D703" s="10" t="s">
        <v>6106</v>
      </c>
      <c r="E703" s="10" t="s">
        <v>4099</v>
      </c>
    </row>
    <row r="704" customFormat="false" ht="25.5" hidden="false" customHeight="true" outlineLevel="0" collapsed="false">
      <c r="A704" s="10" t="s">
        <v>6624</v>
      </c>
      <c r="B704" s="9" t="n">
        <v>1</v>
      </c>
      <c r="C704" s="10" t="s">
        <v>2140</v>
      </c>
      <c r="D704" s="10" t="s">
        <v>5959</v>
      </c>
      <c r="E704" s="10" t="s">
        <v>2403</v>
      </c>
    </row>
    <row r="705" customFormat="false" ht="25.5" hidden="false" customHeight="true" outlineLevel="0" collapsed="false">
      <c r="A705" s="10" t="s">
        <v>6625</v>
      </c>
      <c r="B705" s="9" t="n">
        <v>1</v>
      </c>
      <c r="C705" s="10" t="s">
        <v>1500</v>
      </c>
      <c r="D705" s="10" t="s">
        <v>6272</v>
      </c>
      <c r="E705" s="10" t="s">
        <v>1564</v>
      </c>
    </row>
    <row r="706" customFormat="false" ht="25.5" hidden="false" customHeight="true" outlineLevel="0" collapsed="false">
      <c r="A706" s="10" t="s">
        <v>6626</v>
      </c>
      <c r="B706" s="9" t="n">
        <v>1</v>
      </c>
      <c r="C706" s="10" t="s">
        <v>2713</v>
      </c>
      <c r="D706" s="10" t="s">
        <v>5979</v>
      </c>
      <c r="E706" s="10" t="s">
        <v>3156</v>
      </c>
    </row>
    <row r="707" customFormat="false" ht="25.5" hidden="false" customHeight="true" outlineLevel="0" collapsed="false">
      <c r="A707" s="10" t="s">
        <v>6627</v>
      </c>
      <c r="B707" s="9" t="n">
        <v>1</v>
      </c>
      <c r="C707" s="10" t="s">
        <v>837</v>
      </c>
      <c r="D707" s="10" t="s">
        <v>6628</v>
      </c>
      <c r="E707" s="10" t="s">
        <v>1047</v>
      </c>
    </row>
    <row r="708" customFormat="false" ht="25.5" hidden="false" customHeight="true" outlineLevel="0" collapsed="false">
      <c r="A708" s="10" t="s">
        <v>6629</v>
      </c>
      <c r="B708" s="9" t="n">
        <v>1</v>
      </c>
      <c r="C708" s="10" t="s">
        <v>4949</v>
      </c>
      <c r="D708" s="10" t="s">
        <v>5149</v>
      </c>
      <c r="E708" s="10" t="s">
        <v>5167</v>
      </c>
    </row>
    <row r="709" customFormat="false" ht="25.5" hidden="false" customHeight="true" outlineLevel="0" collapsed="false">
      <c r="A709" s="10" t="s">
        <v>6630</v>
      </c>
      <c r="B709" s="9" t="n">
        <v>1</v>
      </c>
      <c r="C709" s="10" t="s">
        <v>2713</v>
      </c>
      <c r="D709" s="10" t="s">
        <v>6053</v>
      </c>
      <c r="E709" s="10" t="s">
        <v>3219</v>
      </c>
    </row>
    <row r="710" customFormat="false" ht="25.5" hidden="false" customHeight="true" outlineLevel="0" collapsed="false">
      <c r="A710" s="10" t="s">
        <v>6631</v>
      </c>
      <c r="B710" s="9" t="n">
        <v>1</v>
      </c>
      <c r="C710" s="10" t="s">
        <v>3842</v>
      </c>
      <c r="D710" s="10" t="s">
        <v>6632</v>
      </c>
      <c r="E710" s="10" t="s">
        <v>4022</v>
      </c>
    </row>
    <row r="711" customFormat="false" ht="25.5" hidden="false" customHeight="true" outlineLevel="0" collapsed="false">
      <c r="A711" s="10" t="s">
        <v>6633</v>
      </c>
      <c r="B711" s="9" t="n">
        <v>1</v>
      </c>
      <c r="C711" s="10" t="s">
        <v>3842</v>
      </c>
      <c r="D711" s="10" t="s">
        <v>6509</v>
      </c>
      <c r="E711" s="10" t="s">
        <v>3905</v>
      </c>
    </row>
    <row r="712" customFormat="false" ht="25.5" hidden="false" customHeight="true" outlineLevel="0" collapsed="false">
      <c r="A712" s="10" t="s">
        <v>6634</v>
      </c>
      <c r="B712" s="9" t="n">
        <v>1</v>
      </c>
      <c r="C712" s="10" t="s">
        <v>4949</v>
      </c>
      <c r="D712" s="10" t="s">
        <v>6254</v>
      </c>
      <c r="E712" s="10" t="s">
        <v>5247</v>
      </c>
    </row>
    <row r="713" customFormat="false" ht="25.5" hidden="false" customHeight="true" outlineLevel="0" collapsed="false">
      <c r="A713" s="10" t="s">
        <v>6635</v>
      </c>
      <c r="B713" s="9" t="n">
        <v>1</v>
      </c>
      <c r="C713" s="10" t="s">
        <v>2713</v>
      </c>
      <c r="D713" s="10" t="s">
        <v>3032</v>
      </c>
      <c r="E713" s="10" t="s">
        <v>3046</v>
      </c>
    </row>
    <row r="714" customFormat="false" ht="25.5" hidden="false" customHeight="true" outlineLevel="0" collapsed="false">
      <c r="A714" s="10" t="s">
        <v>6636</v>
      </c>
      <c r="B714" s="9" t="n">
        <v>1</v>
      </c>
      <c r="C714" s="10" t="s">
        <v>3842</v>
      </c>
      <c r="D714" s="10" t="s">
        <v>6509</v>
      </c>
      <c r="E714" s="10" t="s">
        <v>3905</v>
      </c>
    </row>
    <row r="715" customFormat="false" ht="25.5" hidden="false" customHeight="true" outlineLevel="0" collapsed="false">
      <c r="A715" s="10" t="s">
        <v>6637</v>
      </c>
      <c r="B715" s="9" t="n">
        <v>1</v>
      </c>
      <c r="C715" s="10" t="s">
        <v>4582</v>
      </c>
      <c r="D715" s="10" t="s">
        <v>6638</v>
      </c>
      <c r="E715" s="10" t="s">
        <v>4740</v>
      </c>
    </row>
    <row r="716" customFormat="false" ht="25.5" hidden="false" customHeight="true" outlineLevel="0" collapsed="false">
      <c r="A716" s="10" t="s">
        <v>6639</v>
      </c>
      <c r="B716" s="9" t="n">
        <v>1</v>
      </c>
      <c r="C716" s="10" t="s">
        <v>4203</v>
      </c>
      <c r="D716" s="10" t="s">
        <v>6532</v>
      </c>
      <c r="E716" s="10" t="s">
        <v>4541</v>
      </c>
    </row>
    <row r="717" customFormat="false" ht="25.5" hidden="false" customHeight="true" outlineLevel="0" collapsed="false">
      <c r="A717" s="10" t="s">
        <v>6640</v>
      </c>
      <c r="B717" s="9" t="n">
        <v>1</v>
      </c>
      <c r="C717" s="10" t="s">
        <v>4203</v>
      </c>
      <c r="D717" s="10" t="s">
        <v>6532</v>
      </c>
      <c r="E717" s="10" t="s">
        <v>4541</v>
      </c>
    </row>
    <row r="718" customFormat="false" ht="25.5" hidden="false" customHeight="true" outlineLevel="0" collapsed="false">
      <c r="A718" s="10" t="s">
        <v>6641</v>
      </c>
      <c r="B718" s="9" t="n">
        <v>1</v>
      </c>
      <c r="C718" s="10" t="s">
        <v>3842</v>
      </c>
      <c r="D718" s="10" t="s">
        <v>6463</v>
      </c>
      <c r="E718" s="10" t="s">
        <v>3865</v>
      </c>
    </row>
    <row r="719" customFormat="false" ht="25.5" hidden="false" customHeight="true" outlineLevel="0" collapsed="false">
      <c r="A719" s="10" t="s">
        <v>6642</v>
      </c>
      <c r="B719" s="9" t="n">
        <v>1</v>
      </c>
      <c r="C719" s="10" t="s">
        <v>2140</v>
      </c>
      <c r="D719" s="10" t="s">
        <v>6643</v>
      </c>
      <c r="E719" s="10" t="s">
        <v>2442</v>
      </c>
    </row>
    <row r="720" customFormat="false" ht="25.5" hidden="false" customHeight="true" outlineLevel="0" collapsed="false">
      <c r="A720" s="10" t="s">
        <v>6644</v>
      </c>
      <c r="B720" s="9" t="n">
        <v>1</v>
      </c>
      <c r="C720" s="10" t="s">
        <v>4203</v>
      </c>
      <c r="D720" s="10" t="s">
        <v>6643</v>
      </c>
      <c r="E720" s="10" t="s">
        <v>4416</v>
      </c>
    </row>
    <row r="721" customFormat="false" ht="25.5" hidden="false" customHeight="true" outlineLevel="0" collapsed="false">
      <c r="A721" s="10" t="s">
        <v>6645</v>
      </c>
      <c r="B721" s="9" t="n">
        <v>1</v>
      </c>
      <c r="C721" s="10" t="s">
        <v>4203</v>
      </c>
      <c r="D721" s="10" t="s">
        <v>6643</v>
      </c>
      <c r="E721" s="10" t="s">
        <v>4416</v>
      </c>
    </row>
    <row r="722" customFormat="false" ht="25.5" hidden="false" customHeight="true" outlineLevel="0" collapsed="false">
      <c r="A722" s="10" t="s">
        <v>6646</v>
      </c>
      <c r="B722" s="9" t="n">
        <v>1</v>
      </c>
      <c r="C722" s="10" t="s">
        <v>3842</v>
      </c>
      <c r="D722" s="10" t="s">
        <v>6077</v>
      </c>
      <c r="E722" s="10" t="s">
        <v>3997</v>
      </c>
    </row>
    <row r="723" customFormat="false" ht="25.5" hidden="false" customHeight="true" outlineLevel="0" collapsed="false">
      <c r="A723" s="10" t="s">
        <v>6647</v>
      </c>
      <c r="B723" s="9" t="n">
        <v>1</v>
      </c>
      <c r="C723" s="10" t="s">
        <v>3842</v>
      </c>
      <c r="D723" s="10" t="s">
        <v>5985</v>
      </c>
      <c r="E723" s="10" t="s">
        <v>4062</v>
      </c>
    </row>
    <row r="724" customFormat="false" ht="25.5" hidden="false" customHeight="true" outlineLevel="0" collapsed="false">
      <c r="A724" s="10" t="s">
        <v>6648</v>
      </c>
      <c r="B724" s="9" t="n">
        <v>1</v>
      </c>
      <c r="C724" s="10" t="s">
        <v>2713</v>
      </c>
      <c r="D724" s="10" t="s">
        <v>3032</v>
      </c>
      <c r="E724" s="10" t="s">
        <v>3036</v>
      </c>
    </row>
    <row r="725" customFormat="false" ht="25.5" hidden="false" customHeight="true" outlineLevel="0" collapsed="false">
      <c r="A725" s="10" t="s">
        <v>6649</v>
      </c>
      <c r="B725" s="9" t="n">
        <v>1</v>
      </c>
      <c r="C725" s="10" t="s">
        <v>3842</v>
      </c>
      <c r="D725" s="10" t="s">
        <v>5985</v>
      </c>
      <c r="E725" s="10" t="s">
        <v>4062</v>
      </c>
    </row>
    <row r="726" customFormat="false" ht="25.5" hidden="false" customHeight="true" outlineLevel="0" collapsed="false">
      <c r="A726" s="10" t="s">
        <v>6650</v>
      </c>
      <c r="B726" s="9" t="n">
        <v>1</v>
      </c>
      <c r="C726" s="10" t="s">
        <v>3842</v>
      </c>
      <c r="D726" s="10" t="s">
        <v>6278</v>
      </c>
      <c r="E726" s="10" t="s">
        <v>4010</v>
      </c>
    </row>
    <row r="727" customFormat="false" ht="25.5" hidden="false" customHeight="true" outlineLevel="0" collapsed="false">
      <c r="A727" s="10" t="s">
        <v>6651</v>
      </c>
      <c r="B727" s="9" t="n">
        <v>1</v>
      </c>
      <c r="C727" s="10" t="s">
        <v>3842</v>
      </c>
      <c r="D727" s="10" t="s">
        <v>6077</v>
      </c>
      <c r="E727" s="10" t="s">
        <v>3997</v>
      </c>
    </row>
    <row r="728" customFormat="false" ht="25.5" hidden="false" customHeight="true" outlineLevel="0" collapsed="false">
      <c r="A728" s="10" t="s">
        <v>6652</v>
      </c>
      <c r="B728" s="9" t="n">
        <v>1</v>
      </c>
      <c r="C728" s="10" t="s">
        <v>4203</v>
      </c>
      <c r="D728" s="10" t="s">
        <v>6537</v>
      </c>
      <c r="E728" s="10" t="s">
        <v>4282</v>
      </c>
    </row>
    <row r="729" customFormat="false" ht="25.5" hidden="false" customHeight="true" outlineLevel="0" collapsed="false">
      <c r="A729" s="10" t="s">
        <v>6653</v>
      </c>
      <c r="B729" s="9" t="n">
        <v>1</v>
      </c>
      <c r="C729" s="10" t="s">
        <v>2713</v>
      </c>
      <c r="D729" s="10" t="s">
        <v>6283</v>
      </c>
      <c r="E729" s="10" t="s">
        <v>3266</v>
      </c>
    </row>
    <row r="730" customFormat="false" ht="25.5" hidden="false" customHeight="true" outlineLevel="0" collapsed="false">
      <c r="A730" s="10" t="s">
        <v>6654</v>
      </c>
      <c r="B730" s="9" t="n">
        <v>1</v>
      </c>
      <c r="C730" s="10" t="s">
        <v>837</v>
      </c>
      <c r="D730" s="10" t="s">
        <v>6655</v>
      </c>
      <c r="E730" s="10" t="s">
        <v>1354</v>
      </c>
    </row>
    <row r="731" customFormat="false" ht="25.5" hidden="false" customHeight="true" outlineLevel="0" collapsed="false">
      <c r="A731" s="10" t="s">
        <v>6656</v>
      </c>
      <c r="B731" s="9" t="n">
        <v>1</v>
      </c>
      <c r="C731" s="10" t="s">
        <v>59</v>
      </c>
      <c r="D731" s="10" t="s">
        <v>235</v>
      </c>
      <c r="E731" s="10" t="s">
        <v>501</v>
      </c>
    </row>
    <row r="732" customFormat="false" ht="25.5" hidden="false" customHeight="true" outlineLevel="0" collapsed="false">
      <c r="A732" s="10" t="s">
        <v>6657</v>
      </c>
      <c r="B732" s="9" t="n">
        <v>1</v>
      </c>
      <c r="C732" s="10" t="s">
        <v>4949</v>
      </c>
      <c r="D732" s="10" t="s">
        <v>6658</v>
      </c>
      <c r="E732" s="10" t="s">
        <v>5126</v>
      </c>
    </row>
    <row r="733" customFormat="false" ht="25.5" hidden="false" customHeight="true" outlineLevel="0" collapsed="false">
      <c r="A733" s="10" t="s">
        <v>6659</v>
      </c>
      <c r="B733" s="9" t="n">
        <v>1</v>
      </c>
      <c r="C733" s="10" t="s">
        <v>3842</v>
      </c>
      <c r="D733" s="10" t="s">
        <v>6660</v>
      </c>
      <c r="E733" s="10" t="s">
        <v>4137</v>
      </c>
    </row>
    <row r="734" customFormat="false" ht="25.5" hidden="false" customHeight="true" outlineLevel="0" collapsed="false">
      <c r="A734" s="10" t="s">
        <v>6661</v>
      </c>
      <c r="B734" s="9" t="n">
        <v>1</v>
      </c>
      <c r="C734" s="10" t="s">
        <v>2140</v>
      </c>
      <c r="D734" s="10" t="s">
        <v>6365</v>
      </c>
      <c r="E734" s="10" t="s">
        <v>2203</v>
      </c>
    </row>
    <row r="735" customFormat="false" ht="25.5" hidden="false" customHeight="true" outlineLevel="0" collapsed="false">
      <c r="A735" s="10" t="s">
        <v>6662</v>
      </c>
      <c r="B735" s="9" t="n">
        <v>1</v>
      </c>
      <c r="C735" s="10" t="s">
        <v>2140</v>
      </c>
      <c r="D735" s="10" t="s">
        <v>6663</v>
      </c>
      <c r="E735" s="10" t="s">
        <v>2339</v>
      </c>
    </row>
    <row r="736" customFormat="false" ht="25.5" hidden="false" customHeight="true" outlineLevel="0" collapsed="false">
      <c r="A736" s="10" t="s">
        <v>6664</v>
      </c>
      <c r="B736" s="9" t="n">
        <v>1</v>
      </c>
      <c r="C736" s="10" t="s">
        <v>59</v>
      </c>
      <c r="D736" s="10" t="s">
        <v>5699</v>
      </c>
      <c r="E736" s="10" t="s">
        <v>304</v>
      </c>
    </row>
    <row r="737" customFormat="false" ht="25.5" hidden="false" customHeight="true" outlineLevel="0" collapsed="false">
      <c r="A737" s="10" t="s">
        <v>6665</v>
      </c>
      <c r="B737" s="9" t="n">
        <v>1</v>
      </c>
      <c r="C737" s="10" t="s">
        <v>3842</v>
      </c>
      <c r="D737" s="10" t="s">
        <v>6666</v>
      </c>
      <c r="E737" s="10" t="s">
        <v>3892</v>
      </c>
    </row>
    <row r="738" customFormat="false" ht="25.5" hidden="false" customHeight="true" outlineLevel="0" collapsed="false">
      <c r="A738" s="10" t="s">
        <v>6667</v>
      </c>
      <c r="B738" s="9" t="n">
        <v>1</v>
      </c>
      <c r="C738" s="10" t="s">
        <v>3842</v>
      </c>
      <c r="D738" s="10" t="s">
        <v>6666</v>
      </c>
      <c r="E738" s="10" t="s">
        <v>3892</v>
      </c>
    </row>
    <row r="739" customFormat="false" ht="25.5" hidden="false" customHeight="true" outlineLevel="0" collapsed="false">
      <c r="A739" s="10" t="s">
        <v>6668</v>
      </c>
      <c r="B739" s="9" t="n">
        <v>1</v>
      </c>
      <c r="C739" s="10" t="s">
        <v>3842</v>
      </c>
      <c r="D739" s="10" t="s">
        <v>6669</v>
      </c>
      <c r="E739" s="10" t="s">
        <v>3917</v>
      </c>
    </row>
    <row r="740" customFormat="false" ht="25.5" hidden="false" customHeight="true" outlineLevel="0" collapsed="false">
      <c r="A740" s="10" t="s">
        <v>6670</v>
      </c>
      <c r="B740" s="9" t="n">
        <v>1</v>
      </c>
      <c r="C740" s="10" t="s">
        <v>3842</v>
      </c>
      <c r="D740" s="10" t="s">
        <v>6669</v>
      </c>
      <c r="E740" s="10" t="s">
        <v>3917</v>
      </c>
    </row>
    <row r="741" customFormat="false" ht="25.5" hidden="false" customHeight="true" outlineLevel="0" collapsed="false">
      <c r="A741" s="10" t="s">
        <v>6671</v>
      </c>
      <c r="B741" s="9" t="n">
        <v>1</v>
      </c>
      <c r="C741" s="10" t="s">
        <v>3842</v>
      </c>
      <c r="D741" s="10" t="s">
        <v>6669</v>
      </c>
      <c r="E741" s="10" t="s">
        <v>3917</v>
      </c>
    </row>
    <row r="742" customFormat="false" ht="25.5" hidden="false" customHeight="true" outlineLevel="0" collapsed="false">
      <c r="A742" s="10" t="s">
        <v>6672</v>
      </c>
      <c r="B742" s="9" t="n">
        <v>1</v>
      </c>
      <c r="C742" s="10" t="s">
        <v>4203</v>
      </c>
      <c r="D742" s="10" t="s">
        <v>6673</v>
      </c>
      <c r="E742" s="10" t="s">
        <v>4405</v>
      </c>
    </row>
    <row r="743" customFormat="false" ht="25.5" hidden="false" customHeight="true" outlineLevel="0" collapsed="false">
      <c r="A743" s="10" t="s">
        <v>6674</v>
      </c>
      <c r="B743" s="9" t="n">
        <v>1</v>
      </c>
      <c r="C743" s="10" t="s">
        <v>4203</v>
      </c>
      <c r="D743" s="10" t="s">
        <v>6673</v>
      </c>
      <c r="E743" s="10" t="s">
        <v>4405</v>
      </c>
    </row>
    <row r="744" customFormat="false" ht="25.5" hidden="false" customHeight="true" outlineLevel="0" collapsed="false">
      <c r="A744" s="10" t="s">
        <v>6675</v>
      </c>
      <c r="B744" s="9" t="n">
        <v>1</v>
      </c>
      <c r="C744" s="10" t="s">
        <v>4582</v>
      </c>
      <c r="D744" s="10" t="s">
        <v>6676</v>
      </c>
      <c r="E744" s="10" t="s">
        <v>4727</v>
      </c>
    </row>
    <row r="745" customFormat="false" ht="25.5" hidden="false" customHeight="true" outlineLevel="0" collapsed="false">
      <c r="A745" s="10" t="s">
        <v>6677</v>
      </c>
      <c r="B745" s="9" t="n">
        <v>1</v>
      </c>
      <c r="C745" s="10" t="s">
        <v>4949</v>
      </c>
      <c r="D745" s="10" t="s">
        <v>5716</v>
      </c>
      <c r="E745" s="10" t="s">
        <v>5031</v>
      </c>
    </row>
    <row r="746" customFormat="false" ht="25.5" hidden="false" customHeight="true" outlineLevel="0" collapsed="false">
      <c r="A746" s="10" t="s">
        <v>6678</v>
      </c>
      <c r="B746" s="9" t="n">
        <v>1</v>
      </c>
      <c r="C746" s="10" t="s">
        <v>837</v>
      </c>
      <c r="D746" s="10" t="s">
        <v>6628</v>
      </c>
      <c r="E746" s="10" t="s">
        <v>1047</v>
      </c>
    </row>
    <row r="747" customFormat="false" ht="25.5" hidden="false" customHeight="true" outlineLevel="0" collapsed="false">
      <c r="A747" s="10" t="s">
        <v>6679</v>
      </c>
      <c r="B747" s="9" t="n">
        <v>1</v>
      </c>
      <c r="C747" s="10" t="s">
        <v>4582</v>
      </c>
      <c r="D747" s="10" t="s">
        <v>6676</v>
      </c>
      <c r="E747" s="10" t="s">
        <v>4727</v>
      </c>
    </row>
    <row r="748" customFormat="false" ht="25.5" hidden="false" customHeight="true" outlineLevel="0" collapsed="false">
      <c r="A748" s="10" t="s">
        <v>6680</v>
      </c>
      <c r="B748" s="9" t="n">
        <v>1</v>
      </c>
      <c r="C748" s="10" t="s">
        <v>4582</v>
      </c>
      <c r="D748" s="10" t="s">
        <v>6676</v>
      </c>
      <c r="E748" s="10" t="s">
        <v>4727</v>
      </c>
    </row>
    <row r="749" customFormat="false" ht="25.5" hidden="false" customHeight="true" outlineLevel="0" collapsed="false">
      <c r="A749" s="10" t="s">
        <v>6681</v>
      </c>
      <c r="B749" s="9" t="n">
        <v>1</v>
      </c>
      <c r="C749" s="10" t="s">
        <v>4582</v>
      </c>
      <c r="D749" s="10" t="s">
        <v>6676</v>
      </c>
      <c r="E749" s="10" t="s">
        <v>4727</v>
      </c>
    </row>
    <row r="750" customFormat="false" ht="25.5" hidden="false" customHeight="true" outlineLevel="0" collapsed="false">
      <c r="A750" s="10" t="s">
        <v>6682</v>
      </c>
      <c r="B750" s="9" t="n">
        <v>1</v>
      </c>
      <c r="C750" s="10" t="s">
        <v>4582</v>
      </c>
      <c r="D750" s="10" t="s">
        <v>6676</v>
      </c>
      <c r="E750" s="10" t="s">
        <v>4727</v>
      </c>
    </row>
    <row r="751" customFormat="false" ht="25.5" hidden="false" customHeight="true" outlineLevel="0" collapsed="false">
      <c r="A751" s="10" t="s">
        <v>6683</v>
      </c>
      <c r="B751" s="9" t="n">
        <v>1</v>
      </c>
      <c r="C751" s="10" t="s">
        <v>837</v>
      </c>
      <c r="D751" s="10" t="s">
        <v>6628</v>
      </c>
      <c r="E751" s="10" t="s">
        <v>1047</v>
      </c>
    </row>
    <row r="752" customFormat="false" ht="25.5" hidden="false" customHeight="true" outlineLevel="0" collapsed="false">
      <c r="A752" s="10" t="s">
        <v>6684</v>
      </c>
      <c r="B752" s="9" t="n">
        <v>1</v>
      </c>
      <c r="C752" s="10" t="s">
        <v>1500</v>
      </c>
      <c r="D752" s="10" t="s">
        <v>6177</v>
      </c>
      <c r="E752" s="10" t="s">
        <v>1539</v>
      </c>
    </row>
    <row r="753" customFormat="false" ht="25.5" hidden="false" customHeight="true" outlineLevel="0" collapsed="false">
      <c r="A753" s="10" t="s">
        <v>6685</v>
      </c>
      <c r="B753" s="9" t="n">
        <v>1</v>
      </c>
      <c r="C753" s="10" t="s">
        <v>1500</v>
      </c>
      <c r="D753" s="10" t="s">
        <v>6088</v>
      </c>
      <c r="E753" s="10" t="s">
        <v>1551</v>
      </c>
    </row>
    <row r="754" customFormat="false" ht="25.5" hidden="false" customHeight="true" outlineLevel="0" collapsed="false">
      <c r="A754" s="10" t="s">
        <v>6686</v>
      </c>
      <c r="B754" s="9" t="n">
        <v>1</v>
      </c>
      <c r="C754" s="10" t="s">
        <v>1500</v>
      </c>
      <c r="D754" s="10" t="s">
        <v>6272</v>
      </c>
      <c r="E754" s="10" t="s">
        <v>1564</v>
      </c>
    </row>
    <row r="755" customFormat="false" ht="25.5" hidden="false" customHeight="true" outlineLevel="0" collapsed="false">
      <c r="A755" s="10" t="s">
        <v>6687</v>
      </c>
      <c r="B755" s="9" t="n">
        <v>1</v>
      </c>
      <c r="C755" s="10" t="s">
        <v>1500</v>
      </c>
      <c r="D755" s="10" t="s">
        <v>6177</v>
      </c>
      <c r="E755" s="10" t="s">
        <v>1539</v>
      </c>
    </row>
    <row r="756" customFormat="false" ht="25.5" hidden="false" customHeight="true" outlineLevel="0" collapsed="false">
      <c r="A756" s="10" t="s">
        <v>6688</v>
      </c>
      <c r="B756" s="9" t="n">
        <v>1</v>
      </c>
      <c r="C756" s="10" t="s">
        <v>1500</v>
      </c>
      <c r="D756" s="10" t="s">
        <v>6088</v>
      </c>
      <c r="E756" s="10" t="s">
        <v>1551</v>
      </c>
    </row>
    <row r="757" customFormat="false" ht="25.5" hidden="false" customHeight="true" outlineLevel="0" collapsed="false">
      <c r="A757" s="10" t="s">
        <v>6689</v>
      </c>
      <c r="B757" s="9" t="n">
        <v>1</v>
      </c>
      <c r="C757" s="10" t="s">
        <v>1500</v>
      </c>
      <c r="D757" s="10" t="s">
        <v>6690</v>
      </c>
      <c r="E757" s="10" t="s">
        <v>1513</v>
      </c>
    </row>
    <row r="758" customFormat="false" ht="25.5" hidden="false" customHeight="true" outlineLevel="0" collapsed="false">
      <c r="A758" s="10" t="s">
        <v>6691</v>
      </c>
      <c r="B758" s="9" t="n">
        <v>1</v>
      </c>
      <c r="C758" s="10" t="s">
        <v>837</v>
      </c>
      <c r="D758" s="10" t="s">
        <v>6268</v>
      </c>
      <c r="E758" s="10" t="s">
        <v>1074</v>
      </c>
    </row>
    <row r="759" customFormat="false" ht="25.5" hidden="false" customHeight="true" outlineLevel="0" collapsed="false">
      <c r="A759" s="10" t="s">
        <v>6692</v>
      </c>
      <c r="B759" s="9" t="n">
        <v>1</v>
      </c>
      <c r="C759" s="10" t="s">
        <v>2140</v>
      </c>
      <c r="D759" s="10" t="s">
        <v>6241</v>
      </c>
      <c r="E759" s="10" t="s">
        <v>2454</v>
      </c>
    </row>
    <row r="760" customFormat="false" ht="25.5" hidden="false" customHeight="true" outlineLevel="0" collapsed="false">
      <c r="A760" s="10" t="s">
        <v>6693</v>
      </c>
      <c r="B760" s="9" t="n">
        <v>1</v>
      </c>
      <c r="C760" s="10" t="s">
        <v>1500</v>
      </c>
      <c r="D760" s="10" t="s">
        <v>6694</v>
      </c>
      <c r="E760" s="10" t="s">
        <v>1615</v>
      </c>
    </row>
    <row r="761" customFormat="false" ht="25.5" hidden="false" customHeight="true" outlineLevel="0" collapsed="false">
      <c r="A761" s="10" t="s">
        <v>6695</v>
      </c>
      <c r="B761" s="9" t="n">
        <v>1</v>
      </c>
      <c r="C761" s="10" t="s">
        <v>3842</v>
      </c>
      <c r="D761" s="10" t="s">
        <v>5981</v>
      </c>
      <c r="E761" s="10" t="s">
        <v>4049</v>
      </c>
    </row>
    <row r="762" customFormat="false" ht="25.5" hidden="false" customHeight="true" outlineLevel="0" collapsed="false">
      <c r="A762" s="10" t="s">
        <v>6696</v>
      </c>
      <c r="B762" s="9" t="n">
        <v>1</v>
      </c>
      <c r="C762" s="10" t="s">
        <v>4582</v>
      </c>
      <c r="D762" s="10" t="s">
        <v>6378</v>
      </c>
      <c r="E762" s="10" t="s">
        <v>4845</v>
      </c>
    </row>
    <row r="763" customFormat="false" ht="25.5" hidden="false" customHeight="true" outlineLevel="0" collapsed="false">
      <c r="A763" s="10" t="s">
        <v>6697</v>
      </c>
      <c r="B763" s="9" t="n">
        <v>1</v>
      </c>
      <c r="C763" s="10" t="s">
        <v>1500</v>
      </c>
      <c r="D763" s="10" t="s">
        <v>6698</v>
      </c>
      <c r="E763" s="10" t="s">
        <v>1575</v>
      </c>
    </row>
    <row r="764" customFormat="false" ht="25.5" hidden="false" customHeight="true" outlineLevel="0" collapsed="false">
      <c r="A764" s="10" t="s">
        <v>6699</v>
      </c>
      <c r="B764" s="9" t="n">
        <v>1</v>
      </c>
      <c r="C764" s="10" t="s">
        <v>837</v>
      </c>
      <c r="D764" s="10" t="s">
        <v>6045</v>
      </c>
      <c r="E764" s="10" t="s">
        <v>1034</v>
      </c>
    </row>
    <row r="765" customFormat="false" ht="25.5" hidden="false" customHeight="true" outlineLevel="0" collapsed="false">
      <c r="A765" s="10" t="s">
        <v>6700</v>
      </c>
      <c r="B765" s="9" t="n">
        <v>1</v>
      </c>
      <c r="C765" s="10" t="s">
        <v>2140</v>
      </c>
      <c r="D765" s="10" t="s">
        <v>2578</v>
      </c>
      <c r="E765" s="10" t="s">
        <v>2569</v>
      </c>
    </row>
    <row r="766" customFormat="false" ht="25.5" hidden="false" customHeight="true" outlineLevel="0" collapsed="false">
      <c r="A766" s="10" t="s">
        <v>6701</v>
      </c>
      <c r="B766" s="9" t="n">
        <v>1</v>
      </c>
      <c r="C766" s="10" t="s">
        <v>59</v>
      </c>
      <c r="D766" s="10" t="s">
        <v>6358</v>
      </c>
      <c r="E766" s="10" t="s">
        <v>733</v>
      </c>
    </row>
    <row r="767" customFormat="false" ht="25.5" hidden="false" customHeight="true" outlineLevel="0" collapsed="false">
      <c r="A767" s="10" t="s">
        <v>6702</v>
      </c>
      <c r="B767" s="9" t="n">
        <v>1</v>
      </c>
      <c r="C767" s="10" t="s">
        <v>837</v>
      </c>
      <c r="D767" s="10" t="s">
        <v>5614</v>
      </c>
      <c r="E767" s="10" t="s">
        <v>1460</v>
      </c>
    </row>
    <row r="768" customFormat="false" ht="25.5" hidden="false" customHeight="true" outlineLevel="0" collapsed="false">
      <c r="A768" s="10" t="s">
        <v>6703</v>
      </c>
      <c r="B768" s="9" t="n">
        <v>1</v>
      </c>
      <c r="C768" s="10" t="s">
        <v>837</v>
      </c>
      <c r="D768" s="10" t="s">
        <v>6405</v>
      </c>
      <c r="E768" s="10" t="s">
        <v>876</v>
      </c>
    </row>
    <row r="769" customFormat="false" ht="25.5" hidden="false" customHeight="true" outlineLevel="0" collapsed="false">
      <c r="A769" s="10" t="s">
        <v>6704</v>
      </c>
      <c r="B769" s="9" t="n">
        <v>1</v>
      </c>
      <c r="C769" s="10" t="s">
        <v>1500</v>
      </c>
      <c r="D769" s="10" t="s">
        <v>6705</v>
      </c>
      <c r="E769" s="10" t="s">
        <v>2126</v>
      </c>
    </row>
    <row r="770" customFormat="false" ht="25.5" hidden="false" customHeight="true" outlineLevel="0" collapsed="false">
      <c r="A770" s="10" t="s">
        <v>6706</v>
      </c>
      <c r="B770" s="9" t="n">
        <v>1</v>
      </c>
      <c r="C770" s="10" t="s">
        <v>1500</v>
      </c>
      <c r="D770" s="10" t="s">
        <v>6177</v>
      </c>
      <c r="E770" s="10" t="s">
        <v>1539</v>
      </c>
    </row>
    <row r="771" customFormat="false" ht="25.5" hidden="false" customHeight="true" outlineLevel="0" collapsed="false">
      <c r="A771" s="10" t="s">
        <v>6707</v>
      </c>
      <c r="B771" s="9" t="n">
        <v>1</v>
      </c>
      <c r="C771" s="10" t="s">
        <v>4949</v>
      </c>
      <c r="D771" s="10" t="s">
        <v>6237</v>
      </c>
      <c r="E771" s="10" t="s">
        <v>4948</v>
      </c>
    </row>
    <row r="772" customFormat="false" ht="25.5" hidden="false" customHeight="true" outlineLevel="0" collapsed="false">
      <c r="A772" s="10" t="s">
        <v>6708</v>
      </c>
      <c r="B772" s="9" t="n">
        <v>1</v>
      </c>
      <c r="C772" s="10" t="s">
        <v>3842</v>
      </c>
      <c r="D772" s="10" t="s">
        <v>6006</v>
      </c>
      <c r="E772" s="10" t="s">
        <v>3956</v>
      </c>
    </row>
    <row r="773" customFormat="false" ht="25.5" hidden="false" customHeight="true" outlineLevel="0" collapsed="false">
      <c r="A773" s="10" t="s">
        <v>6709</v>
      </c>
      <c r="B773" s="9" t="n">
        <v>1</v>
      </c>
      <c r="C773" s="10" t="s">
        <v>3291</v>
      </c>
      <c r="D773" s="10" t="s">
        <v>6710</v>
      </c>
      <c r="E773" s="10" t="s">
        <v>3393</v>
      </c>
    </row>
    <row r="774" customFormat="false" ht="25.5" hidden="false" customHeight="true" outlineLevel="0" collapsed="false">
      <c r="A774" s="10" t="s">
        <v>6711</v>
      </c>
      <c r="B774" s="9" t="n">
        <v>1</v>
      </c>
      <c r="C774" s="10" t="s">
        <v>4582</v>
      </c>
      <c r="D774" s="10" t="s">
        <v>6712</v>
      </c>
      <c r="E774" s="10" t="s">
        <v>4713</v>
      </c>
    </row>
    <row r="775" customFormat="false" ht="25.5" hidden="false" customHeight="true" outlineLevel="0" collapsed="false">
      <c r="A775" s="10" t="s">
        <v>6713</v>
      </c>
      <c r="B775" s="9" t="n">
        <v>1</v>
      </c>
      <c r="C775" s="10" t="s">
        <v>3291</v>
      </c>
      <c r="D775" s="10" t="s">
        <v>6714</v>
      </c>
      <c r="E775" s="10" t="s">
        <v>3722</v>
      </c>
    </row>
    <row r="776" customFormat="false" ht="25.5" hidden="false" customHeight="true" outlineLevel="0" collapsed="false">
      <c r="A776" s="10" t="s">
        <v>6715</v>
      </c>
      <c r="B776" s="9" t="n">
        <v>1</v>
      </c>
      <c r="C776" s="10" t="s">
        <v>837</v>
      </c>
      <c r="D776" s="10" t="s">
        <v>5749</v>
      </c>
      <c r="E776" s="10" t="s">
        <v>1407</v>
      </c>
    </row>
    <row r="777" customFormat="false" ht="25.5" hidden="false" customHeight="true" outlineLevel="0" collapsed="false">
      <c r="A777" s="10" t="s">
        <v>6716</v>
      </c>
      <c r="B777" s="9" t="n">
        <v>1</v>
      </c>
      <c r="C777" s="10" t="s">
        <v>1500</v>
      </c>
      <c r="D777" s="10" t="s">
        <v>6004</v>
      </c>
      <c r="E777" s="10" t="s">
        <v>1588</v>
      </c>
    </row>
    <row r="778" customFormat="false" ht="25.5" hidden="false" customHeight="true" outlineLevel="0" collapsed="false">
      <c r="A778" s="10" t="s">
        <v>6717</v>
      </c>
      <c r="B778" s="9" t="n">
        <v>1</v>
      </c>
      <c r="C778" s="10" t="s">
        <v>3291</v>
      </c>
      <c r="D778" s="10" t="s">
        <v>6718</v>
      </c>
      <c r="E778" s="10" t="s">
        <v>3828</v>
      </c>
    </row>
    <row r="779" customFormat="false" ht="25.5" hidden="false" customHeight="true" outlineLevel="0" collapsed="false">
      <c r="A779" s="10" t="s">
        <v>6719</v>
      </c>
      <c r="B779" s="9" t="n">
        <v>1</v>
      </c>
      <c r="C779" s="10" t="s">
        <v>837</v>
      </c>
      <c r="D779" s="10" t="s">
        <v>6272</v>
      </c>
      <c r="E779" s="10" t="s">
        <v>1086</v>
      </c>
    </row>
    <row r="780" customFormat="false" ht="25.5" hidden="false" customHeight="true" outlineLevel="0" collapsed="false">
      <c r="A780" s="10" t="s">
        <v>6720</v>
      </c>
      <c r="B780" s="9" t="n">
        <v>1</v>
      </c>
      <c r="C780" s="10" t="s">
        <v>837</v>
      </c>
      <c r="D780" s="10" t="s">
        <v>6268</v>
      </c>
      <c r="E780" s="10" t="s">
        <v>1074</v>
      </c>
    </row>
    <row r="781" customFormat="false" ht="25.5" hidden="false" customHeight="true" outlineLevel="0" collapsed="false">
      <c r="A781" s="10" t="s">
        <v>6721</v>
      </c>
      <c r="B781" s="9" t="n">
        <v>1</v>
      </c>
      <c r="C781" s="10" t="s">
        <v>837</v>
      </c>
      <c r="D781" s="10" t="s">
        <v>6268</v>
      </c>
      <c r="E781" s="10" t="s">
        <v>1074</v>
      </c>
    </row>
    <row r="782" customFormat="false" ht="25.5" hidden="false" customHeight="true" outlineLevel="0" collapsed="false">
      <c r="A782" s="10" t="s">
        <v>6722</v>
      </c>
      <c r="B782" s="9" t="n">
        <v>1</v>
      </c>
      <c r="C782" s="10" t="s">
        <v>1500</v>
      </c>
      <c r="D782" s="10" t="s">
        <v>6698</v>
      </c>
      <c r="E782" s="10" t="s">
        <v>1575</v>
      </c>
    </row>
    <row r="783" customFormat="false" ht="25.5" hidden="false" customHeight="true" outlineLevel="0" collapsed="false">
      <c r="A783" s="10" t="s">
        <v>6723</v>
      </c>
      <c r="B783" s="9" t="n">
        <v>1</v>
      </c>
      <c r="C783" s="10" t="s">
        <v>4949</v>
      </c>
      <c r="D783" s="10" t="s">
        <v>6418</v>
      </c>
      <c r="E783" s="10" t="s">
        <v>5004</v>
      </c>
    </row>
    <row r="784" customFormat="false" ht="25.5" hidden="false" customHeight="true" outlineLevel="0" collapsed="false">
      <c r="A784" s="10" t="s">
        <v>6724</v>
      </c>
      <c r="B784" s="9" t="n">
        <v>1</v>
      </c>
      <c r="C784" s="10" t="s">
        <v>59</v>
      </c>
      <c r="D784" s="10" t="s">
        <v>5907</v>
      </c>
      <c r="E784" s="10" t="s">
        <v>150</v>
      </c>
    </row>
    <row r="785" customFormat="false" ht="25.5" hidden="false" customHeight="true" outlineLevel="0" collapsed="false">
      <c r="A785" s="10" t="s">
        <v>6725</v>
      </c>
      <c r="B785" s="9" t="n">
        <v>1</v>
      </c>
      <c r="C785" s="10" t="s">
        <v>1500</v>
      </c>
      <c r="D785" s="10" t="s">
        <v>6726</v>
      </c>
      <c r="E785" s="10" t="s">
        <v>1526</v>
      </c>
    </row>
    <row r="786" customFormat="false" ht="25.5" hidden="false" customHeight="true" outlineLevel="0" collapsed="false">
      <c r="A786" s="10" t="s">
        <v>6727</v>
      </c>
      <c r="B786" s="9" t="n">
        <v>1</v>
      </c>
      <c r="C786" s="10" t="s">
        <v>1500</v>
      </c>
      <c r="D786" s="10" t="s">
        <v>6728</v>
      </c>
      <c r="E786" s="10" t="s">
        <v>1499</v>
      </c>
    </row>
    <row r="787" customFormat="false" ht="25.5" hidden="false" customHeight="true" outlineLevel="0" collapsed="false">
      <c r="A787" s="10" t="s">
        <v>6729</v>
      </c>
      <c r="B787" s="9" t="n">
        <v>1</v>
      </c>
      <c r="C787" s="10" t="s">
        <v>2140</v>
      </c>
      <c r="D787" s="10" t="s">
        <v>5962</v>
      </c>
      <c r="E787" s="10" t="s">
        <v>2505</v>
      </c>
    </row>
    <row r="788" customFormat="false" ht="25.5" hidden="false" customHeight="true" outlineLevel="0" collapsed="false">
      <c r="A788" s="10" t="s">
        <v>6730</v>
      </c>
      <c r="B788" s="9" t="n">
        <v>1</v>
      </c>
      <c r="C788" s="10" t="s">
        <v>2140</v>
      </c>
      <c r="D788" s="10" t="s">
        <v>6146</v>
      </c>
      <c r="E788" s="10" t="s">
        <v>2493</v>
      </c>
    </row>
    <row r="789" customFormat="false" ht="25.5" hidden="false" customHeight="true" outlineLevel="0" collapsed="false">
      <c r="A789" s="10" t="s">
        <v>6731</v>
      </c>
      <c r="B789" s="9" t="n">
        <v>1</v>
      </c>
      <c r="C789" s="10" t="s">
        <v>1500</v>
      </c>
      <c r="D789" s="10" t="s">
        <v>6001</v>
      </c>
      <c r="E789" s="10" t="s">
        <v>1924</v>
      </c>
    </row>
    <row r="790" customFormat="false" ht="25.5" hidden="false" customHeight="true" outlineLevel="0" collapsed="false">
      <c r="A790" s="10" t="s">
        <v>6732</v>
      </c>
      <c r="B790" s="9" t="n">
        <v>1</v>
      </c>
      <c r="C790" s="10" t="s">
        <v>2140</v>
      </c>
      <c r="D790" s="10" t="s">
        <v>5598</v>
      </c>
      <c r="E790" s="10" t="s">
        <v>2266</v>
      </c>
    </row>
    <row r="791" customFormat="false" ht="25.5" hidden="false" customHeight="true" outlineLevel="0" collapsed="false">
      <c r="A791" s="10" t="s">
        <v>6733</v>
      </c>
      <c r="B791" s="9" t="n">
        <v>1</v>
      </c>
      <c r="C791" s="10" t="s">
        <v>2140</v>
      </c>
      <c r="D791" s="10" t="s">
        <v>5598</v>
      </c>
      <c r="E791" s="10" t="s">
        <v>2266</v>
      </c>
    </row>
    <row r="792" customFormat="false" ht="25.5" hidden="false" customHeight="true" outlineLevel="0" collapsed="false">
      <c r="A792" s="10" t="s">
        <v>6734</v>
      </c>
      <c r="B792" s="9" t="n">
        <v>1</v>
      </c>
      <c r="C792" s="10" t="s">
        <v>2140</v>
      </c>
      <c r="D792" s="10" t="s">
        <v>5598</v>
      </c>
      <c r="E792" s="10" t="s">
        <v>2266</v>
      </c>
    </row>
    <row r="793" customFormat="false" ht="25.5" hidden="false" customHeight="true" outlineLevel="0" collapsed="false">
      <c r="A793" s="10" t="s">
        <v>6735</v>
      </c>
      <c r="B793" s="9" t="n">
        <v>1</v>
      </c>
      <c r="C793" s="10" t="s">
        <v>59</v>
      </c>
      <c r="D793" s="10" t="s">
        <v>5699</v>
      </c>
      <c r="E793" s="10" t="s">
        <v>316</v>
      </c>
    </row>
    <row r="794" customFormat="false" ht="25.5" hidden="false" customHeight="true" outlineLevel="0" collapsed="false">
      <c r="A794" s="10" t="s">
        <v>6736</v>
      </c>
      <c r="B794" s="9" t="n">
        <v>1</v>
      </c>
      <c r="C794" s="10" t="s">
        <v>4949</v>
      </c>
      <c r="D794" s="10" t="s">
        <v>6134</v>
      </c>
      <c r="E794" s="10" t="s">
        <v>5085</v>
      </c>
    </row>
    <row r="795" customFormat="false" ht="25.5" hidden="false" customHeight="true" outlineLevel="0" collapsed="false">
      <c r="A795" s="10" t="s">
        <v>6737</v>
      </c>
      <c r="B795" s="9" t="n">
        <v>1</v>
      </c>
      <c r="C795" s="10" t="s">
        <v>4949</v>
      </c>
      <c r="D795" s="10" t="s">
        <v>6134</v>
      </c>
      <c r="E795" s="10" t="s">
        <v>5085</v>
      </c>
    </row>
    <row r="796" customFormat="false" ht="25.5" hidden="false" customHeight="true" outlineLevel="0" collapsed="false">
      <c r="A796" s="10" t="s">
        <v>6738</v>
      </c>
      <c r="B796" s="9" t="n">
        <v>1</v>
      </c>
      <c r="C796" s="10" t="s">
        <v>837</v>
      </c>
      <c r="D796" s="10" t="s">
        <v>5716</v>
      </c>
      <c r="E796" s="10" t="s">
        <v>1061</v>
      </c>
    </row>
    <row r="797" customFormat="false" ht="25.5" hidden="false" customHeight="true" outlineLevel="0" collapsed="false">
      <c r="A797" s="10" t="s">
        <v>6739</v>
      </c>
      <c r="B797" s="9" t="n">
        <v>1</v>
      </c>
      <c r="C797" s="10" t="s">
        <v>4949</v>
      </c>
      <c r="D797" s="10" t="s">
        <v>5716</v>
      </c>
      <c r="E797" s="10" t="s">
        <v>5031</v>
      </c>
    </row>
    <row r="798" customFormat="false" ht="25.5" hidden="false" customHeight="true" outlineLevel="0" collapsed="false">
      <c r="A798" s="10" t="s">
        <v>6740</v>
      </c>
      <c r="B798" s="9" t="n">
        <v>1</v>
      </c>
      <c r="C798" s="10" t="s">
        <v>4949</v>
      </c>
      <c r="D798" s="10" t="s">
        <v>5716</v>
      </c>
      <c r="E798" s="10" t="s">
        <v>5031</v>
      </c>
    </row>
    <row r="799" customFormat="false" ht="25.5" hidden="false" customHeight="true" outlineLevel="0" collapsed="false">
      <c r="A799" s="10" t="s">
        <v>6741</v>
      </c>
      <c r="B799" s="9" t="n">
        <v>1</v>
      </c>
      <c r="C799" s="10" t="s">
        <v>837</v>
      </c>
      <c r="D799" s="10" t="s">
        <v>5716</v>
      </c>
      <c r="E799" s="10" t="s">
        <v>1061</v>
      </c>
    </row>
    <row r="800" customFormat="false" ht="25.5" hidden="false" customHeight="true" outlineLevel="0" collapsed="false">
      <c r="A800" s="10" t="s">
        <v>6742</v>
      </c>
      <c r="B800" s="9" t="n">
        <v>1</v>
      </c>
      <c r="C800" s="10" t="s">
        <v>837</v>
      </c>
      <c r="D800" s="10" t="s">
        <v>5716</v>
      </c>
      <c r="E800" s="10" t="s">
        <v>1061</v>
      </c>
    </row>
    <row r="801" customFormat="false" ht="25.5" hidden="false" customHeight="true" outlineLevel="0" collapsed="false">
      <c r="A801" s="10" t="s">
        <v>6743</v>
      </c>
      <c r="B801" s="9" t="n">
        <v>1</v>
      </c>
      <c r="C801" s="10" t="s">
        <v>4949</v>
      </c>
      <c r="D801" s="10" t="s">
        <v>5716</v>
      </c>
      <c r="E801" s="10" t="s">
        <v>5031</v>
      </c>
    </row>
    <row r="802" customFormat="false" ht="25.5" hidden="false" customHeight="true" outlineLevel="0" collapsed="false">
      <c r="A802" s="10" t="s">
        <v>6744</v>
      </c>
      <c r="B802" s="9" t="n">
        <v>1</v>
      </c>
      <c r="C802" s="10" t="s">
        <v>837</v>
      </c>
      <c r="D802" s="10" t="s">
        <v>5716</v>
      </c>
      <c r="E802" s="10" t="s">
        <v>1061</v>
      </c>
    </row>
    <row r="803" customFormat="false" ht="25.5" hidden="false" customHeight="true" outlineLevel="0" collapsed="false">
      <c r="A803" s="10" t="s">
        <v>6745</v>
      </c>
      <c r="B803" s="9" t="n">
        <v>1</v>
      </c>
      <c r="C803" s="10" t="s">
        <v>4949</v>
      </c>
      <c r="D803" s="10" t="s">
        <v>5716</v>
      </c>
      <c r="E803" s="10" t="s">
        <v>5031</v>
      </c>
    </row>
    <row r="804" customFormat="false" ht="25.5" hidden="false" customHeight="true" outlineLevel="0" collapsed="false">
      <c r="A804" s="10" t="s">
        <v>6746</v>
      </c>
      <c r="B804" s="9" t="n">
        <v>1</v>
      </c>
      <c r="C804" s="10" t="s">
        <v>2713</v>
      </c>
      <c r="D804" s="10" t="s">
        <v>6125</v>
      </c>
      <c r="E804" s="10" t="s">
        <v>3279</v>
      </c>
    </row>
    <row r="805" customFormat="false" ht="25.5" hidden="false" customHeight="true" outlineLevel="0" collapsed="false">
      <c r="A805" s="10" t="s">
        <v>6747</v>
      </c>
      <c r="B805" s="9" t="n">
        <v>1</v>
      </c>
      <c r="C805" s="10" t="s">
        <v>2140</v>
      </c>
      <c r="D805" s="10" t="s">
        <v>6187</v>
      </c>
      <c r="E805" s="10" t="s">
        <v>2217</v>
      </c>
    </row>
    <row r="806" customFormat="false" ht="25.5" hidden="false" customHeight="true" outlineLevel="0" collapsed="false">
      <c r="A806" s="10" t="s">
        <v>6748</v>
      </c>
      <c r="B806" s="9" t="n">
        <v>1</v>
      </c>
      <c r="C806" s="10" t="s">
        <v>4949</v>
      </c>
      <c r="D806" s="10" t="s">
        <v>6396</v>
      </c>
      <c r="E806" s="10" t="s">
        <v>5058</v>
      </c>
    </row>
    <row r="807" customFormat="false" ht="25.5" hidden="false" customHeight="true" outlineLevel="0" collapsed="false">
      <c r="A807" s="10" t="s">
        <v>6749</v>
      </c>
      <c r="B807" s="9" t="n">
        <v>1</v>
      </c>
      <c r="C807" s="10" t="s">
        <v>2140</v>
      </c>
      <c r="D807" s="10" t="s">
        <v>6750</v>
      </c>
      <c r="E807" s="10" t="s">
        <v>2191</v>
      </c>
    </row>
    <row r="808" customFormat="false" ht="25.5" hidden="false" customHeight="true" outlineLevel="0" collapsed="false">
      <c r="A808" s="10" t="s">
        <v>6751</v>
      </c>
      <c r="B808" s="9" t="n">
        <v>1</v>
      </c>
      <c r="C808" s="10" t="s">
        <v>2140</v>
      </c>
      <c r="D808" s="10" t="s">
        <v>6663</v>
      </c>
      <c r="E808" s="10" t="s">
        <v>2339</v>
      </c>
    </row>
    <row r="809" customFormat="false" ht="25.5" hidden="false" customHeight="true" outlineLevel="0" collapsed="false">
      <c r="A809" s="10" t="s">
        <v>6752</v>
      </c>
      <c r="B809" s="9" t="n">
        <v>1</v>
      </c>
      <c r="C809" s="10" t="s">
        <v>4203</v>
      </c>
      <c r="D809" s="10" t="s">
        <v>6673</v>
      </c>
      <c r="E809" s="10" t="s">
        <v>4392</v>
      </c>
    </row>
    <row r="810" customFormat="false" ht="25.5" hidden="false" customHeight="true" outlineLevel="0" collapsed="false">
      <c r="A810" s="10" t="s">
        <v>6753</v>
      </c>
      <c r="B810" s="9" t="n">
        <v>1</v>
      </c>
      <c r="C810" s="10" t="s">
        <v>4203</v>
      </c>
      <c r="D810" s="10" t="s">
        <v>6673</v>
      </c>
      <c r="E810" s="10" t="s">
        <v>4405</v>
      </c>
    </row>
    <row r="811" customFormat="false" ht="25.5" hidden="false" customHeight="true" outlineLevel="0" collapsed="false">
      <c r="A811" s="10" t="s">
        <v>6754</v>
      </c>
      <c r="B811" s="9" t="n">
        <v>1</v>
      </c>
      <c r="C811" s="10" t="s">
        <v>4203</v>
      </c>
      <c r="D811" s="10" t="s">
        <v>6504</v>
      </c>
      <c r="E811" s="10" t="s">
        <v>4478</v>
      </c>
    </row>
    <row r="812" customFormat="false" ht="25.5" hidden="false" customHeight="true" outlineLevel="0" collapsed="false">
      <c r="A812" s="10" t="s">
        <v>6755</v>
      </c>
      <c r="B812" s="9" t="n">
        <v>1</v>
      </c>
      <c r="C812" s="10" t="s">
        <v>4203</v>
      </c>
      <c r="D812" s="10" t="s">
        <v>6756</v>
      </c>
      <c r="E812" s="10" t="s">
        <v>4367</v>
      </c>
    </row>
    <row r="813" customFormat="false" ht="25.5" hidden="false" customHeight="true" outlineLevel="0" collapsed="false">
      <c r="A813" s="10" t="s">
        <v>6757</v>
      </c>
      <c r="B813" s="9" t="n">
        <v>1</v>
      </c>
      <c r="C813" s="10" t="s">
        <v>3842</v>
      </c>
      <c r="D813" s="10" t="s">
        <v>6287</v>
      </c>
      <c r="E813" s="10" t="s">
        <v>3944</v>
      </c>
    </row>
    <row r="814" customFormat="false" ht="25.5" hidden="false" customHeight="true" outlineLevel="0" collapsed="false">
      <c r="A814" s="10" t="s">
        <v>6758</v>
      </c>
      <c r="B814" s="9" t="n">
        <v>1</v>
      </c>
      <c r="C814" s="10" t="s">
        <v>837</v>
      </c>
      <c r="D814" s="10" t="s">
        <v>6165</v>
      </c>
      <c r="E814" s="10" t="s">
        <v>955</v>
      </c>
    </row>
    <row r="815" customFormat="false" ht="25.5" hidden="false" customHeight="true" outlineLevel="0" collapsed="false">
      <c r="A815" s="10" t="s">
        <v>6759</v>
      </c>
      <c r="B815" s="9" t="n">
        <v>1</v>
      </c>
      <c r="C815" s="10" t="s">
        <v>2713</v>
      </c>
      <c r="D815" s="10" t="s">
        <v>6760</v>
      </c>
      <c r="E815" s="10" t="s">
        <v>2999</v>
      </c>
    </row>
    <row r="816" customFormat="false" ht="25.5" hidden="false" customHeight="true" outlineLevel="0" collapsed="false">
      <c r="A816" s="10" t="s">
        <v>6761</v>
      </c>
      <c r="B816" s="9" t="n">
        <v>1</v>
      </c>
      <c r="C816" s="10" t="s">
        <v>2713</v>
      </c>
      <c r="D816" s="10" t="s">
        <v>6309</v>
      </c>
      <c r="E816" s="10" t="s">
        <v>3058</v>
      </c>
    </row>
    <row r="817" customFormat="false" ht="25.5" hidden="false" customHeight="true" outlineLevel="0" collapsed="false">
      <c r="A817" s="10" t="s">
        <v>6762</v>
      </c>
      <c r="B817" s="9" t="n">
        <v>1</v>
      </c>
      <c r="C817" s="10" t="s">
        <v>2140</v>
      </c>
      <c r="D817" s="10" t="s">
        <v>6068</v>
      </c>
      <c r="E817" s="10" t="s">
        <v>2530</v>
      </c>
    </row>
    <row r="818" customFormat="false" ht="25.5" hidden="false" customHeight="true" outlineLevel="0" collapsed="false">
      <c r="A818" s="10" t="s">
        <v>6763</v>
      </c>
      <c r="B818" s="9" t="n">
        <v>1</v>
      </c>
      <c r="C818" s="10" t="s">
        <v>2713</v>
      </c>
      <c r="D818" s="10" t="s">
        <v>6764</v>
      </c>
      <c r="E818" s="10" t="s">
        <v>2913</v>
      </c>
    </row>
    <row r="819" customFormat="false" ht="25.5" hidden="false" customHeight="true" outlineLevel="0" collapsed="false">
      <c r="A819" s="10" t="s">
        <v>6765</v>
      </c>
      <c r="B819" s="9" t="n">
        <v>1</v>
      </c>
      <c r="C819" s="10" t="s">
        <v>3842</v>
      </c>
      <c r="D819" s="10" t="s">
        <v>6546</v>
      </c>
      <c r="E819" s="10" t="s">
        <v>4176</v>
      </c>
    </row>
    <row r="820" customFormat="false" ht="25.5" hidden="false" customHeight="true" outlineLevel="0" collapsed="false">
      <c r="A820" s="10" t="s">
        <v>6766</v>
      </c>
      <c r="B820" s="9" t="n">
        <v>1</v>
      </c>
      <c r="C820" s="10" t="s">
        <v>2713</v>
      </c>
      <c r="D820" s="10" t="s">
        <v>5870</v>
      </c>
      <c r="E820" s="10" t="s">
        <v>2987</v>
      </c>
    </row>
    <row r="821" customFormat="false" ht="25.5" hidden="false" customHeight="true" outlineLevel="0" collapsed="false">
      <c r="A821" s="10" t="s">
        <v>6767</v>
      </c>
      <c r="B821" s="9" t="n">
        <v>1</v>
      </c>
      <c r="C821" s="10" t="s">
        <v>2713</v>
      </c>
      <c r="D821" s="10" t="s">
        <v>5665</v>
      </c>
      <c r="E821" s="10" t="s">
        <v>3119</v>
      </c>
    </row>
    <row r="822" customFormat="false" ht="25.5" hidden="false" customHeight="true" outlineLevel="0" collapsed="false">
      <c r="A822" s="10" t="s">
        <v>6768</v>
      </c>
      <c r="B822" s="9" t="n">
        <v>1</v>
      </c>
      <c r="C822" s="10" t="s">
        <v>2140</v>
      </c>
      <c r="D822" s="10" t="s">
        <v>6187</v>
      </c>
      <c r="E822" s="10" t="s">
        <v>2139</v>
      </c>
    </row>
    <row r="823" customFormat="false" ht="25.5" hidden="false" customHeight="true" outlineLevel="0" collapsed="false">
      <c r="A823" s="10" t="s">
        <v>6769</v>
      </c>
      <c r="B823" s="9" t="n">
        <v>1</v>
      </c>
      <c r="C823" s="10" t="s">
        <v>4949</v>
      </c>
      <c r="D823" s="10" t="s">
        <v>6413</v>
      </c>
      <c r="E823" s="10" t="s">
        <v>5071</v>
      </c>
    </row>
    <row r="824" customFormat="false" ht="25.5" hidden="false" customHeight="true" outlineLevel="0" collapsed="false">
      <c r="A824" s="10" t="s">
        <v>6770</v>
      </c>
      <c r="B824" s="9" t="n">
        <v>1</v>
      </c>
      <c r="C824" s="10" t="s">
        <v>4949</v>
      </c>
      <c r="D824" s="10" t="s">
        <v>6235</v>
      </c>
      <c r="E824" s="10" t="s">
        <v>5193</v>
      </c>
    </row>
    <row r="825" customFormat="false" ht="25.5" hidden="false" customHeight="true" outlineLevel="0" collapsed="false">
      <c r="A825" s="10" t="s">
        <v>6771</v>
      </c>
      <c r="B825" s="9" t="n">
        <v>1</v>
      </c>
      <c r="C825" s="10" t="s">
        <v>1500</v>
      </c>
      <c r="D825" s="10" t="s">
        <v>6263</v>
      </c>
      <c r="E825" s="10" t="s">
        <v>1988</v>
      </c>
    </row>
    <row r="826" customFormat="false" ht="25.5" hidden="false" customHeight="true" outlineLevel="0" collapsed="false">
      <c r="A826" s="10" t="s">
        <v>6772</v>
      </c>
      <c r="B826" s="9" t="n">
        <v>1</v>
      </c>
      <c r="C826" s="10" t="s">
        <v>2140</v>
      </c>
      <c r="D826" s="10" t="s">
        <v>6643</v>
      </c>
      <c r="E826" s="10" t="s">
        <v>2442</v>
      </c>
    </row>
    <row r="827" customFormat="false" ht="25.5" hidden="false" customHeight="true" outlineLevel="0" collapsed="false">
      <c r="A827" s="10" t="s">
        <v>6773</v>
      </c>
      <c r="B827" s="9" t="n">
        <v>1</v>
      </c>
      <c r="C827" s="10" t="s">
        <v>837</v>
      </c>
      <c r="D827" s="10" t="s">
        <v>5987</v>
      </c>
      <c r="E827" s="10" t="s">
        <v>1286</v>
      </c>
    </row>
    <row r="828" customFormat="false" ht="25.5" hidden="false" customHeight="true" outlineLevel="0" collapsed="false">
      <c r="A828" s="10" t="s">
        <v>6774</v>
      </c>
      <c r="B828" s="9" t="n">
        <v>1</v>
      </c>
      <c r="C828" s="10" t="s">
        <v>3842</v>
      </c>
      <c r="D828" s="10" t="s">
        <v>6006</v>
      </c>
      <c r="E828" s="10" t="s">
        <v>3956</v>
      </c>
    </row>
    <row r="829" customFormat="false" ht="25.5" hidden="false" customHeight="true" outlineLevel="0" collapsed="false">
      <c r="A829" s="10" t="s">
        <v>6775</v>
      </c>
      <c r="B829" s="9" t="n">
        <v>1</v>
      </c>
      <c r="C829" s="10" t="s">
        <v>2140</v>
      </c>
      <c r="D829" s="10" t="s">
        <v>6189</v>
      </c>
      <c r="E829" s="10" t="s">
        <v>2661</v>
      </c>
    </row>
    <row r="830" customFormat="false" ht="25.5" hidden="false" customHeight="true" outlineLevel="0" collapsed="false">
      <c r="A830" s="10" t="s">
        <v>6776</v>
      </c>
      <c r="B830" s="9" t="n">
        <v>1</v>
      </c>
      <c r="C830" s="10" t="s">
        <v>2713</v>
      </c>
      <c r="D830" s="10" t="s">
        <v>5719</v>
      </c>
      <c r="E830" s="10" t="s">
        <v>3069</v>
      </c>
    </row>
    <row r="831" customFormat="false" ht="25.5" hidden="false" customHeight="true" outlineLevel="0" collapsed="false">
      <c r="A831" s="10" t="s">
        <v>6777</v>
      </c>
      <c r="B831" s="9" t="n">
        <v>1</v>
      </c>
      <c r="C831" s="10" t="s">
        <v>4203</v>
      </c>
      <c r="D831" s="10" t="s">
        <v>6534</v>
      </c>
      <c r="E831" s="10" t="s">
        <v>4202</v>
      </c>
    </row>
    <row r="832" customFormat="false" ht="25.5" hidden="false" customHeight="true" outlineLevel="0" collapsed="false">
      <c r="A832" s="10" t="s">
        <v>6778</v>
      </c>
      <c r="B832" s="9" t="n">
        <v>1</v>
      </c>
      <c r="C832" s="10" t="s">
        <v>4203</v>
      </c>
      <c r="D832" s="10" t="s">
        <v>6534</v>
      </c>
      <c r="E832" s="10" t="s">
        <v>4202</v>
      </c>
    </row>
    <row r="833" customFormat="false" ht="25.5" hidden="false" customHeight="true" outlineLevel="0" collapsed="false">
      <c r="A833" s="10" t="s">
        <v>6779</v>
      </c>
      <c r="B833" s="9" t="n">
        <v>1</v>
      </c>
      <c r="C833" s="10" t="s">
        <v>4203</v>
      </c>
      <c r="D833" s="10" t="s">
        <v>4251</v>
      </c>
      <c r="E833" s="10" t="s">
        <v>4243</v>
      </c>
    </row>
    <row r="834" customFormat="false" ht="25.5" hidden="false" customHeight="true" outlineLevel="0" collapsed="false">
      <c r="A834" s="10" t="s">
        <v>6780</v>
      </c>
      <c r="B834" s="9" t="n">
        <v>1</v>
      </c>
      <c r="C834" s="10" t="s">
        <v>4203</v>
      </c>
      <c r="D834" s="10" t="s">
        <v>4251</v>
      </c>
      <c r="E834" s="10" t="s">
        <v>4243</v>
      </c>
    </row>
    <row r="835" customFormat="false" ht="25.5" hidden="false" customHeight="true" outlineLevel="0" collapsed="false">
      <c r="A835" s="10" t="s">
        <v>6781</v>
      </c>
      <c r="B835" s="9" t="n">
        <v>1</v>
      </c>
      <c r="C835" s="10" t="s">
        <v>4203</v>
      </c>
      <c r="D835" s="10" t="s">
        <v>6534</v>
      </c>
      <c r="E835" s="10" t="s">
        <v>4202</v>
      </c>
    </row>
    <row r="836" customFormat="false" ht="25.5" hidden="false" customHeight="true" outlineLevel="0" collapsed="false">
      <c r="A836" s="10" t="s">
        <v>6782</v>
      </c>
      <c r="B836" s="9" t="n">
        <v>1</v>
      </c>
      <c r="C836" s="10" t="s">
        <v>59</v>
      </c>
      <c r="D836" s="10" t="s">
        <v>6057</v>
      </c>
      <c r="E836" s="10" t="s">
        <v>811</v>
      </c>
    </row>
    <row r="837" customFormat="false" ht="25.5" hidden="false" customHeight="true" outlineLevel="0" collapsed="false">
      <c r="A837" s="10" t="s">
        <v>6783</v>
      </c>
      <c r="B837" s="9" t="n">
        <v>1</v>
      </c>
      <c r="C837" s="10" t="s">
        <v>4203</v>
      </c>
      <c r="D837" s="10" t="s">
        <v>4251</v>
      </c>
      <c r="E837" s="10" t="s">
        <v>4318</v>
      </c>
    </row>
    <row r="838" customFormat="false" ht="25.5" hidden="false" customHeight="true" outlineLevel="0" collapsed="false">
      <c r="A838" s="10" t="s">
        <v>6784</v>
      </c>
      <c r="B838" s="9" t="n">
        <v>1</v>
      </c>
      <c r="C838" s="10" t="s">
        <v>4203</v>
      </c>
      <c r="D838" s="10" t="s">
        <v>6569</v>
      </c>
      <c r="E838" s="10" t="s">
        <v>4217</v>
      </c>
    </row>
    <row r="839" customFormat="false" ht="25.5" hidden="false" customHeight="true" outlineLevel="0" collapsed="false">
      <c r="A839" s="10" t="s">
        <v>6785</v>
      </c>
      <c r="B839" s="9" t="n">
        <v>1</v>
      </c>
      <c r="C839" s="10" t="s">
        <v>4203</v>
      </c>
      <c r="D839" s="10" t="s">
        <v>6786</v>
      </c>
      <c r="E839" s="10" t="s">
        <v>4378</v>
      </c>
    </row>
    <row r="840" customFormat="false" ht="25.5" hidden="false" customHeight="true" outlineLevel="0" collapsed="false">
      <c r="A840" s="10" t="s">
        <v>6787</v>
      </c>
      <c r="B840" s="9" t="n">
        <v>1</v>
      </c>
      <c r="C840" s="10" t="s">
        <v>4949</v>
      </c>
      <c r="D840" s="10" t="s">
        <v>6788</v>
      </c>
      <c r="E840" s="10" t="s">
        <v>5220</v>
      </c>
    </row>
    <row r="841" customFormat="false" ht="25.5" hidden="false" customHeight="true" outlineLevel="0" collapsed="false">
      <c r="A841" s="10" t="s">
        <v>6789</v>
      </c>
      <c r="B841" s="9" t="n">
        <v>1</v>
      </c>
      <c r="C841" s="10" t="s">
        <v>4203</v>
      </c>
      <c r="D841" s="10" t="s">
        <v>6275</v>
      </c>
      <c r="E841" s="10" t="s">
        <v>4330</v>
      </c>
    </row>
    <row r="842" customFormat="false" ht="25.5" hidden="false" customHeight="true" outlineLevel="0" collapsed="false">
      <c r="A842" s="10" t="s">
        <v>6790</v>
      </c>
      <c r="B842" s="9" t="n">
        <v>1</v>
      </c>
      <c r="C842" s="10" t="s">
        <v>1500</v>
      </c>
      <c r="D842" s="10" t="s">
        <v>6263</v>
      </c>
      <c r="E842" s="10" t="s">
        <v>1988</v>
      </c>
    </row>
    <row r="843" customFormat="false" ht="25.5" hidden="false" customHeight="true" outlineLevel="0" collapsed="false">
      <c r="A843" s="10" t="s">
        <v>6791</v>
      </c>
      <c r="B843" s="9" t="n">
        <v>1</v>
      </c>
      <c r="C843" s="10" t="s">
        <v>4949</v>
      </c>
      <c r="D843" s="10" t="s">
        <v>6788</v>
      </c>
      <c r="E843" s="10" t="s">
        <v>5220</v>
      </c>
    </row>
    <row r="844" customFormat="false" ht="25.5" hidden="false" customHeight="true" outlineLevel="0" collapsed="false">
      <c r="A844" s="10" t="s">
        <v>6792</v>
      </c>
      <c r="B844" s="9" t="n">
        <v>1</v>
      </c>
      <c r="C844" s="10" t="s">
        <v>4203</v>
      </c>
      <c r="D844" s="10" t="s">
        <v>6532</v>
      </c>
      <c r="E844" s="10" t="s">
        <v>4541</v>
      </c>
    </row>
    <row r="845" customFormat="false" ht="25.5" hidden="false" customHeight="true" outlineLevel="0" collapsed="false">
      <c r="A845" s="10" t="s">
        <v>6793</v>
      </c>
      <c r="B845" s="9" t="n">
        <v>1</v>
      </c>
      <c r="C845" s="10" t="s">
        <v>4203</v>
      </c>
      <c r="D845" s="10" t="s">
        <v>6786</v>
      </c>
      <c r="E845" s="10" t="s">
        <v>4378</v>
      </c>
    </row>
    <row r="846" customFormat="false" ht="25.5" hidden="false" customHeight="true" outlineLevel="0" collapsed="false">
      <c r="A846" s="10" t="s">
        <v>6794</v>
      </c>
      <c r="B846" s="9" t="n">
        <v>1</v>
      </c>
      <c r="C846" s="10" t="s">
        <v>4949</v>
      </c>
      <c r="D846" s="10" t="s">
        <v>5149</v>
      </c>
      <c r="E846" s="10" t="s">
        <v>5180</v>
      </c>
    </row>
    <row r="847" customFormat="false" ht="25.5" hidden="false" customHeight="true" outlineLevel="0" collapsed="false">
      <c r="A847" s="10" t="s">
        <v>6795</v>
      </c>
      <c r="B847" s="9" t="n">
        <v>1</v>
      </c>
      <c r="C847" s="10" t="s">
        <v>4203</v>
      </c>
      <c r="D847" s="10" t="s">
        <v>6567</v>
      </c>
      <c r="E847" s="10" t="s">
        <v>4231</v>
      </c>
    </row>
    <row r="848" customFormat="false" ht="25.5" hidden="false" customHeight="true" outlineLevel="0" collapsed="false">
      <c r="A848" s="10" t="s">
        <v>6796</v>
      </c>
      <c r="B848" s="9" t="n">
        <v>1</v>
      </c>
      <c r="C848" s="10" t="s">
        <v>4203</v>
      </c>
      <c r="D848" s="10" t="s">
        <v>6567</v>
      </c>
      <c r="E848" s="10" t="s">
        <v>4231</v>
      </c>
    </row>
    <row r="849" customFormat="false" ht="25.5" hidden="false" customHeight="true" outlineLevel="0" collapsed="false">
      <c r="A849" s="10" t="s">
        <v>6797</v>
      </c>
      <c r="B849" s="9" t="n">
        <v>1</v>
      </c>
      <c r="C849" s="10" t="s">
        <v>4203</v>
      </c>
      <c r="D849" s="10" t="s">
        <v>6786</v>
      </c>
      <c r="E849" s="10" t="s">
        <v>4378</v>
      </c>
    </row>
    <row r="850" customFormat="false" ht="25.5" hidden="false" customHeight="true" outlineLevel="0" collapsed="false">
      <c r="A850" s="10" t="s">
        <v>6798</v>
      </c>
      <c r="B850" s="9" t="n">
        <v>1</v>
      </c>
      <c r="C850" s="10" t="s">
        <v>4203</v>
      </c>
      <c r="D850" s="10" t="s">
        <v>6786</v>
      </c>
      <c r="E850" s="10" t="s">
        <v>4378</v>
      </c>
    </row>
    <row r="851" customFormat="false" ht="25.5" hidden="false" customHeight="true" outlineLevel="0" collapsed="false">
      <c r="A851" s="10" t="s">
        <v>6799</v>
      </c>
      <c r="B851" s="9" t="n">
        <v>1</v>
      </c>
      <c r="C851" s="10" t="s">
        <v>4203</v>
      </c>
      <c r="D851" s="10" t="s">
        <v>5662</v>
      </c>
      <c r="E851" s="10" t="s">
        <v>4428</v>
      </c>
    </row>
    <row r="852" customFormat="false" ht="25.5" hidden="false" customHeight="true" outlineLevel="0" collapsed="false">
      <c r="A852" s="10" t="s">
        <v>6800</v>
      </c>
      <c r="B852" s="9" t="n">
        <v>1</v>
      </c>
      <c r="C852" s="10" t="s">
        <v>4203</v>
      </c>
      <c r="D852" s="10" t="s">
        <v>6801</v>
      </c>
      <c r="E852" s="10" t="s">
        <v>4453</v>
      </c>
    </row>
    <row r="853" customFormat="false" ht="25.5" hidden="false" customHeight="true" outlineLevel="0" collapsed="false">
      <c r="A853" s="10" t="s">
        <v>6802</v>
      </c>
      <c r="B853" s="9" t="n">
        <v>1</v>
      </c>
      <c r="C853" s="10" t="s">
        <v>4203</v>
      </c>
      <c r="D853" s="10" t="s">
        <v>6801</v>
      </c>
      <c r="E853" s="10" t="s">
        <v>4453</v>
      </c>
    </row>
    <row r="854" customFormat="false" ht="25.5" hidden="false" customHeight="true" outlineLevel="0" collapsed="false">
      <c r="A854" s="10" t="s">
        <v>6803</v>
      </c>
      <c r="B854" s="9" t="n">
        <v>1</v>
      </c>
      <c r="C854" s="10" t="s">
        <v>3291</v>
      </c>
      <c r="D854" s="10" t="s">
        <v>6804</v>
      </c>
      <c r="E854" s="10" t="s">
        <v>3683</v>
      </c>
    </row>
    <row r="855" customFormat="false" ht="25.5" hidden="false" customHeight="true" outlineLevel="0" collapsed="false">
      <c r="A855" s="10" t="s">
        <v>6805</v>
      </c>
      <c r="B855" s="9" t="n">
        <v>1</v>
      </c>
      <c r="C855" s="10" t="s">
        <v>4203</v>
      </c>
      <c r="D855" s="10" t="s">
        <v>4448</v>
      </c>
      <c r="E855" s="10" t="s">
        <v>4441</v>
      </c>
    </row>
    <row r="856" customFormat="false" ht="25.5" hidden="false" customHeight="true" outlineLevel="0" collapsed="false">
      <c r="A856" s="10" t="s">
        <v>6806</v>
      </c>
      <c r="B856" s="9" t="n">
        <v>1</v>
      </c>
      <c r="C856" s="10" t="s">
        <v>4203</v>
      </c>
      <c r="D856" s="10" t="s">
        <v>6801</v>
      </c>
      <c r="E856" s="10" t="s">
        <v>4453</v>
      </c>
    </row>
    <row r="857" customFormat="false" ht="25.5" hidden="false" customHeight="true" outlineLevel="0" collapsed="false">
      <c r="A857" s="10" t="s">
        <v>6807</v>
      </c>
      <c r="B857" s="9" t="n">
        <v>1</v>
      </c>
      <c r="C857" s="10" t="s">
        <v>4203</v>
      </c>
      <c r="D857" s="10" t="s">
        <v>6801</v>
      </c>
      <c r="E857" s="10" t="s">
        <v>4453</v>
      </c>
    </row>
    <row r="858" customFormat="false" ht="25.5" hidden="false" customHeight="true" outlineLevel="0" collapsed="false">
      <c r="A858" s="10" t="s">
        <v>6808</v>
      </c>
      <c r="B858" s="9" t="n">
        <v>1</v>
      </c>
      <c r="C858" s="10" t="s">
        <v>2140</v>
      </c>
      <c r="D858" s="10" t="s">
        <v>6643</v>
      </c>
      <c r="E858" s="10" t="s">
        <v>2442</v>
      </c>
    </row>
    <row r="859" customFormat="false" ht="25.5" hidden="false" customHeight="true" outlineLevel="0" collapsed="false">
      <c r="A859" s="10" t="s">
        <v>6809</v>
      </c>
      <c r="B859" s="9" t="n">
        <v>1</v>
      </c>
      <c r="C859" s="10" t="s">
        <v>2140</v>
      </c>
      <c r="D859" s="10" t="s">
        <v>6810</v>
      </c>
      <c r="E859" s="10" t="s">
        <v>2389</v>
      </c>
    </row>
    <row r="860" customFormat="false" ht="25.5" hidden="false" customHeight="true" outlineLevel="0" collapsed="false">
      <c r="A860" s="10" t="s">
        <v>6811</v>
      </c>
      <c r="B860" s="9" t="n">
        <v>1</v>
      </c>
      <c r="C860" s="10" t="s">
        <v>837</v>
      </c>
      <c r="D860" s="10" t="s">
        <v>6812</v>
      </c>
      <c r="E860" s="10" t="s">
        <v>902</v>
      </c>
    </row>
    <row r="861" customFormat="false" ht="25.5" hidden="false" customHeight="true" outlineLevel="0" collapsed="false">
      <c r="A861" s="10" t="s">
        <v>6813</v>
      </c>
      <c r="B861" s="9" t="n">
        <v>1</v>
      </c>
      <c r="C861" s="10" t="s">
        <v>3291</v>
      </c>
      <c r="D861" s="10" t="s">
        <v>6814</v>
      </c>
      <c r="E861" s="10" t="s">
        <v>3815</v>
      </c>
    </row>
    <row r="862" customFormat="false" ht="25.5" hidden="false" customHeight="true" outlineLevel="0" collapsed="false">
      <c r="A862" s="10" t="s">
        <v>6815</v>
      </c>
      <c r="B862" s="9" t="n">
        <v>1</v>
      </c>
      <c r="C862" s="10" t="s">
        <v>837</v>
      </c>
      <c r="D862" s="10" t="s">
        <v>6038</v>
      </c>
      <c r="E862" s="10" t="s">
        <v>1177</v>
      </c>
    </row>
    <row r="863" customFormat="false" ht="25.5" hidden="false" customHeight="true" outlineLevel="0" collapsed="false">
      <c r="A863" s="10" t="s">
        <v>6816</v>
      </c>
      <c r="B863" s="9" t="n">
        <v>1</v>
      </c>
      <c r="C863" s="10" t="s">
        <v>3842</v>
      </c>
      <c r="D863" s="10" t="s">
        <v>6817</v>
      </c>
      <c r="E863" s="10" t="s">
        <v>4150</v>
      </c>
    </row>
    <row r="864" customFormat="false" ht="25.5" hidden="false" customHeight="true" outlineLevel="0" collapsed="false">
      <c r="A864" s="10" t="s">
        <v>6818</v>
      </c>
      <c r="B864" s="9" t="n">
        <v>1</v>
      </c>
      <c r="C864" s="10" t="s">
        <v>2140</v>
      </c>
      <c r="D864" s="10" t="s">
        <v>6194</v>
      </c>
      <c r="E864" s="10" t="s">
        <v>2557</v>
      </c>
    </row>
    <row r="865" customFormat="false" ht="25.5" hidden="false" customHeight="true" outlineLevel="0" collapsed="false">
      <c r="A865" s="10" t="s">
        <v>6819</v>
      </c>
      <c r="B865" s="9" t="n">
        <v>1</v>
      </c>
      <c r="C865" s="10" t="s">
        <v>837</v>
      </c>
      <c r="D865" s="10" t="s">
        <v>6820</v>
      </c>
      <c r="E865" s="10" t="s">
        <v>1486</v>
      </c>
    </row>
    <row r="866" customFormat="false" ht="25.5" hidden="false" customHeight="true" outlineLevel="0" collapsed="false">
      <c r="A866" s="10" t="s">
        <v>6821</v>
      </c>
      <c r="B866" s="9" t="n">
        <v>1</v>
      </c>
      <c r="C866" s="10" t="s">
        <v>837</v>
      </c>
      <c r="D866" s="10" t="s">
        <v>5614</v>
      </c>
      <c r="E866" s="10" t="s">
        <v>1460</v>
      </c>
    </row>
    <row r="867" customFormat="false" ht="25.5" hidden="false" customHeight="true" outlineLevel="0" collapsed="false">
      <c r="A867" s="10" t="s">
        <v>6822</v>
      </c>
      <c r="B867" s="9" t="n">
        <v>1</v>
      </c>
      <c r="C867" s="10" t="s">
        <v>4203</v>
      </c>
      <c r="D867" s="10" t="s">
        <v>6756</v>
      </c>
      <c r="E867" s="10" t="s">
        <v>4367</v>
      </c>
    </row>
    <row r="868" customFormat="false" ht="25.5" hidden="false" customHeight="true" outlineLevel="0" collapsed="false">
      <c r="A868" s="10" t="s">
        <v>6823</v>
      </c>
      <c r="B868" s="9" t="n">
        <v>1</v>
      </c>
      <c r="C868" s="10" t="s">
        <v>1500</v>
      </c>
      <c r="D868" s="10" t="s">
        <v>6824</v>
      </c>
      <c r="E868" s="10" t="s">
        <v>1666</v>
      </c>
    </row>
    <row r="869" customFormat="false" ht="25.5" hidden="false" customHeight="true" outlineLevel="0" collapsed="false">
      <c r="A869" s="10" t="s">
        <v>6825</v>
      </c>
      <c r="B869" s="9" t="n">
        <v>1</v>
      </c>
      <c r="C869" s="10" t="s">
        <v>4582</v>
      </c>
      <c r="D869" s="10" t="s">
        <v>6826</v>
      </c>
      <c r="E869" s="10" t="s">
        <v>4634</v>
      </c>
    </row>
    <row r="870" customFormat="false" ht="25.5" hidden="false" customHeight="true" outlineLevel="0" collapsed="false">
      <c r="A870" s="10" t="s">
        <v>6827</v>
      </c>
      <c r="B870" s="9" t="n">
        <v>1</v>
      </c>
      <c r="C870" s="10" t="s">
        <v>4582</v>
      </c>
      <c r="D870" s="10" t="s">
        <v>6826</v>
      </c>
      <c r="E870" s="10" t="s">
        <v>4634</v>
      </c>
    </row>
    <row r="871" customFormat="false" ht="25.5" hidden="false" customHeight="true" outlineLevel="0" collapsed="false">
      <c r="A871" s="10" t="s">
        <v>6828</v>
      </c>
      <c r="B871" s="9" t="n">
        <v>1</v>
      </c>
      <c r="C871" s="10" t="s">
        <v>4582</v>
      </c>
      <c r="D871" s="10" t="s">
        <v>6826</v>
      </c>
      <c r="E871" s="10" t="s">
        <v>4634</v>
      </c>
    </row>
    <row r="872" customFormat="false" ht="25.5" hidden="false" customHeight="true" outlineLevel="0" collapsed="false">
      <c r="A872" s="10" t="s">
        <v>6829</v>
      </c>
      <c r="B872" s="9" t="n">
        <v>1</v>
      </c>
      <c r="C872" s="10" t="s">
        <v>59</v>
      </c>
      <c r="D872" s="10" t="s">
        <v>5731</v>
      </c>
      <c r="E872" s="10" t="s">
        <v>491</v>
      </c>
    </row>
    <row r="873" customFormat="false" ht="25.5" hidden="false" customHeight="true" outlineLevel="0" collapsed="false">
      <c r="A873" s="10" t="s">
        <v>6830</v>
      </c>
      <c r="B873" s="9" t="n">
        <v>1</v>
      </c>
      <c r="C873" s="10" t="s">
        <v>59</v>
      </c>
      <c r="D873" s="10" t="s">
        <v>6555</v>
      </c>
      <c r="E873" s="10" t="s">
        <v>612</v>
      </c>
    </row>
    <row r="874" customFormat="false" ht="25.5" hidden="false" customHeight="true" outlineLevel="0" collapsed="false">
      <c r="A874" s="10" t="s">
        <v>6831</v>
      </c>
      <c r="B874" s="9" t="n">
        <v>1</v>
      </c>
      <c r="C874" s="10" t="s">
        <v>3291</v>
      </c>
      <c r="D874" s="10" t="s">
        <v>6832</v>
      </c>
      <c r="E874" s="10" t="s">
        <v>3579</v>
      </c>
    </row>
    <row r="875" customFormat="false" ht="25.5" hidden="false" customHeight="true" outlineLevel="0" collapsed="false">
      <c r="A875" s="10" t="s">
        <v>6833</v>
      </c>
      <c r="B875" s="9" t="n">
        <v>1</v>
      </c>
      <c r="C875" s="10" t="s">
        <v>4203</v>
      </c>
      <c r="D875" s="10" t="s">
        <v>6416</v>
      </c>
      <c r="E875" s="10" t="s">
        <v>4505</v>
      </c>
    </row>
    <row r="876" customFormat="false" ht="25.5" hidden="false" customHeight="true" outlineLevel="0" collapsed="false">
      <c r="A876" s="10" t="s">
        <v>6834</v>
      </c>
      <c r="B876" s="9" t="n">
        <v>1</v>
      </c>
      <c r="C876" s="10" t="s">
        <v>4203</v>
      </c>
      <c r="D876" s="10" t="s">
        <v>6416</v>
      </c>
      <c r="E876" s="10" t="s">
        <v>4505</v>
      </c>
    </row>
    <row r="877" customFormat="false" ht="25.5" hidden="false" customHeight="true" outlineLevel="0" collapsed="false">
      <c r="A877" s="10" t="s">
        <v>6835</v>
      </c>
      <c r="B877" s="9" t="n">
        <v>1</v>
      </c>
      <c r="C877" s="10" t="s">
        <v>2140</v>
      </c>
      <c r="D877" s="10" t="s">
        <v>5598</v>
      </c>
      <c r="E877" s="10" t="s">
        <v>2700</v>
      </c>
    </row>
    <row r="878" customFormat="false" ht="25.5" hidden="false" customHeight="true" outlineLevel="0" collapsed="false">
      <c r="A878" s="10" t="s">
        <v>6836</v>
      </c>
      <c r="B878" s="9" t="n">
        <v>1</v>
      </c>
      <c r="C878" s="10" t="s">
        <v>3842</v>
      </c>
      <c r="D878" s="10" t="s">
        <v>6463</v>
      </c>
      <c r="E878" s="10" t="s">
        <v>3879</v>
      </c>
    </row>
    <row r="879" customFormat="false" ht="25.5" hidden="false" customHeight="true" outlineLevel="0" collapsed="false">
      <c r="A879" s="10" t="s">
        <v>6837</v>
      </c>
      <c r="B879" s="9" t="n">
        <v>1</v>
      </c>
      <c r="C879" s="10" t="s">
        <v>3842</v>
      </c>
      <c r="D879" s="10" t="s">
        <v>6463</v>
      </c>
      <c r="E879" s="10" t="s">
        <v>3879</v>
      </c>
    </row>
    <row r="880" customFormat="false" ht="25.5" hidden="false" customHeight="true" outlineLevel="0" collapsed="false">
      <c r="A880" s="10" t="s">
        <v>6838</v>
      </c>
      <c r="B880" s="9" t="n">
        <v>1</v>
      </c>
      <c r="C880" s="10" t="s">
        <v>3842</v>
      </c>
      <c r="D880" s="10" t="s">
        <v>5683</v>
      </c>
      <c r="E880" s="10" t="s">
        <v>3855</v>
      </c>
    </row>
    <row r="881" customFormat="false" ht="25.5" hidden="false" customHeight="true" outlineLevel="0" collapsed="false">
      <c r="A881" s="10" t="s">
        <v>6839</v>
      </c>
      <c r="B881" s="9" t="n">
        <v>1</v>
      </c>
      <c r="C881" s="10" t="s">
        <v>2713</v>
      </c>
      <c r="D881" s="10" t="s">
        <v>6125</v>
      </c>
      <c r="E881" s="10" t="s">
        <v>3279</v>
      </c>
    </row>
    <row r="882" customFormat="false" ht="25.5" hidden="false" customHeight="true" outlineLevel="0" collapsed="false">
      <c r="A882" s="10" t="s">
        <v>6840</v>
      </c>
      <c r="B882" s="9" t="n">
        <v>1</v>
      </c>
      <c r="C882" s="10" t="s">
        <v>4203</v>
      </c>
      <c r="D882" s="10" t="s">
        <v>6416</v>
      </c>
      <c r="E882" s="10" t="s">
        <v>4529</v>
      </c>
    </row>
    <row r="883" customFormat="false" ht="25.5" hidden="false" customHeight="true" outlineLevel="0" collapsed="false">
      <c r="A883" s="10" t="s">
        <v>6841</v>
      </c>
      <c r="B883" s="9" t="n">
        <v>1</v>
      </c>
      <c r="C883" s="10" t="s">
        <v>4203</v>
      </c>
      <c r="D883" s="10" t="s">
        <v>5662</v>
      </c>
      <c r="E883" s="10" t="s">
        <v>4428</v>
      </c>
    </row>
    <row r="884" customFormat="false" ht="25.5" hidden="false" customHeight="true" outlineLevel="0" collapsed="false">
      <c r="A884" s="10" t="s">
        <v>6842</v>
      </c>
      <c r="B884" s="9" t="n">
        <v>1</v>
      </c>
      <c r="C884" s="10" t="s">
        <v>59</v>
      </c>
      <c r="D884" s="10" t="s">
        <v>235</v>
      </c>
      <c r="E884" s="10" t="s">
        <v>535</v>
      </c>
    </row>
    <row r="885" customFormat="false" ht="25.5" hidden="false" customHeight="true" outlineLevel="0" collapsed="false">
      <c r="A885" s="10" t="s">
        <v>6843</v>
      </c>
      <c r="B885" s="9" t="n">
        <v>1</v>
      </c>
      <c r="C885" s="10" t="s">
        <v>2713</v>
      </c>
      <c r="D885" s="10" t="s">
        <v>6053</v>
      </c>
      <c r="E885" s="10" t="s">
        <v>3219</v>
      </c>
    </row>
    <row r="886" customFormat="false" ht="25.5" hidden="false" customHeight="true" outlineLevel="0" collapsed="false">
      <c r="A886" s="10" t="s">
        <v>6844</v>
      </c>
      <c r="B886" s="9" t="n">
        <v>1</v>
      </c>
      <c r="C886" s="10" t="s">
        <v>837</v>
      </c>
      <c r="D886" s="10" t="s">
        <v>6070</v>
      </c>
      <c r="E886" s="10" t="s">
        <v>1298</v>
      </c>
    </row>
    <row r="887" customFormat="false" ht="25.5" hidden="false" customHeight="true" outlineLevel="0" collapsed="false">
      <c r="A887" s="10" t="s">
        <v>6845</v>
      </c>
      <c r="B887" s="9" t="n">
        <v>1</v>
      </c>
      <c r="C887" s="10" t="s">
        <v>837</v>
      </c>
      <c r="D887" s="10" t="s">
        <v>6846</v>
      </c>
      <c r="E887" s="10" t="s">
        <v>1420</v>
      </c>
    </row>
    <row r="888" customFormat="false" ht="25.5" hidden="false" customHeight="true" outlineLevel="0" collapsed="false">
      <c r="A888" s="10" t="s">
        <v>6847</v>
      </c>
      <c r="B888" s="9" t="n">
        <v>1</v>
      </c>
      <c r="C888" s="10" t="s">
        <v>837</v>
      </c>
      <c r="D888" s="10" t="s">
        <v>6846</v>
      </c>
      <c r="E888" s="10" t="s">
        <v>1420</v>
      </c>
    </row>
    <row r="889" customFormat="false" ht="25.5" hidden="false" customHeight="true" outlineLevel="0" collapsed="false">
      <c r="A889" s="10" t="s">
        <v>6848</v>
      </c>
      <c r="B889" s="9" t="n">
        <v>1</v>
      </c>
      <c r="C889" s="10" t="s">
        <v>837</v>
      </c>
      <c r="D889" s="10" t="s">
        <v>6846</v>
      </c>
      <c r="E889" s="10" t="s">
        <v>1420</v>
      </c>
    </row>
    <row r="890" customFormat="false" ht="25.5" hidden="false" customHeight="true" outlineLevel="0" collapsed="false">
      <c r="A890" s="10" t="s">
        <v>6849</v>
      </c>
      <c r="B890" s="9" t="n">
        <v>1</v>
      </c>
      <c r="C890" s="10" t="s">
        <v>837</v>
      </c>
      <c r="D890" s="10" t="s">
        <v>5614</v>
      </c>
      <c r="E890" s="10" t="s">
        <v>1460</v>
      </c>
    </row>
    <row r="891" customFormat="false" ht="25.5" hidden="false" customHeight="true" outlineLevel="0" collapsed="false">
      <c r="A891" s="10" t="s">
        <v>6850</v>
      </c>
      <c r="B891" s="9" t="n">
        <v>1</v>
      </c>
      <c r="C891" s="10" t="s">
        <v>4949</v>
      </c>
      <c r="D891" s="10" t="s">
        <v>6606</v>
      </c>
      <c r="E891" s="10" t="s">
        <v>5207</v>
      </c>
    </row>
    <row r="892" customFormat="false" ht="25.5" hidden="false" customHeight="true" outlineLevel="0" collapsed="false">
      <c r="A892" s="10" t="s">
        <v>6851</v>
      </c>
      <c r="B892" s="9" t="n">
        <v>1</v>
      </c>
      <c r="C892" s="10" t="s">
        <v>4949</v>
      </c>
      <c r="D892" s="10" t="s">
        <v>6606</v>
      </c>
      <c r="E892" s="10" t="s">
        <v>5207</v>
      </c>
    </row>
    <row r="893" customFormat="false" ht="25.5" hidden="false" customHeight="true" outlineLevel="0" collapsed="false">
      <c r="A893" s="10" t="s">
        <v>6852</v>
      </c>
      <c r="B893" s="9" t="n">
        <v>1</v>
      </c>
      <c r="C893" s="10" t="s">
        <v>3842</v>
      </c>
      <c r="D893" s="10" t="s">
        <v>6106</v>
      </c>
      <c r="E893" s="10" t="s">
        <v>4099</v>
      </c>
    </row>
    <row r="894" customFormat="false" ht="25.5" hidden="false" customHeight="true" outlineLevel="0" collapsed="false">
      <c r="A894" s="10" t="s">
        <v>6853</v>
      </c>
      <c r="B894" s="9" t="n">
        <v>1</v>
      </c>
      <c r="C894" s="10" t="s">
        <v>3842</v>
      </c>
      <c r="D894" s="10" t="s">
        <v>6106</v>
      </c>
      <c r="E894" s="10" t="s">
        <v>4099</v>
      </c>
    </row>
    <row r="895" customFormat="false" ht="25.5" hidden="false" customHeight="true" outlineLevel="0" collapsed="false">
      <c r="A895" s="10" t="s">
        <v>6854</v>
      </c>
      <c r="B895" s="9" t="n">
        <v>1</v>
      </c>
      <c r="C895" s="10" t="s">
        <v>2713</v>
      </c>
      <c r="D895" s="10" t="s">
        <v>6817</v>
      </c>
      <c r="E895" s="10" t="s">
        <v>3242</v>
      </c>
    </row>
    <row r="896" customFormat="false" ht="25.5" hidden="false" customHeight="true" outlineLevel="0" collapsed="false">
      <c r="A896" s="10" t="s">
        <v>6855</v>
      </c>
      <c r="B896" s="9" t="n">
        <v>1</v>
      </c>
      <c r="C896" s="10" t="s">
        <v>59</v>
      </c>
      <c r="D896" s="10" t="s">
        <v>6856</v>
      </c>
      <c r="E896" s="10" t="s">
        <v>123</v>
      </c>
    </row>
    <row r="897" customFormat="false" ht="25.5" hidden="false" customHeight="true" outlineLevel="0" collapsed="false">
      <c r="A897" s="10" t="s">
        <v>6857</v>
      </c>
      <c r="B897" s="9" t="n">
        <v>1</v>
      </c>
      <c r="C897" s="10" t="s">
        <v>2713</v>
      </c>
      <c r="D897" s="10" t="s">
        <v>6858</v>
      </c>
      <c r="E897" s="10" t="s">
        <v>2794</v>
      </c>
    </row>
    <row r="898" customFormat="false" ht="25.5" hidden="false" customHeight="true" outlineLevel="0" collapsed="false">
      <c r="A898" s="10" t="s">
        <v>6859</v>
      </c>
      <c r="B898" s="9" t="n">
        <v>1</v>
      </c>
      <c r="C898" s="10" t="s">
        <v>59</v>
      </c>
      <c r="D898" s="10" t="s">
        <v>6072</v>
      </c>
      <c r="E898" s="10" t="s">
        <v>137</v>
      </c>
    </row>
    <row r="899" customFormat="false" ht="25.5" hidden="false" customHeight="true" outlineLevel="0" collapsed="false">
      <c r="A899" s="10" t="s">
        <v>6860</v>
      </c>
      <c r="B899" s="9" t="n">
        <v>1</v>
      </c>
      <c r="C899" s="10" t="s">
        <v>59</v>
      </c>
      <c r="D899" s="10" t="s">
        <v>6856</v>
      </c>
      <c r="E899" s="10" t="s">
        <v>123</v>
      </c>
    </row>
    <row r="900" customFormat="false" ht="25.5" hidden="false" customHeight="true" outlineLevel="0" collapsed="false">
      <c r="A900" s="10" t="s">
        <v>6861</v>
      </c>
      <c r="B900" s="9" t="n">
        <v>1</v>
      </c>
      <c r="C900" s="10" t="s">
        <v>3291</v>
      </c>
      <c r="D900" s="10" t="s">
        <v>6104</v>
      </c>
      <c r="E900" s="10" t="s">
        <v>3446</v>
      </c>
    </row>
    <row r="901" customFormat="false" ht="25.5" hidden="false" customHeight="true" outlineLevel="0" collapsed="false">
      <c r="A901" s="10" t="s">
        <v>6862</v>
      </c>
      <c r="B901" s="9" t="n">
        <v>1</v>
      </c>
      <c r="C901" s="10" t="s">
        <v>3291</v>
      </c>
      <c r="D901" s="10" t="s">
        <v>6104</v>
      </c>
      <c r="E901" s="10" t="s">
        <v>3446</v>
      </c>
    </row>
    <row r="902" customFormat="false" ht="25.5" hidden="false" customHeight="true" outlineLevel="0" collapsed="false">
      <c r="A902" s="10" t="s">
        <v>6863</v>
      </c>
      <c r="B902" s="9" t="n">
        <v>1</v>
      </c>
      <c r="C902" s="10" t="s">
        <v>4203</v>
      </c>
      <c r="D902" s="10" t="s">
        <v>6801</v>
      </c>
      <c r="E902" s="10" t="s">
        <v>4453</v>
      </c>
    </row>
    <row r="903" customFormat="false" ht="25.5" hidden="false" customHeight="true" outlineLevel="0" collapsed="false">
      <c r="A903" s="10" t="s">
        <v>6864</v>
      </c>
      <c r="B903" s="9" t="n">
        <v>1</v>
      </c>
      <c r="C903" s="10" t="s">
        <v>3291</v>
      </c>
      <c r="D903" s="10" t="s">
        <v>6714</v>
      </c>
      <c r="E903" s="10" t="s">
        <v>3722</v>
      </c>
    </row>
    <row r="904" customFormat="false" ht="25.5" hidden="false" customHeight="true" outlineLevel="0" collapsed="false">
      <c r="A904" s="10" t="s">
        <v>6865</v>
      </c>
      <c r="B904" s="9" t="n">
        <v>1</v>
      </c>
      <c r="C904" s="10" t="s">
        <v>4582</v>
      </c>
      <c r="D904" s="10" t="s">
        <v>6453</v>
      </c>
      <c r="E904" s="10" t="s">
        <v>4608</v>
      </c>
    </row>
    <row r="905" customFormat="false" ht="25.5" hidden="false" customHeight="true" outlineLevel="0" collapsed="false">
      <c r="A905" s="10" t="s">
        <v>6866</v>
      </c>
      <c r="B905" s="9" t="n">
        <v>1</v>
      </c>
      <c r="C905" s="10" t="s">
        <v>3842</v>
      </c>
      <c r="D905" s="10" t="s">
        <v>6006</v>
      </c>
      <c r="E905" s="10" t="s">
        <v>3956</v>
      </c>
    </row>
    <row r="906" customFormat="false" ht="25.5" hidden="false" customHeight="true" outlineLevel="0" collapsed="false">
      <c r="A906" s="10" t="s">
        <v>6867</v>
      </c>
      <c r="B906" s="9" t="n">
        <v>1</v>
      </c>
      <c r="C906" s="10" t="s">
        <v>4582</v>
      </c>
      <c r="D906" s="10" t="s">
        <v>6453</v>
      </c>
      <c r="E906" s="10" t="s">
        <v>4608</v>
      </c>
    </row>
    <row r="907" customFormat="false" ht="25.5" hidden="false" customHeight="true" outlineLevel="0" collapsed="false">
      <c r="A907" s="10" t="s">
        <v>6868</v>
      </c>
      <c r="B907" s="9" t="n">
        <v>1</v>
      </c>
      <c r="C907" s="10" t="s">
        <v>4582</v>
      </c>
      <c r="D907" s="10" t="s">
        <v>6453</v>
      </c>
      <c r="E907" s="10" t="s">
        <v>4608</v>
      </c>
    </row>
    <row r="908" customFormat="false" ht="25.5" hidden="false" customHeight="true" outlineLevel="0" collapsed="false">
      <c r="A908" s="10" t="s">
        <v>6869</v>
      </c>
      <c r="B908" s="9" t="n">
        <v>1</v>
      </c>
      <c r="C908" s="10" t="s">
        <v>4582</v>
      </c>
      <c r="D908" s="10" t="s">
        <v>6453</v>
      </c>
      <c r="E908" s="10" t="s">
        <v>4608</v>
      </c>
    </row>
    <row r="909" customFormat="false" ht="25.5" hidden="false" customHeight="true" outlineLevel="0" collapsed="false">
      <c r="A909" s="10" t="s">
        <v>6870</v>
      </c>
      <c r="B909" s="9" t="n">
        <v>1</v>
      </c>
      <c r="C909" s="10" t="s">
        <v>3291</v>
      </c>
      <c r="D909" s="10" t="s">
        <v>6714</v>
      </c>
      <c r="E909" s="10" t="s">
        <v>3722</v>
      </c>
    </row>
    <row r="910" customFormat="false" ht="25.5" hidden="false" customHeight="true" outlineLevel="0" collapsed="false">
      <c r="A910" s="10" t="s">
        <v>6871</v>
      </c>
      <c r="B910" s="9" t="n">
        <v>1</v>
      </c>
      <c r="C910" s="10" t="s">
        <v>4203</v>
      </c>
      <c r="D910" s="10" t="s">
        <v>6526</v>
      </c>
      <c r="E910" s="10" t="s">
        <v>4466</v>
      </c>
    </row>
    <row r="911" customFormat="false" ht="25.5" hidden="false" customHeight="true" outlineLevel="0" collapsed="false">
      <c r="A911" s="10" t="s">
        <v>6872</v>
      </c>
      <c r="B911" s="9" t="n">
        <v>1</v>
      </c>
      <c r="C911" s="10" t="s">
        <v>4203</v>
      </c>
      <c r="D911" s="10" t="s">
        <v>6541</v>
      </c>
      <c r="E911" s="10" t="s">
        <v>4256</v>
      </c>
    </row>
    <row r="912" customFormat="false" ht="25.5" hidden="false" customHeight="true" outlineLevel="0" collapsed="false">
      <c r="A912" s="10" t="s">
        <v>6873</v>
      </c>
      <c r="B912" s="9" t="n">
        <v>1</v>
      </c>
      <c r="C912" s="10" t="s">
        <v>4203</v>
      </c>
      <c r="D912" s="10" t="s">
        <v>6275</v>
      </c>
      <c r="E912" s="10" t="s">
        <v>4330</v>
      </c>
    </row>
    <row r="913" customFormat="false" ht="25.5" hidden="false" customHeight="true" outlineLevel="0" collapsed="false">
      <c r="A913" s="10" t="s">
        <v>6874</v>
      </c>
      <c r="B913" s="9" t="n">
        <v>1</v>
      </c>
      <c r="C913" s="10" t="s">
        <v>59</v>
      </c>
      <c r="D913" s="10" t="s">
        <v>6148</v>
      </c>
      <c r="E913" s="10" t="s">
        <v>759</v>
      </c>
    </row>
    <row r="914" customFormat="false" ht="25.5" hidden="false" customHeight="true" outlineLevel="0" collapsed="false">
      <c r="A914" s="10" t="s">
        <v>6875</v>
      </c>
      <c r="B914" s="9" t="n">
        <v>1</v>
      </c>
      <c r="C914" s="10" t="s">
        <v>837</v>
      </c>
      <c r="D914" s="10" t="s">
        <v>5749</v>
      </c>
      <c r="E914" s="10" t="s">
        <v>1407</v>
      </c>
    </row>
    <row r="915" customFormat="false" ht="25.5" hidden="false" customHeight="true" outlineLevel="0" collapsed="false">
      <c r="A915" s="10" t="s">
        <v>6876</v>
      </c>
      <c r="B915" s="9" t="n">
        <v>1</v>
      </c>
      <c r="C915" s="10" t="s">
        <v>59</v>
      </c>
      <c r="D915" s="10" t="s">
        <v>5907</v>
      </c>
      <c r="E915" s="10" t="s">
        <v>512</v>
      </c>
    </row>
    <row r="916" customFormat="false" ht="25.5" hidden="false" customHeight="true" outlineLevel="0" collapsed="false">
      <c r="A916" s="10" t="s">
        <v>6877</v>
      </c>
      <c r="B916" s="9" t="n">
        <v>1</v>
      </c>
      <c r="C916" s="10" t="s">
        <v>3291</v>
      </c>
      <c r="D916" s="10" t="s">
        <v>6814</v>
      </c>
      <c r="E916" s="10" t="s">
        <v>3815</v>
      </c>
    </row>
    <row r="917" customFormat="false" ht="25.5" hidden="false" customHeight="true" outlineLevel="0" collapsed="false">
      <c r="A917" s="10" t="s">
        <v>6878</v>
      </c>
      <c r="B917" s="9" t="n">
        <v>1</v>
      </c>
      <c r="C917" s="10" t="s">
        <v>3291</v>
      </c>
      <c r="D917" s="10" t="s">
        <v>6832</v>
      </c>
      <c r="E917" s="10" t="s">
        <v>3579</v>
      </c>
    </row>
    <row r="918" customFormat="false" ht="25.5" hidden="false" customHeight="true" outlineLevel="0" collapsed="false">
      <c r="A918" s="10" t="s">
        <v>6879</v>
      </c>
      <c r="B918" s="9" t="n">
        <v>1</v>
      </c>
      <c r="C918" s="10" t="s">
        <v>3291</v>
      </c>
      <c r="D918" s="10" t="s">
        <v>6475</v>
      </c>
      <c r="E918" s="10" t="s">
        <v>3761</v>
      </c>
    </row>
    <row r="919" customFormat="false" ht="25.5" hidden="false" customHeight="true" outlineLevel="0" collapsed="false">
      <c r="A919" s="10" t="s">
        <v>6880</v>
      </c>
      <c r="B919" s="9" t="n">
        <v>1</v>
      </c>
      <c r="C919" s="10" t="s">
        <v>3291</v>
      </c>
      <c r="D919" s="10" t="s">
        <v>6832</v>
      </c>
      <c r="E919" s="10" t="s">
        <v>3579</v>
      </c>
    </row>
    <row r="920" customFormat="false" ht="25.5" hidden="false" customHeight="true" outlineLevel="0" collapsed="false">
      <c r="A920" s="10" t="s">
        <v>6881</v>
      </c>
      <c r="B920" s="9" t="n">
        <v>1</v>
      </c>
      <c r="C920" s="10" t="s">
        <v>3291</v>
      </c>
      <c r="D920" s="10" t="s">
        <v>6832</v>
      </c>
      <c r="E920" s="10" t="s">
        <v>3579</v>
      </c>
    </row>
    <row r="921" customFormat="false" ht="25.5" hidden="false" customHeight="true" outlineLevel="0" collapsed="false">
      <c r="A921" s="10" t="s">
        <v>6882</v>
      </c>
      <c r="B921" s="9" t="n">
        <v>1</v>
      </c>
      <c r="C921" s="10" t="s">
        <v>59</v>
      </c>
      <c r="D921" s="10" t="s">
        <v>6333</v>
      </c>
      <c r="E921" s="10" t="s">
        <v>786</v>
      </c>
    </row>
    <row r="922" customFormat="false" ht="25.5" hidden="false" customHeight="true" outlineLevel="0" collapsed="false">
      <c r="A922" s="10" t="s">
        <v>6883</v>
      </c>
      <c r="B922" s="9" t="n">
        <v>1</v>
      </c>
      <c r="C922" s="10" t="s">
        <v>837</v>
      </c>
      <c r="D922" s="10" t="s">
        <v>5614</v>
      </c>
      <c r="E922" s="10" t="s">
        <v>1460</v>
      </c>
    </row>
    <row r="923" customFormat="false" ht="25.5" hidden="false" customHeight="true" outlineLevel="0" collapsed="false">
      <c r="A923" s="10" t="s">
        <v>6884</v>
      </c>
      <c r="B923" s="9" t="n">
        <v>1</v>
      </c>
      <c r="C923" s="10" t="s">
        <v>4949</v>
      </c>
      <c r="D923" s="10" t="s">
        <v>5614</v>
      </c>
      <c r="E923" s="10" t="s">
        <v>4977</v>
      </c>
    </row>
    <row r="924" customFormat="false" ht="25.5" hidden="false" customHeight="true" outlineLevel="0" collapsed="false">
      <c r="A924" s="10" t="s">
        <v>6885</v>
      </c>
      <c r="B924" s="9" t="n">
        <v>1</v>
      </c>
      <c r="C924" s="10" t="s">
        <v>4949</v>
      </c>
      <c r="D924" s="10" t="s">
        <v>5614</v>
      </c>
      <c r="E924" s="10" t="s">
        <v>4977</v>
      </c>
    </row>
    <row r="925" customFormat="false" ht="25.5" hidden="false" customHeight="true" outlineLevel="0" collapsed="false">
      <c r="A925" s="10" t="s">
        <v>6886</v>
      </c>
      <c r="B925" s="9" t="n">
        <v>1</v>
      </c>
      <c r="C925" s="10" t="s">
        <v>3291</v>
      </c>
      <c r="D925" s="10" t="s">
        <v>5999</v>
      </c>
      <c r="E925" s="10" t="s">
        <v>3290</v>
      </c>
    </row>
    <row r="926" customFormat="false" ht="25.5" hidden="false" customHeight="true" outlineLevel="0" collapsed="false">
      <c r="A926" s="10" t="s">
        <v>6887</v>
      </c>
      <c r="B926" s="9" t="n">
        <v>1</v>
      </c>
      <c r="C926" s="10" t="s">
        <v>3291</v>
      </c>
      <c r="D926" s="10" t="s">
        <v>5999</v>
      </c>
      <c r="E926" s="10" t="s">
        <v>3290</v>
      </c>
    </row>
    <row r="927" customFormat="false" ht="25.5" hidden="false" customHeight="true" outlineLevel="0" collapsed="false">
      <c r="A927" s="10" t="s">
        <v>6888</v>
      </c>
      <c r="B927" s="9" t="n">
        <v>1</v>
      </c>
      <c r="C927" s="10" t="s">
        <v>3291</v>
      </c>
      <c r="D927" s="10" t="s">
        <v>5999</v>
      </c>
      <c r="E927" s="10" t="s">
        <v>3290</v>
      </c>
    </row>
    <row r="928" customFormat="false" ht="25.5" hidden="false" customHeight="true" outlineLevel="0" collapsed="false">
      <c r="A928" s="10" t="s">
        <v>6889</v>
      </c>
      <c r="B928" s="9" t="n">
        <v>1</v>
      </c>
      <c r="C928" s="10" t="s">
        <v>1500</v>
      </c>
      <c r="D928" s="10" t="s">
        <v>6156</v>
      </c>
      <c r="E928" s="10" t="s">
        <v>2026</v>
      </c>
    </row>
    <row r="929" customFormat="false" ht="25.5" hidden="false" customHeight="true" outlineLevel="0" collapsed="false">
      <c r="A929" s="10" t="s">
        <v>6890</v>
      </c>
      <c r="B929" s="9" t="n">
        <v>1</v>
      </c>
      <c r="C929" s="10" t="s">
        <v>4582</v>
      </c>
      <c r="D929" s="10" t="s">
        <v>6581</v>
      </c>
      <c r="E929" s="10" t="s">
        <v>4936</v>
      </c>
    </row>
    <row r="930" customFormat="false" ht="25.5" hidden="false" customHeight="true" outlineLevel="0" collapsed="false">
      <c r="A930" s="10" t="s">
        <v>6891</v>
      </c>
      <c r="B930" s="9" t="n">
        <v>1</v>
      </c>
      <c r="C930" s="10" t="s">
        <v>4582</v>
      </c>
      <c r="D930" s="10" t="s">
        <v>6638</v>
      </c>
      <c r="E930" s="10" t="s">
        <v>4740</v>
      </c>
    </row>
    <row r="931" customFormat="false" ht="25.5" hidden="false" customHeight="true" outlineLevel="0" collapsed="false">
      <c r="A931" s="10" t="s">
        <v>6892</v>
      </c>
      <c r="B931" s="9" t="n">
        <v>1</v>
      </c>
      <c r="C931" s="10" t="s">
        <v>4203</v>
      </c>
      <c r="D931" s="10" t="s">
        <v>6504</v>
      </c>
      <c r="E931" s="10" t="s">
        <v>4478</v>
      </c>
    </row>
    <row r="932" customFormat="false" ht="25.5" hidden="false" customHeight="true" outlineLevel="0" collapsed="false">
      <c r="A932" s="10" t="s">
        <v>6893</v>
      </c>
      <c r="B932" s="9" t="n">
        <v>1</v>
      </c>
      <c r="C932" s="10" t="s">
        <v>3291</v>
      </c>
      <c r="D932" s="10" t="s">
        <v>6162</v>
      </c>
      <c r="E932" s="10" t="s">
        <v>3328</v>
      </c>
    </row>
    <row r="933" customFormat="false" ht="25.5" hidden="false" customHeight="true" outlineLevel="0" collapsed="false">
      <c r="A933" s="10" t="s">
        <v>6894</v>
      </c>
      <c r="B933" s="9" t="n">
        <v>1</v>
      </c>
      <c r="C933" s="10" t="s">
        <v>4203</v>
      </c>
      <c r="D933" s="10" t="s">
        <v>6756</v>
      </c>
      <c r="E933" s="10" t="s">
        <v>4367</v>
      </c>
    </row>
    <row r="934" customFormat="false" ht="25.5" hidden="false" customHeight="true" outlineLevel="0" collapsed="false">
      <c r="A934" s="10" t="s">
        <v>6895</v>
      </c>
      <c r="B934" s="9" t="n">
        <v>1</v>
      </c>
      <c r="C934" s="10" t="s">
        <v>1500</v>
      </c>
      <c r="D934" s="10" t="s">
        <v>6896</v>
      </c>
      <c r="E934" s="10" t="s">
        <v>2064</v>
      </c>
    </row>
    <row r="935" customFormat="false" ht="25.5" hidden="false" customHeight="true" outlineLevel="0" collapsed="false">
      <c r="A935" s="10" t="s">
        <v>6897</v>
      </c>
      <c r="B935" s="9" t="n">
        <v>1</v>
      </c>
      <c r="C935" s="10" t="s">
        <v>1500</v>
      </c>
      <c r="D935" s="10" t="s">
        <v>6173</v>
      </c>
      <c r="E935" s="10" t="s">
        <v>1640</v>
      </c>
    </row>
    <row r="936" customFormat="false" ht="25.5" hidden="false" customHeight="true" outlineLevel="0" collapsed="false">
      <c r="A936" s="10" t="s">
        <v>6898</v>
      </c>
      <c r="B936" s="9" t="n">
        <v>1</v>
      </c>
      <c r="C936" s="10" t="s">
        <v>4203</v>
      </c>
      <c r="D936" s="10" t="s">
        <v>6522</v>
      </c>
      <c r="E936" s="10" t="s">
        <v>4517</v>
      </c>
    </row>
    <row r="937" customFormat="false" ht="25.5" hidden="false" customHeight="true" outlineLevel="0" collapsed="false">
      <c r="A937" s="10" t="s">
        <v>6899</v>
      </c>
      <c r="B937" s="9" t="n">
        <v>1</v>
      </c>
      <c r="C937" s="10" t="s">
        <v>4949</v>
      </c>
      <c r="D937" s="10" t="s">
        <v>5972</v>
      </c>
      <c r="E937" s="10" t="s">
        <v>5112</v>
      </c>
    </row>
    <row r="938" customFormat="false" ht="25.5" hidden="false" customHeight="true" outlineLevel="0" collapsed="false">
      <c r="A938" s="10" t="s">
        <v>6900</v>
      </c>
      <c r="B938" s="9" t="n">
        <v>1</v>
      </c>
      <c r="C938" s="10" t="s">
        <v>4949</v>
      </c>
      <c r="D938" s="10" t="s">
        <v>6901</v>
      </c>
      <c r="E938" s="10" t="s">
        <v>4963</v>
      </c>
    </row>
    <row r="939" customFormat="false" ht="25.5" hidden="false" customHeight="true" outlineLevel="0" collapsed="false">
      <c r="A939" s="10" t="s">
        <v>6902</v>
      </c>
      <c r="B939" s="9" t="n">
        <v>1</v>
      </c>
      <c r="C939" s="10" t="s">
        <v>4582</v>
      </c>
      <c r="D939" s="10" t="s">
        <v>5770</v>
      </c>
      <c r="E939" s="10" t="s">
        <v>4795</v>
      </c>
    </row>
    <row r="940" customFormat="false" ht="25.5" hidden="false" customHeight="true" outlineLevel="0" collapsed="false">
      <c r="A940" s="10" t="s">
        <v>6903</v>
      </c>
      <c r="B940" s="9" t="n">
        <v>1</v>
      </c>
      <c r="C940" s="10" t="s">
        <v>4203</v>
      </c>
      <c r="D940" s="10" t="s">
        <v>5662</v>
      </c>
      <c r="E940" s="10" t="s">
        <v>4428</v>
      </c>
    </row>
    <row r="941" customFormat="false" ht="25.5" hidden="false" customHeight="true" outlineLevel="0" collapsed="false">
      <c r="A941" s="10" t="s">
        <v>6904</v>
      </c>
      <c r="B941" s="9" t="n">
        <v>1</v>
      </c>
      <c r="C941" s="10" t="s">
        <v>4949</v>
      </c>
      <c r="D941" s="10" t="s">
        <v>6237</v>
      </c>
      <c r="E941" s="10" t="s">
        <v>4948</v>
      </c>
    </row>
    <row r="942" customFormat="false" ht="25.5" hidden="false" customHeight="true" outlineLevel="0" collapsed="false">
      <c r="A942" s="10" t="s">
        <v>6905</v>
      </c>
      <c r="B942" s="9" t="n">
        <v>1</v>
      </c>
      <c r="C942" s="10" t="s">
        <v>2140</v>
      </c>
      <c r="D942" s="10" t="s">
        <v>2578</v>
      </c>
      <c r="E942" s="10" t="s">
        <v>2569</v>
      </c>
    </row>
    <row r="943" customFormat="false" ht="25.5" hidden="false" customHeight="true" outlineLevel="0" collapsed="false">
      <c r="A943" s="10" t="s">
        <v>6906</v>
      </c>
      <c r="B943" s="9" t="n">
        <v>1</v>
      </c>
      <c r="C943" s="10" t="s">
        <v>4949</v>
      </c>
      <c r="D943" s="10" t="s">
        <v>6396</v>
      </c>
      <c r="E943" s="10" t="s">
        <v>5058</v>
      </c>
    </row>
    <row r="944" customFormat="false" ht="25.5" hidden="false" customHeight="true" outlineLevel="0" collapsed="false">
      <c r="A944" s="10" t="s">
        <v>6907</v>
      </c>
      <c r="B944" s="9" t="n">
        <v>1</v>
      </c>
      <c r="C944" s="10" t="s">
        <v>4203</v>
      </c>
      <c r="D944" s="10" t="s">
        <v>6673</v>
      </c>
      <c r="E944" s="10" t="s">
        <v>4392</v>
      </c>
    </row>
    <row r="945" customFormat="false" ht="25.5" hidden="false" customHeight="true" outlineLevel="0" collapsed="false">
      <c r="A945" s="10" t="s">
        <v>6908</v>
      </c>
      <c r="B945" s="9" t="n">
        <v>1</v>
      </c>
      <c r="C945" s="10" t="s">
        <v>4949</v>
      </c>
      <c r="D945" s="10" t="s">
        <v>6043</v>
      </c>
      <c r="E945" s="10" t="s">
        <v>5044</v>
      </c>
    </row>
    <row r="946" customFormat="false" ht="25.5" hidden="false" customHeight="true" outlineLevel="0" collapsed="false">
      <c r="A946" s="10" t="s">
        <v>6909</v>
      </c>
      <c r="B946" s="9" t="n">
        <v>1</v>
      </c>
      <c r="C946" s="10" t="s">
        <v>4582</v>
      </c>
      <c r="D946" s="10" t="s">
        <v>6910</v>
      </c>
      <c r="E946" s="10" t="s">
        <v>4818</v>
      </c>
    </row>
    <row r="947" customFormat="false" ht="25.5" hidden="false" customHeight="true" outlineLevel="0" collapsed="false">
      <c r="A947" s="10" t="s">
        <v>6911</v>
      </c>
      <c r="B947" s="9" t="n">
        <v>1</v>
      </c>
      <c r="C947" s="10" t="s">
        <v>1500</v>
      </c>
      <c r="D947" s="10" t="s">
        <v>6265</v>
      </c>
      <c r="E947" s="10" t="s">
        <v>1975</v>
      </c>
    </row>
    <row r="948" customFormat="false" ht="25.5" hidden="false" customHeight="true" outlineLevel="0" collapsed="false">
      <c r="A948" s="10" t="s">
        <v>6912</v>
      </c>
      <c r="B948" s="9" t="n">
        <v>1</v>
      </c>
      <c r="C948" s="10" t="s">
        <v>4949</v>
      </c>
      <c r="D948" s="10" t="s">
        <v>6788</v>
      </c>
      <c r="E948" s="10" t="s">
        <v>5220</v>
      </c>
    </row>
    <row r="949" customFormat="false" ht="25.5" hidden="false" customHeight="true" outlineLevel="0" collapsed="false">
      <c r="A949" s="10" t="s">
        <v>6913</v>
      </c>
      <c r="B949" s="9" t="n">
        <v>1</v>
      </c>
      <c r="C949" s="10" t="s">
        <v>4949</v>
      </c>
      <c r="D949" s="10" t="s">
        <v>6141</v>
      </c>
      <c r="E949" s="10" t="s">
        <v>4990</v>
      </c>
    </row>
    <row r="950" customFormat="false" ht="25.5" hidden="false" customHeight="true" outlineLevel="0" collapsed="false">
      <c r="A950" s="10" t="s">
        <v>6914</v>
      </c>
      <c r="B950" s="9" t="n">
        <v>1</v>
      </c>
      <c r="C950" s="10" t="s">
        <v>59</v>
      </c>
      <c r="D950" s="10" t="s">
        <v>6248</v>
      </c>
      <c r="E950" s="10" t="s">
        <v>586</v>
      </c>
    </row>
    <row r="951" customFormat="false" ht="25.5" hidden="false" customHeight="true" outlineLevel="0" collapsed="false">
      <c r="A951" s="10" t="s">
        <v>6915</v>
      </c>
      <c r="B951" s="9" t="n">
        <v>1</v>
      </c>
      <c r="C951" s="10" t="s">
        <v>2713</v>
      </c>
      <c r="D951" s="10" t="s">
        <v>6053</v>
      </c>
      <c r="E951" s="10" t="s">
        <v>3194</v>
      </c>
    </row>
    <row r="952" customFormat="false" ht="25.5" hidden="false" customHeight="true" outlineLevel="0" collapsed="false">
      <c r="A952" s="10" t="s">
        <v>6916</v>
      </c>
      <c r="B952" s="9" t="n">
        <v>1</v>
      </c>
      <c r="C952" s="10" t="s">
        <v>3842</v>
      </c>
      <c r="D952" s="10" t="s">
        <v>6111</v>
      </c>
      <c r="E952" s="10" t="s">
        <v>3983</v>
      </c>
    </row>
    <row r="953" customFormat="false" ht="25.5" hidden="false" customHeight="true" outlineLevel="0" collapsed="false">
      <c r="A953" s="10" t="s">
        <v>6917</v>
      </c>
      <c r="B953" s="9" t="n">
        <v>1</v>
      </c>
      <c r="C953" s="10" t="s">
        <v>59</v>
      </c>
      <c r="D953" s="10" t="s">
        <v>5907</v>
      </c>
      <c r="E953" s="10" t="s">
        <v>150</v>
      </c>
    </row>
    <row r="954" customFormat="false" ht="25.5" hidden="false" customHeight="true" outlineLevel="0" collapsed="false">
      <c r="A954" s="10" t="s">
        <v>6918</v>
      </c>
      <c r="B954" s="9" t="n">
        <v>1</v>
      </c>
      <c r="C954" s="10" t="s">
        <v>1500</v>
      </c>
      <c r="D954" s="10" t="s">
        <v>6694</v>
      </c>
      <c r="E954" s="10" t="s">
        <v>1615</v>
      </c>
    </row>
    <row r="955" customFormat="false" ht="25.5" hidden="false" customHeight="true" outlineLevel="0" collapsed="false">
      <c r="A955" s="10" t="s">
        <v>6919</v>
      </c>
      <c r="B955" s="9" t="n">
        <v>1</v>
      </c>
      <c r="C955" s="10" t="s">
        <v>2713</v>
      </c>
      <c r="D955" s="10" t="s">
        <v>5870</v>
      </c>
      <c r="E955" s="10" t="s">
        <v>2974</v>
      </c>
    </row>
    <row r="956" customFormat="false" ht="25.5" hidden="false" customHeight="true" outlineLevel="0" collapsed="false">
      <c r="A956" s="10" t="s">
        <v>6920</v>
      </c>
      <c r="B956" s="9" t="n">
        <v>1</v>
      </c>
      <c r="C956" s="10" t="s">
        <v>3291</v>
      </c>
      <c r="D956" s="10" t="s">
        <v>6921</v>
      </c>
      <c r="E956" s="10" t="s">
        <v>3500</v>
      </c>
    </row>
    <row r="957" customFormat="false" ht="25.5" hidden="false" customHeight="true" outlineLevel="0" collapsed="false">
      <c r="A957" s="10" t="s">
        <v>6922</v>
      </c>
      <c r="B957" s="9" t="n">
        <v>1</v>
      </c>
      <c r="C957" s="10" t="s">
        <v>3291</v>
      </c>
      <c r="D957" s="10" t="s">
        <v>6342</v>
      </c>
      <c r="E957" s="10" t="s">
        <v>3592</v>
      </c>
    </row>
    <row r="958" customFormat="false" ht="25.5" hidden="false" customHeight="true" outlineLevel="0" collapsed="false">
      <c r="A958" s="10" t="s">
        <v>6923</v>
      </c>
      <c r="B958" s="9" t="n">
        <v>1</v>
      </c>
      <c r="C958" s="10" t="s">
        <v>3291</v>
      </c>
      <c r="D958" s="10" t="s">
        <v>6921</v>
      </c>
      <c r="E958" s="10" t="s">
        <v>3500</v>
      </c>
    </row>
    <row r="959" customFormat="false" ht="25.5" hidden="false" customHeight="true" outlineLevel="0" collapsed="false">
      <c r="A959" s="10" t="s">
        <v>6924</v>
      </c>
      <c r="B959" s="9" t="n">
        <v>1</v>
      </c>
      <c r="C959" s="10" t="s">
        <v>3291</v>
      </c>
      <c r="D959" s="10" t="s">
        <v>6925</v>
      </c>
      <c r="E959" s="10" t="s">
        <v>3553</v>
      </c>
    </row>
    <row r="960" customFormat="false" ht="25.5" hidden="false" customHeight="true" outlineLevel="0" collapsed="false">
      <c r="A960" s="10" t="s">
        <v>6926</v>
      </c>
      <c r="B960" s="9" t="n">
        <v>1</v>
      </c>
      <c r="C960" s="10" t="s">
        <v>4949</v>
      </c>
      <c r="D960" s="10" t="s">
        <v>5149</v>
      </c>
      <c r="E960" s="10" t="s">
        <v>5167</v>
      </c>
    </row>
    <row r="961" customFormat="false" ht="25.5" hidden="false" customHeight="true" outlineLevel="0" collapsed="false">
      <c r="A961" s="10" t="s">
        <v>6927</v>
      </c>
      <c r="B961" s="9" t="n">
        <v>1</v>
      </c>
      <c r="C961" s="10" t="s">
        <v>4949</v>
      </c>
      <c r="D961" s="10" t="s">
        <v>5149</v>
      </c>
      <c r="E961" s="10" t="s">
        <v>5167</v>
      </c>
    </row>
    <row r="962" customFormat="false" ht="25.5" hidden="false" customHeight="true" outlineLevel="0" collapsed="false">
      <c r="A962" s="10" t="s">
        <v>6928</v>
      </c>
      <c r="B962" s="9" t="n">
        <v>1</v>
      </c>
      <c r="C962" s="10" t="s">
        <v>4949</v>
      </c>
      <c r="D962" s="10" t="s">
        <v>5149</v>
      </c>
      <c r="E962" s="10" t="s">
        <v>5167</v>
      </c>
    </row>
    <row r="963" customFormat="false" ht="25.5" hidden="false" customHeight="true" outlineLevel="0" collapsed="false">
      <c r="A963" s="10" t="s">
        <v>6929</v>
      </c>
      <c r="B963" s="9" t="n">
        <v>1</v>
      </c>
      <c r="C963" s="10" t="s">
        <v>3291</v>
      </c>
      <c r="D963" s="10" t="s">
        <v>6342</v>
      </c>
      <c r="E963" s="10" t="s">
        <v>3592</v>
      </c>
    </row>
    <row r="964" customFormat="false" ht="25.5" hidden="false" customHeight="true" outlineLevel="0" collapsed="false">
      <c r="A964" s="10" t="s">
        <v>6930</v>
      </c>
      <c r="B964" s="9" t="n">
        <v>1</v>
      </c>
      <c r="C964" s="10" t="s">
        <v>3291</v>
      </c>
      <c r="D964" s="10" t="s">
        <v>6931</v>
      </c>
      <c r="E964" s="10" t="s">
        <v>3527</v>
      </c>
    </row>
    <row r="965" customFormat="false" ht="25.5" hidden="false" customHeight="true" outlineLevel="0" collapsed="false">
      <c r="A965" s="10" t="s">
        <v>6932</v>
      </c>
      <c r="B965" s="9" t="n">
        <v>1</v>
      </c>
      <c r="C965" s="10" t="s">
        <v>3291</v>
      </c>
      <c r="D965" s="10" t="s">
        <v>6931</v>
      </c>
      <c r="E965" s="10" t="s">
        <v>3527</v>
      </c>
    </row>
    <row r="966" customFormat="false" ht="25.5" hidden="false" customHeight="true" outlineLevel="0" collapsed="false">
      <c r="A966" s="10" t="s">
        <v>6933</v>
      </c>
      <c r="B966" s="9" t="n">
        <v>1</v>
      </c>
      <c r="C966" s="10" t="s">
        <v>837</v>
      </c>
      <c r="D966" s="10" t="s">
        <v>5749</v>
      </c>
      <c r="E966" s="10" t="s">
        <v>1407</v>
      </c>
    </row>
    <row r="967" customFormat="false" ht="25.5" hidden="false" customHeight="true" outlineLevel="0" collapsed="false">
      <c r="A967" s="10" t="s">
        <v>6934</v>
      </c>
      <c r="B967" s="9" t="n">
        <v>1</v>
      </c>
      <c r="C967" s="10" t="s">
        <v>3291</v>
      </c>
      <c r="D967" s="10" t="s">
        <v>6931</v>
      </c>
      <c r="E967" s="10" t="s">
        <v>3527</v>
      </c>
    </row>
    <row r="968" customFormat="false" ht="25.5" hidden="false" customHeight="true" outlineLevel="0" collapsed="false">
      <c r="A968" s="10" t="s">
        <v>6935</v>
      </c>
      <c r="B968" s="9" t="n">
        <v>1</v>
      </c>
      <c r="C968" s="10" t="s">
        <v>837</v>
      </c>
      <c r="D968" s="10" t="s">
        <v>6846</v>
      </c>
      <c r="E968" s="10" t="s">
        <v>1420</v>
      </c>
    </row>
    <row r="969" customFormat="false" ht="25.5" hidden="false" customHeight="true" outlineLevel="0" collapsed="false">
      <c r="A969" s="10" t="s">
        <v>6936</v>
      </c>
      <c r="B969" s="9" t="n">
        <v>1</v>
      </c>
      <c r="C969" s="10" t="s">
        <v>4949</v>
      </c>
      <c r="D969" s="10" t="s">
        <v>6141</v>
      </c>
      <c r="E969" s="10" t="s">
        <v>4990</v>
      </c>
    </row>
    <row r="970" customFormat="false" ht="25.5" hidden="false" customHeight="true" outlineLevel="0" collapsed="false">
      <c r="A970" s="10" t="s">
        <v>6937</v>
      </c>
      <c r="B970" s="9" t="n">
        <v>1</v>
      </c>
      <c r="C970" s="10" t="s">
        <v>4949</v>
      </c>
      <c r="D970" s="10" t="s">
        <v>6141</v>
      </c>
      <c r="E970" s="10" t="s">
        <v>4990</v>
      </c>
    </row>
    <row r="971" customFormat="false" ht="25.5" hidden="false" customHeight="true" outlineLevel="0" collapsed="false">
      <c r="A971" s="10" t="s">
        <v>6938</v>
      </c>
      <c r="B971" s="9" t="n">
        <v>1</v>
      </c>
      <c r="C971" s="10" t="s">
        <v>837</v>
      </c>
      <c r="D971" s="10" t="s">
        <v>6268</v>
      </c>
      <c r="E971" s="10" t="s">
        <v>1074</v>
      </c>
    </row>
    <row r="972" customFormat="false" ht="25.5" hidden="false" customHeight="true" outlineLevel="0" collapsed="false">
      <c r="A972" s="10" t="s">
        <v>6939</v>
      </c>
      <c r="B972" s="9" t="n">
        <v>1</v>
      </c>
      <c r="C972" s="10" t="s">
        <v>59</v>
      </c>
      <c r="D972" s="10" t="s">
        <v>6555</v>
      </c>
      <c r="E972" s="10" t="s">
        <v>652</v>
      </c>
    </row>
    <row r="973" customFormat="false" ht="25.5" hidden="false" customHeight="true" outlineLevel="0" collapsed="false">
      <c r="A973" s="10" t="s">
        <v>6940</v>
      </c>
      <c r="B973" s="9" t="n">
        <v>1</v>
      </c>
      <c r="C973" s="10" t="s">
        <v>837</v>
      </c>
      <c r="D973" s="10" t="s">
        <v>6095</v>
      </c>
      <c r="E973" s="10" t="s">
        <v>889</v>
      </c>
    </row>
    <row r="974" customFormat="false" ht="25.5" hidden="false" customHeight="true" outlineLevel="0" collapsed="false">
      <c r="A974" s="10" t="s">
        <v>6941</v>
      </c>
      <c r="B974" s="9" t="n">
        <v>1</v>
      </c>
      <c r="C974" s="10" t="s">
        <v>3291</v>
      </c>
      <c r="D974" s="10" t="s">
        <v>5989</v>
      </c>
      <c r="E974" s="10" t="s">
        <v>3460</v>
      </c>
    </row>
    <row r="975" customFormat="false" ht="25.5" hidden="false" customHeight="true" outlineLevel="0" collapsed="false">
      <c r="A975" s="10" t="s">
        <v>6942</v>
      </c>
      <c r="B975" s="9" t="n">
        <v>1</v>
      </c>
      <c r="C975" s="10" t="s">
        <v>3291</v>
      </c>
      <c r="D975" s="10" t="s">
        <v>5752</v>
      </c>
      <c r="E975" s="10" t="s">
        <v>3645</v>
      </c>
    </row>
    <row r="976" customFormat="false" ht="25.5" hidden="false" customHeight="true" outlineLevel="0" collapsed="false">
      <c r="A976" s="10" t="s">
        <v>6943</v>
      </c>
      <c r="B976" s="9" t="n">
        <v>1</v>
      </c>
      <c r="C976" s="10" t="s">
        <v>2713</v>
      </c>
      <c r="D976" s="10" t="s">
        <v>5576</v>
      </c>
      <c r="E976" s="10" t="s">
        <v>2963</v>
      </c>
    </row>
    <row r="977" customFormat="false" ht="25.5" hidden="false" customHeight="true" outlineLevel="0" collapsed="false">
      <c r="A977" s="10" t="s">
        <v>6944</v>
      </c>
      <c r="B977" s="9" t="n">
        <v>1</v>
      </c>
      <c r="C977" s="10" t="s">
        <v>2713</v>
      </c>
      <c r="D977" s="10" t="s">
        <v>6309</v>
      </c>
      <c r="E977" s="10" t="s">
        <v>3058</v>
      </c>
    </row>
    <row r="978" customFormat="false" ht="25.5" hidden="false" customHeight="true" outlineLevel="0" collapsed="false">
      <c r="A978" s="10" t="s">
        <v>6945</v>
      </c>
      <c r="B978" s="9" t="n">
        <v>1</v>
      </c>
      <c r="C978" s="10" t="s">
        <v>2713</v>
      </c>
      <c r="D978" s="10" t="s">
        <v>5576</v>
      </c>
      <c r="E978" s="10" t="s">
        <v>2830</v>
      </c>
    </row>
    <row r="979" customFormat="false" ht="25.5" hidden="false" customHeight="true" outlineLevel="0" collapsed="false">
      <c r="A979" s="10" t="s">
        <v>6946</v>
      </c>
      <c r="B979" s="9" t="n">
        <v>1</v>
      </c>
      <c r="C979" s="10" t="s">
        <v>2713</v>
      </c>
      <c r="D979" s="10" t="s">
        <v>6228</v>
      </c>
      <c r="E979" s="10" t="s">
        <v>3082</v>
      </c>
    </row>
    <row r="980" customFormat="false" ht="25.5" hidden="false" customHeight="true" outlineLevel="0" collapsed="false">
      <c r="A980" s="10" t="s">
        <v>6947</v>
      </c>
      <c r="B980" s="9" t="n">
        <v>1</v>
      </c>
      <c r="C980" s="10" t="s">
        <v>2713</v>
      </c>
      <c r="D980" s="10" t="s">
        <v>6309</v>
      </c>
      <c r="E980" s="10" t="s">
        <v>3058</v>
      </c>
    </row>
    <row r="981" customFormat="false" ht="25.5" hidden="false" customHeight="true" outlineLevel="0" collapsed="false">
      <c r="A981" s="10" t="s">
        <v>6948</v>
      </c>
      <c r="B981" s="9" t="n">
        <v>1</v>
      </c>
      <c r="C981" s="10" t="s">
        <v>2713</v>
      </c>
      <c r="D981" s="10" t="s">
        <v>5870</v>
      </c>
      <c r="E981" s="10" t="s">
        <v>2974</v>
      </c>
    </row>
    <row r="982" customFormat="false" ht="25.5" hidden="false" customHeight="true" outlineLevel="0" collapsed="false">
      <c r="A982" s="10" t="s">
        <v>6949</v>
      </c>
      <c r="B982" s="9" t="n">
        <v>1</v>
      </c>
      <c r="C982" s="10" t="s">
        <v>2713</v>
      </c>
      <c r="D982" s="10" t="s">
        <v>5576</v>
      </c>
      <c r="E982" s="10" t="s">
        <v>2830</v>
      </c>
    </row>
    <row r="983" customFormat="false" ht="25.5" hidden="false" customHeight="true" outlineLevel="0" collapsed="false">
      <c r="A983" s="10" t="s">
        <v>6950</v>
      </c>
      <c r="B983" s="9" t="n">
        <v>1</v>
      </c>
      <c r="C983" s="10" t="s">
        <v>59</v>
      </c>
      <c r="D983" s="10" t="s">
        <v>6555</v>
      </c>
      <c r="E983" s="10" t="s">
        <v>612</v>
      </c>
    </row>
    <row r="984" customFormat="false" ht="25.5" hidden="false" customHeight="true" outlineLevel="0" collapsed="false">
      <c r="A984" s="10" t="s">
        <v>6951</v>
      </c>
      <c r="B984" s="9" t="n">
        <v>1</v>
      </c>
      <c r="C984" s="10" t="s">
        <v>59</v>
      </c>
      <c r="D984" s="10" t="s">
        <v>6248</v>
      </c>
      <c r="E984" s="10" t="s">
        <v>586</v>
      </c>
    </row>
    <row r="985" customFormat="false" ht="25.5" hidden="false" customHeight="true" outlineLevel="0" collapsed="false">
      <c r="A985" s="10" t="s">
        <v>6952</v>
      </c>
      <c r="B985" s="9" t="n">
        <v>1</v>
      </c>
      <c r="C985" s="10" t="s">
        <v>59</v>
      </c>
      <c r="D985" s="10" t="s">
        <v>6856</v>
      </c>
      <c r="E985" s="10" t="s">
        <v>123</v>
      </c>
    </row>
    <row r="986" customFormat="false" ht="25.5" hidden="false" customHeight="true" outlineLevel="0" collapsed="false">
      <c r="A986" s="10" t="s">
        <v>6953</v>
      </c>
      <c r="B986" s="9" t="n">
        <v>1</v>
      </c>
      <c r="C986" s="10" t="s">
        <v>2713</v>
      </c>
      <c r="D986" s="10" t="s">
        <v>6205</v>
      </c>
      <c r="E986" s="10" t="s">
        <v>2950</v>
      </c>
    </row>
    <row r="987" customFormat="false" ht="25.5" hidden="false" customHeight="true" outlineLevel="0" collapsed="false">
      <c r="A987" s="10" t="s">
        <v>6954</v>
      </c>
      <c r="B987" s="9" t="n">
        <v>1</v>
      </c>
      <c r="C987" s="10" t="s">
        <v>2713</v>
      </c>
      <c r="D987" s="10" t="s">
        <v>6082</v>
      </c>
      <c r="E987" s="10" t="s">
        <v>2937</v>
      </c>
    </row>
    <row r="988" customFormat="false" ht="25.5" hidden="false" customHeight="true" outlineLevel="0" collapsed="false">
      <c r="A988" s="10" t="s">
        <v>6955</v>
      </c>
      <c r="B988" s="9" t="n">
        <v>1</v>
      </c>
      <c r="C988" s="10" t="s">
        <v>837</v>
      </c>
      <c r="D988" s="10" t="s">
        <v>5609</v>
      </c>
      <c r="E988" s="10" t="s">
        <v>1368</v>
      </c>
    </row>
    <row r="989" customFormat="false" ht="25.5" hidden="false" customHeight="true" outlineLevel="0" collapsed="false">
      <c r="A989" s="10" t="s">
        <v>6956</v>
      </c>
      <c r="B989" s="9" t="n">
        <v>1</v>
      </c>
      <c r="C989" s="10" t="s">
        <v>2713</v>
      </c>
      <c r="D989" s="10" t="s">
        <v>6108</v>
      </c>
      <c r="E989" s="10" t="s">
        <v>2772</v>
      </c>
    </row>
    <row r="990" customFormat="false" ht="25.5" hidden="false" customHeight="true" outlineLevel="0" collapsed="false">
      <c r="A990" s="10" t="s">
        <v>6957</v>
      </c>
      <c r="B990" s="9" t="n">
        <v>1</v>
      </c>
      <c r="C990" s="10" t="s">
        <v>4203</v>
      </c>
      <c r="D990" s="10" t="s">
        <v>4251</v>
      </c>
      <c r="E990" s="10" t="s">
        <v>4318</v>
      </c>
    </row>
    <row r="991" customFormat="false" ht="25.5" hidden="false" customHeight="true" outlineLevel="0" collapsed="false">
      <c r="A991" s="10" t="s">
        <v>6958</v>
      </c>
      <c r="B991" s="9" t="n">
        <v>1</v>
      </c>
      <c r="C991" s="10" t="s">
        <v>59</v>
      </c>
      <c r="D991" s="10" t="s">
        <v>5858</v>
      </c>
      <c r="E991" s="10" t="s">
        <v>404</v>
      </c>
    </row>
    <row r="992" customFormat="false" ht="25.5" hidden="false" customHeight="true" outlineLevel="0" collapsed="false">
      <c r="A992" s="10" t="s">
        <v>6959</v>
      </c>
      <c r="B992" s="9" t="n">
        <v>1</v>
      </c>
      <c r="C992" s="10" t="s">
        <v>4949</v>
      </c>
      <c r="D992" s="10" t="s">
        <v>5149</v>
      </c>
      <c r="E992" s="10" t="s">
        <v>5180</v>
      </c>
    </row>
    <row r="993" customFormat="false" ht="25.5" hidden="false" customHeight="true" outlineLevel="0" collapsed="false">
      <c r="A993" s="10" t="s">
        <v>6960</v>
      </c>
      <c r="B993" s="9" t="n">
        <v>1</v>
      </c>
      <c r="C993" s="10" t="s">
        <v>4949</v>
      </c>
      <c r="D993" s="10" t="s">
        <v>5149</v>
      </c>
      <c r="E993" s="10" t="s">
        <v>5180</v>
      </c>
    </row>
    <row r="994" customFormat="false" ht="25.5" hidden="false" customHeight="true" outlineLevel="0" collapsed="false">
      <c r="A994" s="10" t="s">
        <v>6961</v>
      </c>
      <c r="B994" s="9" t="n">
        <v>1</v>
      </c>
      <c r="C994" s="10" t="s">
        <v>3842</v>
      </c>
      <c r="D994" s="10" t="s">
        <v>6106</v>
      </c>
      <c r="E994" s="10" t="s">
        <v>4099</v>
      </c>
    </row>
    <row r="995" customFormat="false" ht="25.5" hidden="false" customHeight="true" outlineLevel="0" collapsed="false">
      <c r="A995" s="10" t="s">
        <v>6962</v>
      </c>
      <c r="B995" s="9" t="n">
        <v>1</v>
      </c>
      <c r="C995" s="10" t="s">
        <v>3842</v>
      </c>
      <c r="D995" s="10" t="s">
        <v>6963</v>
      </c>
      <c r="E995" s="10" t="s">
        <v>4088</v>
      </c>
    </row>
    <row r="996" customFormat="false" ht="25.5" hidden="false" customHeight="true" outlineLevel="0" collapsed="false">
      <c r="A996" s="10" t="s">
        <v>6964</v>
      </c>
      <c r="B996" s="9" t="n">
        <v>1</v>
      </c>
      <c r="C996" s="10" t="s">
        <v>3291</v>
      </c>
      <c r="D996" s="10" t="s">
        <v>6589</v>
      </c>
      <c r="E996" s="10" t="s">
        <v>3748</v>
      </c>
    </row>
    <row r="997" customFormat="false" ht="25.5" hidden="false" customHeight="true" outlineLevel="0" collapsed="false">
      <c r="A997" s="10" t="s">
        <v>6965</v>
      </c>
      <c r="B997" s="9" t="n">
        <v>1</v>
      </c>
      <c r="C997" s="10" t="s">
        <v>2713</v>
      </c>
      <c r="D997" s="10" t="s">
        <v>6125</v>
      </c>
      <c r="E997" s="10" t="s">
        <v>2924</v>
      </c>
    </row>
    <row r="998" customFormat="false" ht="25.5" hidden="false" customHeight="true" outlineLevel="0" collapsed="false">
      <c r="A998" s="10" t="s">
        <v>6966</v>
      </c>
      <c r="B998" s="9" t="n">
        <v>1</v>
      </c>
      <c r="C998" s="10" t="s">
        <v>837</v>
      </c>
      <c r="D998" s="10" t="s">
        <v>5609</v>
      </c>
      <c r="E998" s="10" t="s">
        <v>1368</v>
      </c>
    </row>
    <row r="999" customFormat="false" ht="25.5" hidden="false" customHeight="true" outlineLevel="0" collapsed="false">
      <c r="A999" s="10" t="s">
        <v>6967</v>
      </c>
      <c r="B999" s="9" t="n">
        <v>1</v>
      </c>
      <c r="C999" s="10" t="s">
        <v>2713</v>
      </c>
      <c r="D999" s="10" t="s">
        <v>6817</v>
      </c>
      <c r="E999" s="10" t="s">
        <v>3242</v>
      </c>
    </row>
    <row r="1000" customFormat="false" ht="25.5" hidden="false" customHeight="true" outlineLevel="0" collapsed="false">
      <c r="A1000" s="10" t="s">
        <v>6968</v>
      </c>
      <c r="B1000" s="9" t="n">
        <v>1</v>
      </c>
      <c r="C1000" s="10" t="s">
        <v>3842</v>
      </c>
      <c r="D1000" s="10" t="s">
        <v>6669</v>
      </c>
      <c r="E1000" s="10" t="s">
        <v>3917</v>
      </c>
    </row>
    <row r="1001" customFormat="false" ht="25.5" hidden="false" customHeight="true" outlineLevel="0" collapsed="false">
      <c r="A1001" s="10" t="s">
        <v>6969</v>
      </c>
      <c r="B1001" s="9" t="n">
        <v>1</v>
      </c>
      <c r="C1001" s="10" t="s">
        <v>2713</v>
      </c>
      <c r="D1001" s="10" t="s">
        <v>6300</v>
      </c>
      <c r="E1001" s="10" t="s">
        <v>3254</v>
      </c>
    </row>
    <row r="1002" customFormat="false" ht="25.5" hidden="false" customHeight="true" outlineLevel="0" collapsed="false">
      <c r="A1002" s="10" t="s">
        <v>6970</v>
      </c>
      <c r="B1002" s="9" t="n">
        <v>1</v>
      </c>
      <c r="C1002" s="10" t="s">
        <v>837</v>
      </c>
      <c r="D1002" s="10" t="s">
        <v>5609</v>
      </c>
      <c r="E1002" s="10" t="s">
        <v>1395</v>
      </c>
    </row>
    <row r="1003" customFormat="false" ht="25.5" hidden="false" customHeight="true" outlineLevel="0" collapsed="false">
      <c r="A1003" s="10" t="s">
        <v>6971</v>
      </c>
      <c r="B1003" s="9" t="n">
        <v>1</v>
      </c>
      <c r="C1003" s="10" t="s">
        <v>2713</v>
      </c>
      <c r="D1003" s="10" t="s">
        <v>3032</v>
      </c>
      <c r="E1003" s="10" t="s">
        <v>3046</v>
      </c>
    </row>
    <row r="1004" customFormat="false" ht="25.5" hidden="false" customHeight="true" outlineLevel="0" collapsed="false">
      <c r="A1004" s="10" t="s">
        <v>6972</v>
      </c>
      <c r="B1004" s="9" t="n">
        <v>1</v>
      </c>
      <c r="C1004" s="10" t="s">
        <v>2140</v>
      </c>
      <c r="D1004" s="10" t="s">
        <v>6313</v>
      </c>
      <c r="E1004" s="10" t="s">
        <v>2635</v>
      </c>
    </row>
    <row r="1005" customFormat="false" ht="25.5" hidden="false" customHeight="true" outlineLevel="0" collapsed="false">
      <c r="A1005" s="10" t="s">
        <v>6973</v>
      </c>
      <c r="B1005" s="9" t="n">
        <v>1</v>
      </c>
      <c r="C1005" s="10" t="s">
        <v>4203</v>
      </c>
      <c r="D1005" s="10" t="s">
        <v>6127</v>
      </c>
      <c r="E1005" s="10" t="s">
        <v>4555</v>
      </c>
    </row>
    <row r="1006" customFormat="false" ht="25.5" hidden="false" customHeight="true" outlineLevel="0" collapsed="false">
      <c r="A1006" s="10" t="s">
        <v>6974</v>
      </c>
      <c r="B1006" s="9" t="n">
        <v>1</v>
      </c>
      <c r="C1006" s="10" t="s">
        <v>4203</v>
      </c>
      <c r="D1006" s="10" t="s">
        <v>6127</v>
      </c>
      <c r="E1006" s="10" t="s">
        <v>4555</v>
      </c>
    </row>
    <row r="1007" customFormat="false" ht="25.5" hidden="false" customHeight="true" outlineLevel="0" collapsed="false">
      <c r="A1007" s="10" t="s">
        <v>6975</v>
      </c>
      <c r="B1007" s="9" t="n">
        <v>1</v>
      </c>
      <c r="C1007" s="10" t="s">
        <v>4203</v>
      </c>
      <c r="D1007" s="10" t="s">
        <v>6127</v>
      </c>
      <c r="E1007" s="10" t="s">
        <v>4555</v>
      </c>
    </row>
    <row r="1008" customFormat="false" ht="25.5" hidden="false" customHeight="true" outlineLevel="0" collapsed="false">
      <c r="A1008" s="10" t="s">
        <v>6976</v>
      </c>
      <c r="B1008" s="9" t="n">
        <v>1</v>
      </c>
      <c r="C1008" s="10" t="s">
        <v>1500</v>
      </c>
      <c r="D1008" s="10" t="s">
        <v>6977</v>
      </c>
      <c r="E1008" s="10" t="s">
        <v>1798</v>
      </c>
    </row>
    <row r="1009" customFormat="false" ht="25.5" hidden="false" customHeight="true" outlineLevel="0" collapsed="false">
      <c r="A1009" s="10" t="s">
        <v>6978</v>
      </c>
      <c r="B1009" s="9" t="n">
        <v>1</v>
      </c>
      <c r="C1009" s="10" t="s">
        <v>2140</v>
      </c>
      <c r="D1009" s="10" t="s">
        <v>6604</v>
      </c>
      <c r="E1009" s="10" t="s">
        <v>2516</v>
      </c>
    </row>
    <row r="1010" customFormat="false" ht="25.5" hidden="false" customHeight="true" outlineLevel="0" collapsed="false">
      <c r="A1010" s="10" t="s">
        <v>6979</v>
      </c>
      <c r="B1010" s="9" t="n">
        <v>1</v>
      </c>
      <c r="C1010" s="10" t="s">
        <v>2140</v>
      </c>
      <c r="D1010" s="10" t="s">
        <v>5598</v>
      </c>
      <c r="E1010" s="10" t="s">
        <v>2266</v>
      </c>
    </row>
    <row r="1011" customFormat="false" ht="25.5" hidden="false" customHeight="true" outlineLevel="0" collapsed="false">
      <c r="A1011" s="10" t="s">
        <v>6980</v>
      </c>
      <c r="B1011" s="9" t="n">
        <v>1</v>
      </c>
      <c r="C1011" s="10" t="s">
        <v>2713</v>
      </c>
      <c r="D1011" s="10" t="s">
        <v>5576</v>
      </c>
      <c r="E1011" s="10" t="s">
        <v>2830</v>
      </c>
    </row>
    <row r="1012" customFormat="false" ht="25.5" hidden="false" customHeight="true" outlineLevel="0" collapsed="false">
      <c r="A1012" s="10" t="s">
        <v>6981</v>
      </c>
      <c r="B1012" s="9" t="n">
        <v>1</v>
      </c>
      <c r="C1012" s="10" t="s">
        <v>1500</v>
      </c>
      <c r="D1012" s="10" t="s">
        <v>6982</v>
      </c>
      <c r="E1012" s="10" t="s">
        <v>1693</v>
      </c>
    </row>
    <row r="1013" customFormat="false" ht="25.5" hidden="false" customHeight="true" outlineLevel="0" collapsed="false">
      <c r="A1013" s="10" t="s">
        <v>6983</v>
      </c>
      <c r="B1013" s="9" t="n">
        <v>1</v>
      </c>
      <c r="C1013" s="10" t="s">
        <v>4203</v>
      </c>
      <c r="D1013" s="10" t="s">
        <v>6275</v>
      </c>
      <c r="E1013" s="10" t="s">
        <v>4330</v>
      </c>
    </row>
    <row r="1014" customFormat="false" ht="25.5" hidden="false" customHeight="true" outlineLevel="0" collapsed="false">
      <c r="A1014" s="10" t="s">
        <v>6984</v>
      </c>
      <c r="B1014" s="9" t="n">
        <v>1</v>
      </c>
      <c r="C1014" s="10" t="s">
        <v>4203</v>
      </c>
      <c r="D1014" s="10" t="s">
        <v>6275</v>
      </c>
      <c r="E1014" s="10" t="s">
        <v>4330</v>
      </c>
    </row>
    <row r="1015" customFormat="false" ht="25.5" hidden="false" customHeight="true" outlineLevel="0" collapsed="false">
      <c r="A1015" s="10" t="s">
        <v>6985</v>
      </c>
      <c r="B1015" s="9" t="n">
        <v>1</v>
      </c>
      <c r="C1015" s="10" t="s">
        <v>4203</v>
      </c>
      <c r="D1015" s="10" t="s">
        <v>6275</v>
      </c>
      <c r="E1015" s="10" t="s">
        <v>4330</v>
      </c>
    </row>
    <row r="1016" customFormat="false" ht="25.5" hidden="false" customHeight="true" outlineLevel="0" collapsed="false">
      <c r="A1016" s="10" t="s">
        <v>6986</v>
      </c>
      <c r="B1016" s="9" t="n">
        <v>1</v>
      </c>
      <c r="C1016" s="10" t="s">
        <v>4203</v>
      </c>
      <c r="D1016" s="10" t="s">
        <v>6275</v>
      </c>
      <c r="E1016" s="10" t="s">
        <v>4330</v>
      </c>
    </row>
    <row r="1017" customFormat="false" ht="25.5" hidden="false" customHeight="true" outlineLevel="0" collapsed="false">
      <c r="A1017" s="10" t="s">
        <v>6987</v>
      </c>
      <c r="B1017" s="9" t="n">
        <v>1</v>
      </c>
      <c r="C1017" s="10" t="s">
        <v>4203</v>
      </c>
      <c r="D1017" s="10" t="s">
        <v>6988</v>
      </c>
      <c r="E1017" s="10" t="s">
        <v>4306</v>
      </c>
    </row>
    <row r="1018" customFormat="false" ht="25.5" hidden="false" customHeight="true" outlineLevel="0" collapsed="false">
      <c r="A1018" s="10" t="s">
        <v>6989</v>
      </c>
      <c r="B1018" s="9" t="n">
        <v>1</v>
      </c>
      <c r="C1018" s="10" t="s">
        <v>4203</v>
      </c>
      <c r="D1018" s="10" t="s">
        <v>6988</v>
      </c>
      <c r="E1018" s="10" t="s">
        <v>4306</v>
      </c>
    </row>
    <row r="1019" customFormat="false" ht="25.5" hidden="false" customHeight="true" outlineLevel="0" collapsed="false">
      <c r="A1019" s="10" t="s">
        <v>6990</v>
      </c>
      <c r="B1019" s="9" t="n">
        <v>1</v>
      </c>
      <c r="C1019" s="10" t="s">
        <v>4203</v>
      </c>
      <c r="D1019" s="10" t="s">
        <v>4251</v>
      </c>
      <c r="E1019" s="10" t="s">
        <v>4243</v>
      </c>
    </row>
    <row r="1020" customFormat="false" ht="25.5" hidden="false" customHeight="true" outlineLevel="0" collapsed="false">
      <c r="A1020" s="10" t="s">
        <v>6991</v>
      </c>
      <c r="B1020" s="9" t="n">
        <v>1</v>
      </c>
      <c r="C1020" s="10" t="s">
        <v>4203</v>
      </c>
      <c r="D1020" s="10" t="s">
        <v>6673</v>
      </c>
      <c r="E1020" s="10" t="s">
        <v>4392</v>
      </c>
    </row>
    <row r="1021" customFormat="false" ht="25.5" hidden="false" customHeight="true" outlineLevel="0" collapsed="false">
      <c r="A1021" s="10" t="s">
        <v>6992</v>
      </c>
      <c r="B1021" s="9" t="n">
        <v>1</v>
      </c>
      <c r="C1021" s="10" t="s">
        <v>4582</v>
      </c>
      <c r="D1021" s="10" t="s">
        <v>6826</v>
      </c>
      <c r="E1021" s="10" t="s">
        <v>4634</v>
      </c>
    </row>
    <row r="1022" customFormat="false" ht="25.5" hidden="false" customHeight="true" outlineLevel="0" collapsed="false">
      <c r="A1022" s="10" t="s">
        <v>6993</v>
      </c>
      <c r="B1022" s="9" t="n">
        <v>1</v>
      </c>
      <c r="C1022" s="10" t="s">
        <v>4582</v>
      </c>
      <c r="D1022" s="10" t="s">
        <v>6826</v>
      </c>
      <c r="E1022" s="10" t="s">
        <v>4634</v>
      </c>
    </row>
    <row r="1023" customFormat="false" ht="25.5" hidden="false" customHeight="true" outlineLevel="0" collapsed="false">
      <c r="A1023" s="10" t="s">
        <v>6994</v>
      </c>
      <c r="B1023" s="9" t="n">
        <v>1</v>
      </c>
      <c r="C1023" s="10" t="s">
        <v>4582</v>
      </c>
      <c r="D1023" s="10" t="s">
        <v>6826</v>
      </c>
      <c r="E1023" s="10" t="s">
        <v>4634</v>
      </c>
    </row>
    <row r="1024" customFormat="false" ht="25.5" hidden="false" customHeight="true" outlineLevel="0" collapsed="false">
      <c r="A1024" s="10" t="s">
        <v>6995</v>
      </c>
      <c r="B1024" s="9" t="n">
        <v>1</v>
      </c>
      <c r="C1024" s="10" t="s">
        <v>4203</v>
      </c>
      <c r="D1024" s="10" t="s">
        <v>6673</v>
      </c>
      <c r="E1024" s="10" t="s">
        <v>4392</v>
      </c>
    </row>
    <row r="1025" customFormat="false" ht="25.5" hidden="false" customHeight="true" outlineLevel="0" collapsed="false">
      <c r="A1025" s="10" t="s">
        <v>6996</v>
      </c>
      <c r="B1025" s="9" t="n">
        <v>1</v>
      </c>
      <c r="C1025" s="10" t="s">
        <v>4203</v>
      </c>
      <c r="D1025" s="10" t="s">
        <v>6673</v>
      </c>
      <c r="E1025" s="10" t="s">
        <v>4392</v>
      </c>
    </row>
    <row r="1026" customFormat="false" ht="25.5" hidden="false" customHeight="true" outlineLevel="0" collapsed="false">
      <c r="A1026" s="10" t="s">
        <v>6997</v>
      </c>
      <c r="B1026" s="9" t="n">
        <v>1</v>
      </c>
      <c r="C1026" s="10" t="s">
        <v>4203</v>
      </c>
      <c r="D1026" s="10" t="s">
        <v>6643</v>
      </c>
      <c r="E1026" s="10" t="s">
        <v>4416</v>
      </c>
    </row>
    <row r="1027" customFormat="false" ht="25.5" hidden="false" customHeight="true" outlineLevel="0" collapsed="false">
      <c r="A1027" s="10" t="s">
        <v>6998</v>
      </c>
      <c r="B1027" s="9" t="n">
        <v>1</v>
      </c>
      <c r="C1027" s="10" t="s">
        <v>2713</v>
      </c>
      <c r="D1027" s="10" t="s">
        <v>6764</v>
      </c>
      <c r="E1027" s="10" t="s">
        <v>2913</v>
      </c>
    </row>
    <row r="1028" customFormat="false" ht="25.5" hidden="false" customHeight="true" outlineLevel="0" collapsed="false">
      <c r="A1028" s="10" t="s">
        <v>6999</v>
      </c>
      <c r="B1028" s="9" t="n">
        <v>1</v>
      </c>
      <c r="C1028" s="10" t="s">
        <v>3291</v>
      </c>
      <c r="D1028" s="10" t="s">
        <v>7000</v>
      </c>
      <c r="E1028" s="10" t="s">
        <v>3774</v>
      </c>
    </row>
    <row r="1029" customFormat="false" ht="25.5" hidden="false" customHeight="true" outlineLevel="0" collapsed="false">
      <c r="A1029" s="10" t="s">
        <v>7001</v>
      </c>
      <c r="B1029" s="9" t="n">
        <v>1</v>
      </c>
      <c r="C1029" s="10" t="s">
        <v>4582</v>
      </c>
      <c r="D1029" s="10" t="s">
        <v>6826</v>
      </c>
      <c r="E1029" s="10" t="s">
        <v>4634</v>
      </c>
    </row>
    <row r="1030" customFormat="false" ht="25.5" hidden="false" customHeight="true" outlineLevel="0" collapsed="false">
      <c r="A1030" s="10" t="s">
        <v>7002</v>
      </c>
      <c r="B1030" s="9" t="n">
        <v>1</v>
      </c>
      <c r="C1030" s="10" t="s">
        <v>837</v>
      </c>
      <c r="D1030" s="10" t="s">
        <v>5983</v>
      </c>
      <c r="E1030" s="10" t="s">
        <v>942</v>
      </c>
    </row>
    <row r="1031" customFormat="false" ht="25.5" hidden="false" customHeight="true" outlineLevel="0" collapsed="false">
      <c r="A1031" s="10" t="s">
        <v>7003</v>
      </c>
      <c r="B1031" s="9" t="n">
        <v>1</v>
      </c>
      <c r="C1031" s="10" t="s">
        <v>59</v>
      </c>
      <c r="D1031" s="10" t="s">
        <v>5632</v>
      </c>
      <c r="E1031" s="10" t="s">
        <v>201</v>
      </c>
    </row>
    <row r="1032" customFormat="false" ht="25.5" hidden="false" customHeight="true" outlineLevel="0" collapsed="false">
      <c r="A1032" s="10" t="s">
        <v>7004</v>
      </c>
      <c r="B1032" s="9" t="n">
        <v>1</v>
      </c>
      <c r="C1032" s="10" t="s">
        <v>3842</v>
      </c>
      <c r="D1032" s="10" t="s">
        <v>6287</v>
      </c>
      <c r="E1032" s="10" t="s">
        <v>3944</v>
      </c>
    </row>
    <row r="1033" customFormat="false" ht="25.5" hidden="false" customHeight="true" outlineLevel="0" collapsed="false">
      <c r="A1033" s="10" t="s">
        <v>7005</v>
      </c>
      <c r="B1033" s="9" t="n">
        <v>1</v>
      </c>
      <c r="C1033" s="10" t="s">
        <v>837</v>
      </c>
      <c r="D1033" s="10" t="s">
        <v>6075</v>
      </c>
      <c r="E1033" s="10" t="s">
        <v>968</v>
      </c>
    </row>
    <row r="1034" customFormat="false" ht="25.5" hidden="false" customHeight="true" outlineLevel="0" collapsed="false">
      <c r="A1034" s="10" t="s">
        <v>7006</v>
      </c>
      <c r="B1034" s="9" t="n">
        <v>1</v>
      </c>
      <c r="C1034" s="10" t="s">
        <v>3291</v>
      </c>
      <c r="D1034" s="10" t="s">
        <v>6610</v>
      </c>
      <c r="E1034" s="10" t="s">
        <v>3787</v>
      </c>
    </row>
    <row r="1035" customFormat="false" ht="25.5" hidden="false" customHeight="true" outlineLevel="0" collapsed="false">
      <c r="A1035" s="10" t="s">
        <v>7007</v>
      </c>
      <c r="B1035" s="9" t="n">
        <v>1</v>
      </c>
      <c r="C1035" s="10" t="s">
        <v>3291</v>
      </c>
      <c r="D1035" s="10" t="s">
        <v>6610</v>
      </c>
      <c r="E1035" s="10" t="s">
        <v>3787</v>
      </c>
    </row>
    <row r="1036" customFormat="false" ht="25.5" hidden="false" customHeight="true" outlineLevel="0" collapsed="false">
      <c r="A1036" s="10" t="s">
        <v>7008</v>
      </c>
      <c r="B1036" s="9" t="n">
        <v>1</v>
      </c>
      <c r="C1036" s="10" t="s">
        <v>1500</v>
      </c>
      <c r="D1036" s="10" t="s">
        <v>6220</v>
      </c>
      <c r="E1036" s="10" t="s">
        <v>1825</v>
      </c>
    </row>
    <row r="1037" customFormat="false" ht="25.5" hidden="false" customHeight="true" outlineLevel="0" collapsed="false">
      <c r="A1037" s="10" t="s">
        <v>7009</v>
      </c>
      <c r="B1037" s="9" t="n">
        <v>1</v>
      </c>
      <c r="C1037" s="10" t="s">
        <v>3291</v>
      </c>
      <c r="D1037" s="10" t="s">
        <v>6804</v>
      </c>
      <c r="E1037" s="10" t="s">
        <v>3683</v>
      </c>
    </row>
    <row r="1038" customFormat="false" ht="25.5" hidden="false" customHeight="true" outlineLevel="0" collapsed="false">
      <c r="A1038" s="10" t="s">
        <v>7010</v>
      </c>
      <c r="B1038" s="9" t="n">
        <v>1</v>
      </c>
      <c r="C1038" s="10" t="s">
        <v>59</v>
      </c>
      <c r="D1038" s="10" t="s">
        <v>5699</v>
      </c>
      <c r="E1038" s="10" t="s">
        <v>316</v>
      </c>
    </row>
    <row r="1039" customFormat="false" ht="25.5" hidden="false" customHeight="true" outlineLevel="0" collapsed="false">
      <c r="A1039" s="10" t="s">
        <v>7011</v>
      </c>
      <c r="B1039" s="9" t="n">
        <v>1</v>
      </c>
      <c r="C1039" s="10" t="s">
        <v>59</v>
      </c>
      <c r="D1039" s="10" t="s">
        <v>5699</v>
      </c>
      <c r="E1039" s="10" t="s">
        <v>316</v>
      </c>
    </row>
    <row r="1040" customFormat="false" ht="25.5" hidden="false" customHeight="true" outlineLevel="0" collapsed="false">
      <c r="A1040" s="10" t="s">
        <v>7012</v>
      </c>
      <c r="B1040" s="9" t="n">
        <v>1</v>
      </c>
      <c r="C1040" s="10" t="s">
        <v>2713</v>
      </c>
      <c r="D1040" s="10" t="s">
        <v>6053</v>
      </c>
      <c r="E1040" s="10" t="s">
        <v>3194</v>
      </c>
    </row>
    <row r="1041" customFormat="false" ht="25.5" hidden="false" customHeight="true" outlineLevel="0" collapsed="false">
      <c r="A1041" s="10" t="s">
        <v>7013</v>
      </c>
      <c r="B1041" s="9" t="n">
        <v>1</v>
      </c>
      <c r="C1041" s="10" t="s">
        <v>59</v>
      </c>
      <c r="D1041" s="10" t="s">
        <v>5907</v>
      </c>
      <c r="E1041" s="10" t="s">
        <v>512</v>
      </c>
    </row>
    <row r="1042" customFormat="false" ht="25.5" hidden="false" customHeight="true" outlineLevel="0" collapsed="false">
      <c r="A1042" s="10" t="s">
        <v>7014</v>
      </c>
      <c r="B1042" s="9" t="n">
        <v>1</v>
      </c>
      <c r="C1042" s="10" t="s">
        <v>3842</v>
      </c>
      <c r="D1042" s="10" t="s">
        <v>6111</v>
      </c>
      <c r="E1042" s="10" t="s">
        <v>3983</v>
      </c>
    </row>
    <row r="1043" customFormat="false" ht="25.5" hidden="false" customHeight="true" outlineLevel="0" collapsed="false">
      <c r="A1043" s="10" t="s">
        <v>7015</v>
      </c>
      <c r="B1043" s="9" t="n">
        <v>1</v>
      </c>
      <c r="C1043" s="10" t="s">
        <v>3291</v>
      </c>
      <c r="D1043" s="10" t="s">
        <v>6814</v>
      </c>
      <c r="E1043" s="10" t="s">
        <v>3815</v>
      </c>
    </row>
    <row r="1044" customFormat="false" ht="25.5" hidden="false" customHeight="true" outlineLevel="0" collapsed="false">
      <c r="A1044" s="10" t="s">
        <v>7016</v>
      </c>
      <c r="B1044" s="9" t="n">
        <v>1</v>
      </c>
      <c r="C1044" s="10" t="s">
        <v>4949</v>
      </c>
      <c r="D1044" s="10" t="s">
        <v>6197</v>
      </c>
      <c r="E1044" s="10" t="s">
        <v>5260</v>
      </c>
    </row>
    <row r="1045" customFormat="false" ht="25.5" hidden="false" customHeight="true" outlineLevel="0" collapsed="false">
      <c r="A1045" s="10" t="s">
        <v>7017</v>
      </c>
      <c r="B1045" s="9" t="n">
        <v>1</v>
      </c>
      <c r="C1045" s="10" t="s">
        <v>1500</v>
      </c>
      <c r="D1045" s="10" t="s">
        <v>7018</v>
      </c>
      <c r="E1045" s="10" t="s">
        <v>1897</v>
      </c>
    </row>
    <row r="1046" customFormat="false" ht="25.5" hidden="false" customHeight="true" outlineLevel="0" collapsed="false">
      <c r="A1046" s="10" t="s">
        <v>7019</v>
      </c>
      <c r="B1046" s="9" t="n">
        <v>1</v>
      </c>
      <c r="C1046" s="10" t="s">
        <v>4582</v>
      </c>
      <c r="D1046" s="10" t="s">
        <v>6514</v>
      </c>
      <c r="E1046" s="10" t="s">
        <v>4870</v>
      </c>
    </row>
    <row r="1047" customFormat="false" ht="25.5" hidden="false" customHeight="true" outlineLevel="0" collapsed="false">
      <c r="A1047" s="10" t="s">
        <v>7020</v>
      </c>
      <c r="B1047" s="9" t="n">
        <v>1</v>
      </c>
      <c r="C1047" s="10" t="s">
        <v>2713</v>
      </c>
      <c r="D1047" s="10" t="s">
        <v>3032</v>
      </c>
      <c r="E1047" s="10" t="s">
        <v>3046</v>
      </c>
    </row>
    <row r="1048" customFormat="false" ht="25.5" hidden="false" customHeight="true" outlineLevel="0" collapsed="false">
      <c r="A1048" s="10" t="s">
        <v>7021</v>
      </c>
      <c r="B1048" s="9" t="n">
        <v>1</v>
      </c>
      <c r="C1048" s="10" t="s">
        <v>4582</v>
      </c>
      <c r="D1048" s="10" t="s">
        <v>6514</v>
      </c>
      <c r="E1048" s="10" t="s">
        <v>4870</v>
      </c>
    </row>
    <row r="1049" customFormat="false" ht="25.5" hidden="false" customHeight="true" outlineLevel="0" collapsed="false">
      <c r="A1049" s="10" t="s">
        <v>7022</v>
      </c>
      <c r="B1049" s="9" t="n">
        <v>1</v>
      </c>
      <c r="C1049" s="10" t="s">
        <v>4582</v>
      </c>
      <c r="D1049" s="10" t="s">
        <v>6514</v>
      </c>
      <c r="E1049" s="10" t="s">
        <v>4870</v>
      </c>
    </row>
    <row r="1050" customFormat="false" ht="25.5" hidden="false" customHeight="true" outlineLevel="0" collapsed="false">
      <c r="A1050" s="10" t="s">
        <v>7023</v>
      </c>
      <c r="B1050" s="9" t="n">
        <v>1</v>
      </c>
      <c r="C1050" s="10" t="s">
        <v>4582</v>
      </c>
      <c r="D1050" s="10" t="s">
        <v>6514</v>
      </c>
      <c r="E1050" s="10" t="s">
        <v>4870</v>
      </c>
    </row>
    <row r="1051" customFormat="false" ht="25.5" hidden="false" customHeight="true" outlineLevel="0" collapsed="false">
      <c r="A1051" s="10" t="s">
        <v>7024</v>
      </c>
      <c r="B1051" s="9" t="n">
        <v>1</v>
      </c>
      <c r="C1051" s="10" t="s">
        <v>2713</v>
      </c>
      <c r="D1051" s="10" t="s">
        <v>6352</v>
      </c>
      <c r="E1051" s="10" t="s">
        <v>3168</v>
      </c>
    </row>
    <row r="1052" customFormat="false" ht="25.5" hidden="false" customHeight="true" outlineLevel="0" collapsed="false">
      <c r="A1052" s="10" t="s">
        <v>7025</v>
      </c>
      <c r="B1052" s="9" t="n">
        <v>1</v>
      </c>
      <c r="C1052" s="10" t="s">
        <v>3842</v>
      </c>
      <c r="D1052" s="10" t="s">
        <v>6817</v>
      </c>
      <c r="E1052" s="10" t="s">
        <v>4150</v>
      </c>
    </row>
    <row r="1053" customFormat="false" ht="25.5" hidden="false" customHeight="true" outlineLevel="0" collapsed="false">
      <c r="A1053" s="10" t="s">
        <v>7026</v>
      </c>
      <c r="B1053" s="9" t="n">
        <v>1</v>
      </c>
      <c r="C1053" s="10" t="s">
        <v>1500</v>
      </c>
      <c r="D1053" s="10" t="s">
        <v>7018</v>
      </c>
      <c r="E1053" s="10" t="s">
        <v>1897</v>
      </c>
    </row>
    <row r="1054" customFormat="false" ht="25.5" hidden="false" customHeight="true" outlineLevel="0" collapsed="false">
      <c r="A1054" s="10" t="s">
        <v>7027</v>
      </c>
      <c r="B1054" s="9" t="n">
        <v>1</v>
      </c>
      <c r="C1054" s="10" t="s">
        <v>2140</v>
      </c>
      <c r="D1054" s="10" t="s">
        <v>6643</v>
      </c>
      <c r="E1054" s="10" t="s">
        <v>2442</v>
      </c>
    </row>
    <row r="1055" customFormat="false" ht="25.5" hidden="false" customHeight="true" outlineLevel="0" collapsed="false">
      <c r="A1055" s="10" t="s">
        <v>7028</v>
      </c>
      <c r="B1055" s="9" t="n">
        <v>1</v>
      </c>
      <c r="C1055" s="10" t="s">
        <v>1500</v>
      </c>
      <c r="D1055" s="10" t="s">
        <v>6982</v>
      </c>
      <c r="E1055" s="10" t="s">
        <v>1693</v>
      </c>
    </row>
    <row r="1056" customFormat="false" ht="25.5" hidden="false" customHeight="true" outlineLevel="0" collapsed="false">
      <c r="A1056" s="10" t="s">
        <v>7029</v>
      </c>
      <c r="B1056" s="9" t="n">
        <v>1</v>
      </c>
      <c r="C1056" s="10" t="s">
        <v>2140</v>
      </c>
      <c r="D1056" s="10" t="s">
        <v>7030</v>
      </c>
      <c r="E1056" s="10" t="s">
        <v>2608</v>
      </c>
    </row>
    <row r="1057" customFormat="false" ht="25.5" hidden="false" customHeight="true" outlineLevel="0" collapsed="false">
      <c r="A1057" s="10" t="s">
        <v>7031</v>
      </c>
      <c r="B1057" s="9" t="n">
        <v>1</v>
      </c>
      <c r="C1057" s="10" t="s">
        <v>837</v>
      </c>
      <c r="D1057" s="10" t="s">
        <v>7032</v>
      </c>
      <c r="E1057" s="10" t="s">
        <v>1326</v>
      </c>
    </row>
    <row r="1058" customFormat="false" ht="25.5" hidden="false" customHeight="true" outlineLevel="0" collapsed="false">
      <c r="A1058" s="10" t="s">
        <v>7033</v>
      </c>
      <c r="B1058" s="9" t="n">
        <v>1</v>
      </c>
      <c r="C1058" s="10" t="s">
        <v>837</v>
      </c>
      <c r="D1058" s="10" t="s">
        <v>6355</v>
      </c>
      <c r="E1058" s="10" t="s">
        <v>1381</v>
      </c>
    </row>
    <row r="1059" customFormat="false" ht="25.5" hidden="false" customHeight="true" outlineLevel="0" collapsed="false">
      <c r="A1059" s="10" t="s">
        <v>7034</v>
      </c>
      <c r="B1059" s="9" t="n">
        <v>1</v>
      </c>
      <c r="C1059" s="10" t="s">
        <v>2713</v>
      </c>
      <c r="D1059" s="10" t="s">
        <v>6051</v>
      </c>
      <c r="E1059" s="10" t="s">
        <v>3207</v>
      </c>
    </row>
    <row r="1060" customFormat="false" ht="25.5" hidden="false" customHeight="true" outlineLevel="0" collapsed="false">
      <c r="A1060" s="10" t="s">
        <v>7035</v>
      </c>
      <c r="B1060" s="9" t="n">
        <v>1</v>
      </c>
      <c r="C1060" s="10" t="s">
        <v>1500</v>
      </c>
      <c r="D1060" s="10" t="s">
        <v>5910</v>
      </c>
      <c r="E1060" s="10" t="s">
        <v>1627</v>
      </c>
    </row>
    <row r="1061" customFormat="false" ht="25.5" hidden="false" customHeight="true" outlineLevel="0" collapsed="false">
      <c r="A1061" s="10" t="s">
        <v>7036</v>
      </c>
      <c r="B1061" s="9" t="n">
        <v>1</v>
      </c>
      <c r="C1061" s="10" t="s">
        <v>1500</v>
      </c>
      <c r="D1061" s="10" t="s">
        <v>5890</v>
      </c>
      <c r="E1061" s="10" t="s">
        <v>2013</v>
      </c>
    </row>
    <row r="1062" customFormat="false" ht="25.5" hidden="false" customHeight="true" outlineLevel="0" collapsed="false">
      <c r="A1062" s="10" t="s">
        <v>7037</v>
      </c>
      <c r="B1062" s="9" t="n">
        <v>1</v>
      </c>
      <c r="C1062" s="10" t="s">
        <v>2713</v>
      </c>
      <c r="D1062" s="10" t="s">
        <v>6053</v>
      </c>
      <c r="E1062" s="10" t="s">
        <v>3194</v>
      </c>
    </row>
    <row r="1063" customFormat="false" ht="25.5" hidden="false" customHeight="true" outlineLevel="0" collapsed="false">
      <c r="A1063" s="10" t="s">
        <v>7038</v>
      </c>
      <c r="B1063" s="9" t="n">
        <v>1</v>
      </c>
      <c r="C1063" s="10" t="s">
        <v>837</v>
      </c>
      <c r="D1063" s="10" t="s">
        <v>6045</v>
      </c>
      <c r="E1063" s="10" t="s">
        <v>1034</v>
      </c>
    </row>
    <row r="1064" customFormat="false" ht="25.5" hidden="false" customHeight="true" outlineLevel="0" collapsed="false">
      <c r="A1064" s="10" t="s">
        <v>7039</v>
      </c>
      <c r="B1064" s="9" t="n">
        <v>1</v>
      </c>
      <c r="C1064" s="10" t="s">
        <v>4949</v>
      </c>
      <c r="D1064" s="10" t="s">
        <v>6418</v>
      </c>
      <c r="E1064" s="10" t="s">
        <v>5004</v>
      </c>
    </row>
    <row r="1065" customFormat="false" ht="25.5" hidden="false" customHeight="true" outlineLevel="0" collapsed="false">
      <c r="A1065" s="10" t="s">
        <v>7040</v>
      </c>
      <c r="B1065" s="9" t="n">
        <v>1</v>
      </c>
      <c r="C1065" s="10" t="s">
        <v>59</v>
      </c>
      <c r="D1065" s="10" t="s">
        <v>6028</v>
      </c>
      <c r="E1065" s="10" t="s">
        <v>800</v>
      </c>
    </row>
    <row r="1066" customFormat="false" ht="25.5" hidden="false" customHeight="true" outlineLevel="0" collapsed="false">
      <c r="A1066" s="10" t="s">
        <v>7041</v>
      </c>
      <c r="B1066" s="9" t="n">
        <v>1</v>
      </c>
      <c r="C1066" s="10" t="s">
        <v>59</v>
      </c>
      <c r="D1066" s="10" t="s">
        <v>6028</v>
      </c>
      <c r="E1066" s="10" t="s">
        <v>800</v>
      </c>
    </row>
    <row r="1067" customFormat="false" ht="25.5" hidden="false" customHeight="true" outlineLevel="0" collapsed="false">
      <c r="A1067" s="10" t="s">
        <v>7042</v>
      </c>
      <c r="B1067" s="9" t="n">
        <v>1</v>
      </c>
      <c r="C1067" s="10" t="s">
        <v>4203</v>
      </c>
      <c r="D1067" s="10" t="s">
        <v>6526</v>
      </c>
      <c r="E1067" s="10" t="s">
        <v>4466</v>
      </c>
    </row>
    <row r="1068" customFormat="false" ht="25.5" hidden="false" customHeight="true" outlineLevel="0" collapsed="false">
      <c r="A1068" s="10" t="s">
        <v>7043</v>
      </c>
      <c r="B1068" s="9" t="n">
        <v>1</v>
      </c>
      <c r="C1068" s="10" t="s">
        <v>3291</v>
      </c>
      <c r="D1068" s="10" t="s">
        <v>5752</v>
      </c>
      <c r="E1068" s="10" t="s">
        <v>3645</v>
      </c>
    </row>
    <row r="1069" customFormat="false" ht="25.5" hidden="false" customHeight="true" outlineLevel="0" collapsed="false">
      <c r="A1069" s="10" t="s">
        <v>7044</v>
      </c>
      <c r="B1069" s="9" t="n">
        <v>1</v>
      </c>
      <c r="C1069" s="10" t="s">
        <v>59</v>
      </c>
      <c r="D1069" s="10" t="s">
        <v>6333</v>
      </c>
      <c r="E1069" s="10" t="s">
        <v>786</v>
      </c>
    </row>
    <row r="1070" customFormat="false" ht="25.5" hidden="false" customHeight="true" outlineLevel="0" collapsed="false">
      <c r="A1070" s="10" t="s">
        <v>7045</v>
      </c>
      <c r="B1070" s="9" t="n">
        <v>1</v>
      </c>
      <c r="C1070" s="10" t="s">
        <v>2713</v>
      </c>
      <c r="D1070" s="10" t="s">
        <v>7046</v>
      </c>
      <c r="E1070" s="10" t="s">
        <v>3143</v>
      </c>
    </row>
    <row r="1071" customFormat="false" ht="25.5" hidden="false" customHeight="true" outlineLevel="0" collapsed="false">
      <c r="A1071" s="10" t="s">
        <v>7047</v>
      </c>
      <c r="B1071" s="9" t="n">
        <v>1</v>
      </c>
      <c r="C1071" s="10" t="s">
        <v>2140</v>
      </c>
      <c r="D1071" s="10" t="s">
        <v>5598</v>
      </c>
      <c r="E1071" s="10" t="s">
        <v>2253</v>
      </c>
    </row>
    <row r="1072" customFormat="false" ht="25.5" hidden="false" customHeight="true" outlineLevel="0" collapsed="false">
      <c r="A1072" s="10" t="s">
        <v>7048</v>
      </c>
      <c r="B1072" s="9" t="n">
        <v>1</v>
      </c>
      <c r="C1072" s="10" t="s">
        <v>2713</v>
      </c>
      <c r="D1072" s="10" t="s">
        <v>6309</v>
      </c>
      <c r="E1072" s="10" t="s">
        <v>3058</v>
      </c>
    </row>
    <row r="1073" customFormat="false" ht="25.5" hidden="false" customHeight="true" outlineLevel="0" collapsed="false">
      <c r="A1073" s="10" t="s">
        <v>7049</v>
      </c>
      <c r="B1073" s="9" t="n">
        <v>1</v>
      </c>
      <c r="C1073" s="10" t="s">
        <v>2713</v>
      </c>
      <c r="D1073" s="10" t="s">
        <v>6309</v>
      </c>
      <c r="E1073" s="10" t="s">
        <v>3058</v>
      </c>
    </row>
    <row r="1074" customFormat="false" ht="25.5" hidden="false" customHeight="true" outlineLevel="0" collapsed="false">
      <c r="A1074" s="10" t="s">
        <v>7050</v>
      </c>
      <c r="B1074" s="9" t="n">
        <v>1</v>
      </c>
      <c r="C1074" s="10" t="s">
        <v>2140</v>
      </c>
      <c r="D1074" s="10" t="s">
        <v>6187</v>
      </c>
      <c r="E1074" s="10" t="s">
        <v>2687</v>
      </c>
    </row>
    <row r="1075" customFormat="false" ht="25.5" hidden="false" customHeight="true" outlineLevel="0" collapsed="false">
      <c r="A1075" s="10" t="s">
        <v>7051</v>
      </c>
      <c r="B1075" s="9" t="n">
        <v>1</v>
      </c>
      <c r="C1075" s="10" t="s">
        <v>4203</v>
      </c>
      <c r="D1075" s="10" t="s">
        <v>6643</v>
      </c>
      <c r="E1075" s="10" t="s">
        <v>4416</v>
      </c>
    </row>
    <row r="1076" customFormat="false" ht="25.5" hidden="false" customHeight="true" outlineLevel="0" collapsed="false">
      <c r="A1076" s="10" t="s">
        <v>7052</v>
      </c>
      <c r="B1076" s="9" t="n">
        <v>1</v>
      </c>
      <c r="C1076" s="10" t="s">
        <v>3291</v>
      </c>
      <c r="D1076" s="10" t="s">
        <v>5977</v>
      </c>
      <c r="E1076" s="10" t="s">
        <v>3354</v>
      </c>
    </row>
    <row r="1077" customFormat="false" ht="25.5" hidden="false" customHeight="true" outlineLevel="0" collapsed="false">
      <c r="A1077" s="10" t="s">
        <v>7053</v>
      </c>
      <c r="B1077" s="9" t="n">
        <v>1</v>
      </c>
      <c r="C1077" s="10" t="s">
        <v>3291</v>
      </c>
      <c r="D1077" s="10" t="s">
        <v>5977</v>
      </c>
      <c r="E1077" s="10" t="s">
        <v>3354</v>
      </c>
    </row>
    <row r="1078" customFormat="false" ht="25.5" hidden="false" customHeight="true" outlineLevel="0" collapsed="false">
      <c r="A1078" s="10" t="s">
        <v>7054</v>
      </c>
      <c r="B1078" s="9" t="n">
        <v>1</v>
      </c>
      <c r="C1078" s="10" t="s">
        <v>3291</v>
      </c>
      <c r="D1078" s="10" t="s">
        <v>5977</v>
      </c>
      <c r="E1078" s="10" t="s">
        <v>3354</v>
      </c>
    </row>
    <row r="1079" customFormat="false" ht="25.5" hidden="false" customHeight="true" outlineLevel="0" collapsed="false">
      <c r="A1079" s="10" t="s">
        <v>7055</v>
      </c>
      <c r="B1079" s="9" t="n">
        <v>1</v>
      </c>
      <c r="C1079" s="10" t="s">
        <v>59</v>
      </c>
      <c r="D1079" s="10" t="s">
        <v>6148</v>
      </c>
      <c r="E1079" s="10" t="s">
        <v>759</v>
      </c>
    </row>
    <row r="1080" customFormat="false" ht="25.5" hidden="false" customHeight="true" outlineLevel="0" collapsed="false">
      <c r="A1080" s="10" t="s">
        <v>7056</v>
      </c>
      <c r="B1080" s="9" t="n">
        <v>1</v>
      </c>
      <c r="C1080" s="10" t="s">
        <v>59</v>
      </c>
      <c r="D1080" s="10" t="s">
        <v>5858</v>
      </c>
      <c r="E1080" s="10" t="s">
        <v>747</v>
      </c>
    </row>
    <row r="1081" customFormat="false" ht="25.5" hidden="false" customHeight="true" outlineLevel="0" collapsed="false">
      <c r="A1081" s="10" t="s">
        <v>7057</v>
      </c>
      <c r="B1081" s="9" t="n">
        <v>1</v>
      </c>
      <c r="C1081" s="10" t="s">
        <v>3842</v>
      </c>
      <c r="D1081" s="10" t="s">
        <v>6666</v>
      </c>
      <c r="E1081" s="10" t="s">
        <v>3892</v>
      </c>
    </row>
    <row r="1082" customFormat="false" ht="25.5" hidden="false" customHeight="true" outlineLevel="0" collapsed="false">
      <c r="A1082" s="10" t="s">
        <v>7058</v>
      </c>
      <c r="B1082" s="9" t="n">
        <v>1</v>
      </c>
      <c r="C1082" s="10" t="s">
        <v>3842</v>
      </c>
      <c r="D1082" s="10" t="s">
        <v>6666</v>
      </c>
      <c r="E1082" s="10" t="s">
        <v>3892</v>
      </c>
    </row>
    <row r="1083" customFormat="false" ht="25.5" hidden="false" customHeight="true" outlineLevel="0" collapsed="false">
      <c r="A1083" s="10" t="s">
        <v>7059</v>
      </c>
      <c r="B1083" s="9" t="n">
        <v>1</v>
      </c>
      <c r="C1083" s="10" t="s">
        <v>3842</v>
      </c>
      <c r="D1083" s="10" t="s">
        <v>6666</v>
      </c>
      <c r="E1083" s="10" t="s">
        <v>3892</v>
      </c>
    </row>
    <row r="1084" customFormat="false" ht="25.5" hidden="false" customHeight="true" outlineLevel="0" collapsed="false">
      <c r="A1084" s="10" t="s">
        <v>7060</v>
      </c>
      <c r="B1084" s="9" t="n">
        <v>1</v>
      </c>
      <c r="C1084" s="10" t="s">
        <v>3842</v>
      </c>
      <c r="D1084" s="10" t="s">
        <v>6463</v>
      </c>
      <c r="E1084" s="10" t="s">
        <v>3879</v>
      </c>
    </row>
    <row r="1085" customFormat="false" ht="25.5" hidden="false" customHeight="true" outlineLevel="0" collapsed="false">
      <c r="A1085" s="10" t="s">
        <v>7061</v>
      </c>
      <c r="B1085" s="9" t="n">
        <v>1</v>
      </c>
      <c r="C1085" s="10" t="s">
        <v>3842</v>
      </c>
      <c r="D1085" s="10" t="s">
        <v>6113</v>
      </c>
      <c r="E1085" s="10" t="s">
        <v>4036</v>
      </c>
    </row>
    <row r="1086" customFormat="false" ht="25.5" hidden="false" customHeight="true" outlineLevel="0" collapsed="false">
      <c r="A1086" s="10" t="s">
        <v>7062</v>
      </c>
      <c r="B1086" s="9" t="n">
        <v>1</v>
      </c>
      <c r="C1086" s="10" t="s">
        <v>3842</v>
      </c>
      <c r="D1086" s="10" t="s">
        <v>6409</v>
      </c>
      <c r="E1086" s="10" t="s">
        <v>4189</v>
      </c>
    </row>
    <row r="1087" customFormat="false" ht="25.5" hidden="false" customHeight="true" outlineLevel="0" collapsed="false">
      <c r="A1087" s="10" t="s">
        <v>7063</v>
      </c>
      <c r="B1087" s="9" t="n">
        <v>1</v>
      </c>
      <c r="C1087" s="10" t="s">
        <v>3842</v>
      </c>
      <c r="D1087" s="10" t="s">
        <v>6113</v>
      </c>
      <c r="E1087" s="10" t="s">
        <v>4036</v>
      </c>
    </row>
    <row r="1088" customFormat="false" ht="25.5" hidden="false" customHeight="true" outlineLevel="0" collapsed="false">
      <c r="A1088" s="10" t="s">
        <v>7064</v>
      </c>
      <c r="B1088" s="9" t="n">
        <v>1</v>
      </c>
      <c r="C1088" s="10" t="s">
        <v>2713</v>
      </c>
      <c r="D1088" s="10" t="s">
        <v>5576</v>
      </c>
      <c r="E1088" s="10" t="s">
        <v>2963</v>
      </c>
    </row>
    <row r="1089" customFormat="false" ht="25.5" hidden="false" customHeight="true" outlineLevel="0" collapsed="false">
      <c r="A1089" s="10" t="s">
        <v>7065</v>
      </c>
      <c r="B1089" s="9" t="n">
        <v>1</v>
      </c>
      <c r="C1089" s="10" t="s">
        <v>3842</v>
      </c>
      <c r="D1089" s="10" t="s">
        <v>6409</v>
      </c>
      <c r="E1089" s="10" t="s">
        <v>4189</v>
      </c>
    </row>
    <row r="1090" customFormat="false" ht="25.5" hidden="false" customHeight="true" outlineLevel="0" collapsed="false">
      <c r="A1090" s="10" t="s">
        <v>7066</v>
      </c>
      <c r="B1090" s="9" t="n">
        <v>1</v>
      </c>
      <c r="C1090" s="10" t="s">
        <v>4949</v>
      </c>
      <c r="D1090" s="10" t="s">
        <v>6141</v>
      </c>
      <c r="E1090" s="10" t="s">
        <v>4990</v>
      </c>
    </row>
    <row r="1091" customFormat="false" ht="25.5" hidden="false" customHeight="true" outlineLevel="0" collapsed="false">
      <c r="A1091" s="10" t="s">
        <v>7067</v>
      </c>
      <c r="B1091" s="9" t="n">
        <v>1</v>
      </c>
      <c r="C1091" s="10" t="s">
        <v>2713</v>
      </c>
      <c r="D1091" s="10" t="s">
        <v>5576</v>
      </c>
      <c r="E1091" s="10" t="s">
        <v>2830</v>
      </c>
    </row>
    <row r="1092" customFormat="false" ht="25.5" hidden="false" customHeight="true" outlineLevel="0" collapsed="false">
      <c r="A1092" s="10" t="s">
        <v>7068</v>
      </c>
      <c r="B1092" s="9" t="n">
        <v>1</v>
      </c>
      <c r="C1092" s="10" t="s">
        <v>3291</v>
      </c>
      <c r="D1092" s="10" t="s">
        <v>5989</v>
      </c>
      <c r="E1092" s="10" t="s">
        <v>3460</v>
      </c>
    </row>
    <row r="1093" customFormat="false" ht="25.5" hidden="false" customHeight="true" outlineLevel="0" collapsed="false">
      <c r="A1093" s="10" t="s">
        <v>7069</v>
      </c>
      <c r="B1093" s="9" t="n">
        <v>1</v>
      </c>
      <c r="C1093" s="10" t="s">
        <v>59</v>
      </c>
      <c r="D1093" s="10" t="s">
        <v>5858</v>
      </c>
      <c r="E1093" s="10" t="s">
        <v>264</v>
      </c>
    </row>
    <row r="1094" customFormat="false" ht="25.5" hidden="false" customHeight="true" outlineLevel="0" collapsed="false">
      <c r="A1094" s="10" t="s">
        <v>7070</v>
      </c>
      <c r="B1094" s="9" t="n">
        <v>1</v>
      </c>
      <c r="C1094" s="10" t="s">
        <v>3291</v>
      </c>
      <c r="D1094" s="10" t="s">
        <v>6589</v>
      </c>
      <c r="E1094" s="10" t="s">
        <v>3748</v>
      </c>
    </row>
    <row r="1095" customFormat="false" ht="25.5" hidden="false" customHeight="true" outlineLevel="0" collapsed="false">
      <c r="A1095" s="10" t="s">
        <v>7071</v>
      </c>
      <c r="B1095" s="9" t="n">
        <v>1</v>
      </c>
      <c r="C1095" s="10" t="s">
        <v>837</v>
      </c>
      <c r="D1095" s="10" t="s">
        <v>7072</v>
      </c>
      <c r="E1095" s="10" t="s">
        <v>1432</v>
      </c>
    </row>
    <row r="1096" customFormat="false" ht="25.5" hidden="false" customHeight="true" outlineLevel="0" collapsed="false">
      <c r="A1096" s="10" t="s">
        <v>7073</v>
      </c>
      <c r="B1096" s="9" t="n">
        <v>1</v>
      </c>
      <c r="C1096" s="10" t="s">
        <v>59</v>
      </c>
      <c r="D1096" s="10" t="s">
        <v>7074</v>
      </c>
      <c r="E1096" s="10" t="s">
        <v>547</v>
      </c>
    </row>
    <row r="1097" customFormat="false" ht="25.5" hidden="false" customHeight="true" outlineLevel="0" collapsed="false">
      <c r="A1097" s="10" t="s">
        <v>7075</v>
      </c>
      <c r="B1097" s="9" t="n">
        <v>1</v>
      </c>
      <c r="C1097" s="10" t="s">
        <v>2713</v>
      </c>
      <c r="D1097" s="10" t="s">
        <v>6352</v>
      </c>
      <c r="E1097" s="10" t="s">
        <v>3168</v>
      </c>
    </row>
    <row r="1098" customFormat="false" ht="25.5" hidden="false" customHeight="true" outlineLevel="0" collapsed="false">
      <c r="A1098" s="10" t="s">
        <v>7076</v>
      </c>
      <c r="B1098" s="9" t="n">
        <v>1</v>
      </c>
      <c r="C1098" s="10" t="s">
        <v>59</v>
      </c>
      <c r="D1098" s="10" t="s">
        <v>7074</v>
      </c>
      <c r="E1098" s="10" t="s">
        <v>547</v>
      </c>
    </row>
    <row r="1099" customFormat="false" ht="25.5" hidden="false" customHeight="true" outlineLevel="0" collapsed="false">
      <c r="A1099" s="10" t="s">
        <v>7077</v>
      </c>
      <c r="B1099" s="9" t="n">
        <v>1</v>
      </c>
      <c r="C1099" s="10" t="s">
        <v>2713</v>
      </c>
      <c r="D1099" s="10" t="s">
        <v>6557</v>
      </c>
      <c r="E1099" s="10" t="s">
        <v>2842</v>
      </c>
    </row>
    <row r="1100" customFormat="false" ht="25.5" hidden="false" customHeight="true" outlineLevel="0" collapsed="false">
      <c r="A1100" s="10" t="s">
        <v>7078</v>
      </c>
      <c r="B1100" s="9" t="n">
        <v>1</v>
      </c>
      <c r="C1100" s="10" t="s">
        <v>2713</v>
      </c>
      <c r="D1100" s="10" t="s">
        <v>6491</v>
      </c>
      <c r="E1100" s="10" t="s">
        <v>3093</v>
      </c>
    </row>
    <row r="1101" customFormat="false" ht="25.5" hidden="false" customHeight="true" outlineLevel="0" collapsed="false">
      <c r="A1101" s="10" t="s">
        <v>7079</v>
      </c>
      <c r="B1101" s="9" t="n">
        <v>1</v>
      </c>
      <c r="C1101" s="10" t="s">
        <v>2713</v>
      </c>
      <c r="D1101" s="10" t="s">
        <v>6491</v>
      </c>
      <c r="E1101" s="10" t="s">
        <v>3093</v>
      </c>
    </row>
    <row r="1102" customFormat="false" ht="25.5" hidden="false" customHeight="true" outlineLevel="0" collapsed="false">
      <c r="A1102" s="10" t="s">
        <v>7080</v>
      </c>
      <c r="B1102" s="9" t="n">
        <v>1</v>
      </c>
      <c r="C1102" s="10" t="s">
        <v>2713</v>
      </c>
      <c r="D1102" s="10" t="s">
        <v>3032</v>
      </c>
      <c r="E1102" s="10" t="s">
        <v>3036</v>
      </c>
    </row>
    <row r="1103" customFormat="false" ht="25.5" hidden="false" customHeight="true" outlineLevel="0" collapsed="false">
      <c r="A1103" s="10" t="s">
        <v>7081</v>
      </c>
      <c r="B1103" s="9" t="n">
        <v>1</v>
      </c>
      <c r="C1103" s="10" t="s">
        <v>3842</v>
      </c>
      <c r="D1103" s="10" t="s">
        <v>6463</v>
      </c>
      <c r="E1103" s="10" t="s">
        <v>3865</v>
      </c>
    </row>
    <row r="1104" customFormat="false" ht="25.5" hidden="false" customHeight="true" outlineLevel="0" collapsed="false">
      <c r="A1104" s="10" t="s">
        <v>7082</v>
      </c>
      <c r="B1104" s="9" t="n">
        <v>1</v>
      </c>
      <c r="C1104" s="10" t="s">
        <v>59</v>
      </c>
      <c r="D1104" s="10" t="s">
        <v>7083</v>
      </c>
      <c r="E1104" s="10" t="s">
        <v>189</v>
      </c>
    </row>
    <row r="1105" customFormat="false" ht="25.5" hidden="false" customHeight="true" outlineLevel="0" collapsed="false">
      <c r="A1105" s="10" t="s">
        <v>7084</v>
      </c>
      <c r="B1105" s="9" t="n">
        <v>1</v>
      </c>
      <c r="C1105" s="10" t="s">
        <v>3291</v>
      </c>
      <c r="D1105" s="10" t="s">
        <v>7085</v>
      </c>
      <c r="E1105" s="10" t="s">
        <v>3657</v>
      </c>
    </row>
    <row r="1106" customFormat="false" ht="25.5" hidden="false" customHeight="true" outlineLevel="0" collapsed="false">
      <c r="A1106" s="10" t="s">
        <v>7086</v>
      </c>
      <c r="B1106" s="9" t="n">
        <v>1</v>
      </c>
      <c r="C1106" s="10" t="s">
        <v>2140</v>
      </c>
      <c r="D1106" s="10" t="s">
        <v>6663</v>
      </c>
      <c r="E1106" s="10" t="s">
        <v>2339</v>
      </c>
    </row>
    <row r="1107" customFormat="false" ht="25.5" hidden="false" customHeight="true" outlineLevel="0" collapsed="false">
      <c r="A1107" s="10" t="s">
        <v>7087</v>
      </c>
      <c r="B1107" s="9" t="n">
        <v>1</v>
      </c>
      <c r="C1107" s="10" t="s">
        <v>1500</v>
      </c>
      <c r="D1107" s="10" t="s">
        <v>6173</v>
      </c>
      <c r="E1107" s="10" t="s">
        <v>1640</v>
      </c>
    </row>
    <row r="1108" customFormat="false" ht="25.5" hidden="false" customHeight="true" outlineLevel="0" collapsed="false">
      <c r="A1108" s="10" t="s">
        <v>7088</v>
      </c>
      <c r="B1108" s="9" t="n">
        <v>1</v>
      </c>
      <c r="C1108" s="10" t="s">
        <v>837</v>
      </c>
      <c r="D1108" s="10" t="s">
        <v>7089</v>
      </c>
      <c r="E1108" s="10" t="s">
        <v>1232</v>
      </c>
    </row>
    <row r="1109" customFormat="false" ht="25.5" hidden="false" customHeight="true" outlineLevel="0" collapsed="false">
      <c r="A1109" s="10" t="s">
        <v>7090</v>
      </c>
      <c r="B1109" s="9" t="n">
        <v>1</v>
      </c>
      <c r="C1109" s="10" t="s">
        <v>837</v>
      </c>
      <c r="D1109" s="10" t="s">
        <v>7089</v>
      </c>
      <c r="E1109" s="10" t="s">
        <v>1232</v>
      </c>
    </row>
    <row r="1110" customFormat="false" ht="25.5" hidden="false" customHeight="true" outlineLevel="0" collapsed="false">
      <c r="A1110" s="10" t="s">
        <v>7091</v>
      </c>
      <c r="B1110" s="9" t="n">
        <v>1</v>
      </c>
      <c r="C1110" s="10" t="s">
        <v>837</v>
      </c>
      <c r="D1110" s="10" t="s">
        <v>7089</v>
      </c>
      <c r="E1110" s="10" t="s">
        <v>1232</v>
      </c>
    </row>
    <row r="1111" customFormat="false" ht="25.5" hidden="false" customHeight="true" outlineLevel="0" collapsed="false">
      <c r="A1111" s="10" t="s">
        <v>7092</v>
      </c>
      <c r="B1111" s="9" t="n">
        <v>1</v>
      </c>
      <c r="C1111" s="10" t="s">
        <v>3291</v>
      </c>
      <c r="D1111" s="10" t="s">
        <v>6710</v>
      </c>
      <c r="E1111" s="10" t="s">
        <v>3393</v>
      </c>
    </row>
    <row r="1112" customFormat="false" ht="25.5" hidden="false" customHeight="true" outlineLevel="0" collapsed="false">
      <c r="A1112" s="10" t="s">
        <v>7093</v>
      </c>
      <c r="B1112" s="9" t="n">
        <v>1</v>
      </c>
      <c r="C1112" s="10" t="s">
        <v>837</v>
      </c>
      <c r="D1112" s="10" t="s">
        <v>6820</v>
      </c>
      <c r="E1112" s="10" t="s">
        <v>1486</v>
      </c>
    </row>
    <row r="1113" customFormat="false" ht="25.5" hidden="false" customHeight="true" outlineLevel="0" collapsed="false">
      <c r="A1113" s="10" t="s">
        <v>7094</v>
      </c>
      <c r="B1113" s="9" t="n">
        <v>1</v>
      </c>
      <c r="C1113" s="10" t="s">
        <v>59</v>
      </c>
      <c r="D1113" s="10" t="s">
        <v>6555</v>
      </c>
      <c r="E1113" s="10" t="s">
        <v>612</v>
      </c>
    </row>
    <row r="1114" customFormat="false" ht="25.5" hidden="false" customHeight="true" outlineLevel="0" collapsed="false">
      <c r="A1114" s="10" t="s">
        <v>7095</v>
      </c>
      <c r="B1114" s="9" t="n">
        <v>1</v>
      </c>
      <c r="C1114" s="10" t="s">
        <v>59</v>
      </c>
      <c r="D1114" s="10" t="s">
        <v>6028</v>
      </c>
      <c r="E1114" s="10" t="s">
        <v>773</v>
      </c>
    </row>
    <row r="1115" customFormat="false" ht="25.5" hidden="false" customHeight="true" outlineLevel="0" collapsed="false">
      <c r="A1115" s="10" t="s">
        <v>7096</v>
      </c>
      <c r="B1115" s="9" t="n">
        <v>1</v>
      </c>
      <c r="C1115" s="10" t="s">
        <v>837</v>
      </c>
      <c r="D1115" s="10" t="s">
        <v>7097</v>
      </c>
      <c r="E1115" s="10" t="s">
        <v>851</v>
      </c>
    </row>
    <row r="1116" customFormat="false" ht="25.5" hidden="false" customHeight="true" outlineLevel="0" collapsed="false">
      <c r="A1116" s="10" t="s">
        <v>7098</v>
      </c>
      <c r="B1116" s="9" t="n">
        <v>1</v>
      </c>
      <c r="C1116" s="10" t="s">
        <v>837</v>
      </c>
      <c r="D1116" s="10" t="s">
        <v>6095</v>
      </c>
      <c r="E1116" s="10" t="s">
        <v>889</v>
      </c>
    </row>
    <row r="1117" customFormat="false" ht="25.5" hidden="false" customHeight="true" outlineLevel="0" collapsed="false">
      <c r="A1117" s="10" t="s">
        <v>7099</v>
      </c>
      <c r="B1117" s="9" t="n">
        <v>1</v>
      </c>
      <c r="C1117" s="10" t="s">
        <v>837</v>
      </c>
      <c r="D1117" s="10" t="s">
        <v>6218</v>
      </c>
      <c r="E1117" s="10" t="s">
        <v>981</v>
      </c>
    </row>
    <row r="1118" customFormat="false" ht="25.5" hidden="false" customHeight="true" outlineLevel="0" collapsed="false">
      <c r="A1118" s="10" t="s">
        <v>7100</v>
      </c>
      <c r="B1118" s="9" t="n">
        <v>1</v>
      </c>
      <c r="C1118" s="10" t="s">
        <v>837</v>
      </c>
      <c r="D1118" s="10" t="s">
        <v>7101</v>
      </c>
      <c r="E1118" s="10" t="s">
        <v>1021</v>
      </c>
    </row>
    <row r="1119" customFormat="false" ht="25.5" hidden="false" customHeight="true" outlineLevel="0" collapsed="false">
      <c r="A1119" s="10" t="s">
        <v>7102</v>
      </c>
      <c r="B1119" s="9" t="n">
        <v>1</v>
      </c>
      <c r="C1119" s="10" t="s">
        <v>3291</v>
      </c>
      <c r="D1119" s="10" t="s">
        <v>5991</v>
      </c>
      <c r="E1119" s="10" t="s">
        <v>3341</v>
      </c>
    </row>
    <row r="1120" customFormat="false" ht="25.5" hidden="false" customHeight="true" outlineLevel="0" collapsed="false">
      <c r="A1120" s="10" t="s">
        <v>7103</v>
      </c>
      <c r="B1120" s="9" t="n">
        <v>1</v>
      </c>
      <c r="C1120" s="10" t="s">
        <v>837</v>
      </c>
      <c r="D1120" s="10" t="s">
        <v>6820</v>
      </c>
      <c r="E1120" s="10" t="s">
        <v>1486</v>
      </c>
    </row>
    <row r="1121" customFormat="false" ht="25.5" hidden="false" customHeight="true" outlineLevel="0" collapsed="false">
      <c r="A1121" s="10" t="s">
        <v>7104</v>
      </c>
      <c r="B1121" s="9" t="n">
        <v>1</v>
      </c>
      <c r="C1121" s="10" t="s">
        <v>2140</v>
      </c>
      <c r="D1121" s="10" t="s">
        <v>2161</v>
      </c>
      <c r="E1121" s="10" t="s">
        <v>2241</v>
      </c>
    </row>
    <row r="1122" customFormat="false" ht="25.5" hidden="false" customHeight="true" outlineLevel="0" collapsed="false">
      <c r="A1122" s="10" t="s">
        <v>7105</v>
      </c>
      <c r="B1122" s="9" t="n">
        <v>1</v>
      </c>
      <c r="C1122" s="10" t="s">
        <v>3291</v>
      </c>
      <c r="D1122" s="10" t="s">
        <v>7106</v>
      </c>
      <c r="E1122" s="10" t="s">
        <v>3801</v>
      </c>
    </row>
    <row r="1123" customFormat="false" ht="25.5" hidden="false" customHeight="true" outlineLevel="0" collapsed="false">
      <c r="A1123" s="10" t="s">
        <v>7107</v>
      </c>
      <c r="B1123" s="9" t="n">
        <v>1</v>
      </c>
      <c r="C1123" s="10" t="s">
        <v>837</v>
      </c>
      <c r="D1123" s="10" t="s">
        <v>6820</v>
      </c>
      <c r="E1123" s="10" t="s">
        <v>1486</v>
      </c>
    </row>
    <row r="1124" customFormat="false" ht="25.5" hidden="false" customHeight="true" outlineLevel="0" collapsed="false">
      <c r="A1124" s="10" t="s">
        <v>7108</v>
      </c>
      <c r="B1124" s="9" t="n">
        <v>1</v>
      </c>
      <c r="C1124" s="10" t="s">
        <v>837</v>
      </c>
      <c r="D1124" s="10" t="s">
        <v>7109</v>
      </c>
      <c r="E1124" s="10" t="s">
        <v>1246</v>
      </c>
    </row>
    <row r="1125" customFormat="false" ht="25.5" hidden="false" customHeight="true" outlineLevel="0" collapsed="false">
      <c r="A1125" s="10" t="s">
        <v>7110</v>
      </c>
      <c r="B1125" s="9" t="n">
        <v>1</v>
      </c>
      <c r="C1125" s="10" t="s">
        <v>2713</v>
      </c>
      <c r="D1125" s="10" t="s">
        <v>6082</v>
      </c>
      <c r="E1125" s="10" t="s">
        <v>2937</v>
      </c>
    </row>
    <row r="1126" customFormat="false" ht="25.5" hidden="false" customHeight="true" outlineLevel="0" collapsed="false">
      <c r="A1126" s="10" t="s">
        <v>7111</v>
      </c>
      <c r="B1126" s="9" t="n">
        <v>1</v>
      </c>
      <c r="C1126" s="10" t="s">
        <v>2713</v>
      </c>
      <c r="D1126" s="10" t="s">
        <v>5870</v>
      </c>
      <c r="E1126" s="10" t="s">
        <v>2987</v>
      </c>
    </row>
    <row r="1127" customFormat="false" ht="25.5" hidden="false" customHeight="true" outlineLevel="0" collapsed="false">
      <c r="A1127" s="10" t="s">
        <v>7112</v>
      </c>
      <c r="B1127" s="9" t="n">
        <v>1</v>
      </c>
      <c r="C1127" s="10" t="s">
        <v>837</v>
      </c>
      <c r="D1127" s="10" t="s">
        <v>5987</v>
      </c>
      <c r="E1127" s="10" t="s">
        <v>1286</v>
      </c>
    </row>
    <row r="1128" customFormat="false" ht="25.5" hidden="false" customHeight="true" outlineLevel="0" collapsed="false">
      <c r="A1128" s="10" t="s">
        <v>7113</v>
      </c>
      <c r="B1128" s="9" t="n">
        <v>1</v>
      </c>
      <c r="C1128" s="10" t="s">
        <v>2713</v>
      </c>
      <c r="D1128" s="10" t="s">
        <v>6036</v>
      </c>
      <c r="E1128" s="10" t="s">
        <v>2854</v>
      </c>
    </row>
    <row r="1129" customFormat="false" ht="25.5" hidden="false" customHeight="true" outlineLevel="0" collapsed="false">
      <c r="A1129" s="10" t="s">
        <v>7114</v>
      </c>
      <c r="B1129" s="9" t="n">
        <v>1</v>
      </c>
      <c r="C1129" s="10" t="s">
        <v>4949</v>
      </c>
      <c r="D1129" s="10" t="s">
        <v>7115</v>
      </c>
      <c r="E1129" s="10" t="s">
        <v>5098</v>
      </c>
    </row>
    <row r="1130" customFormat="false" ht="25.5" hidden="false" customHeight="true" outlineLevel="0" collapsed="false">
      <c r="A1130" s="10" t="s">
        <v>7116</v>
      </c>
      <c r="B1130" s="9" t="n">
        <v>1</v>
      </c>
      <c r="C1130" s="10" t="s">
        <v>837</v>
      </c>
      <c r="D1130" s="10" t="s">
        <v>5734</v>
      </c>
      <c r="E1130" s="10" t="s">
        <v>1313</v>
      </c>
    </row>
    <row r="1131" customFormat="false" ht="25.5" hidden="false" customHeight="true" outlineLevel="0" collapsed="false">
      <c r="A1131" s="10" t="s">
        <v>7117</v>
      </c>
      <c r="B1131" s="9" t="n">
        <v>1</v>
      </c>
      <c r="C1131" s="10" t="s">
        <v>4949</v>
      </c>
      <c r="D1131" s="10" t="s">
        <v>7118</v>
      </c>
      <c r="E1131" s="10" t="s">
        <v>5288</v>
      </c>
    </row>
    <row r="1132" customFormat="false" ht="25.5" hidden="false" customHeight="true" outlineLevel="0" collapsed="false">
      <c r="A1132" s="10" t="s">
        <v>7119</v>
      </c>
      <c r="B1132" s="9" t="n">
        <v>1</v>
      </c>
      <c r="C1132" s="10" t="s">
        <v>837</v>
      </c>
      <c r="D1132" s="10" t="s">
        <v>7109</v>
      </c>
      <c r="E1132" s="10" t="s">
        <v>1246</v>
      </c>
    </row>
    <row r="1133" customFormat="false" ht="25.5" hidden="false" customHeight="true" outlineLevel="0" collapsed="false">
      <c r="A1133" s="10" t="s">
        <v>7120</v>
      </c>
      <c r="B1133" s="9" t="n">
        <v>1</v>
      </c>
      <c r="C1133" s="10" t="s">
        <v>837</v>
      </c>
      <c r="D1133" s="10" t="s">
        <v>6099</v>
      </c>
      <c r="E1133" s="10" t="s">
        <v>1258</v>
      </c>
    </row>
    <row r="1134" customFormat="false" ht="25.5" hidden="false" customHeight="true" outlineLevel="0" collapsed="false">
      <c r="A1134" s="10" t="s">
        <v>7121</v>
      </c>
      <c r="B1134" s="9" t="n">
        <v>1</v>
      </c>
      <c r="C1134" s="10" t="s">
        <v>59</v>
      </c>
      <c r="D1134" s="10" t="s">
        <v>6856</v>
      </c>
      <c r="E1134" s="10" t="s">
        <v>123</v>
      </c>
    </row>
    <row r="1135" customFormat="false" ht="25.5" hidden="false" customHeight="true" outlineLevel="0" collapsed="false">
      <c r="A1135" s="10" t="s">
        <v>7122</v>
      </c>
      <c r="B1135" s="9" t="n">
        <v>1</v>
      </c>
      <c r="C1135" s="10" t="s">
        <v>837</v>
      </c>
      <c r="D1135" s="10" t="s">
        <v>7109</v>
      </c>
      <c r="E1135" s="10" t="s">
        <v>1246</v>
      </c>
    </row>
    <row r="1136" customFormat="false" ht="25.5" hidden="false" customHeight="true" outlineLevel="0" collapsed="false">
      <c r="A1136" s="10" t="s">
        <v>7123</v>
      </c>
      <c r="B1136" s="9" t="n">
        <v>1</v>
      </c>
      <c r="C1136" s="10" t="s">
        <v>837</v>
      </c>
      <c r="D1136" s="10" t="s">
        <v>6099</v>
      </c>
      <c r="E1136" s="10" t="s">
        <v>1258</v>
      </c>
    </row>
    <row r="1137" customFormat="false" ht="25.5" hidden="false" customHeight="true" outlineLevel="0" collapsed="false">
      <c r="A1137" s="10" t="s">
        <v>7124</v>
      </c>
      <c r="B1137" s="9" t="n">
        <v>1</v>
      </c>
      <c r="C1137" s="10" t="s">
        <v>2140</v>
      </c>
      <c r="D1137" s="10" t="s">
        <v>7125</v>
      </c>
      <c r="E1137" s="10" t="s">
        <v>2467</v>
      </c>
    </row>
    <row r="1138" customFormat="false" ht="25.5" hidden="false" customHeight="true" outlineLevel="0" collapsed="false">
      <c r="A1138" s="10" t="s">
        <v>7126</v>
      </c>
      <c r="B1138" s="9" t="n">
        <v>1</v>
      </c>
      <c r="C1138" s="10" t="s">
        <v>837</v>
      </c>
      <c r="D1138" s="10" t="s">
        <v>6099</v>
      </c>
      <c r="E1138" s="10" t="s">
        <v>1258</v>
      </c>
    </row>
    <row r="1139" customFormat="false" ht="25.5" hidden="false" customHeight="true" outlineLevel="0" collapsed="false">
      <c r="A1139" s="10" t="s">
        <v>7127</v>
      </c>
      <c r="B1139" s="9" t="n">
        <v>1</v>
      </c>
      <c r="C1139" s="10" t="s">
        <v>837</v>
      </c>
      <c r="D1139" s="10" t="s">
        <v>6099</v>
      </c>
      <c r="E1139" s="10" t="s">
        <v>1258</v>
      </c>
    </row>
    <row r="1140" customFormat="false" ht="25.5" hidden="false" customHeight="true" outlineLevel="0" collapsed="false">
      <c r="A1140" s="10" t="s">
        <v>7128</v>
      </c>
      <c r="B1140" s="9" t="n">
        <v>1</v>
      </c>
      <c r="C1140" s="10" t="s">
        <v>837</v>
      </c>
      <c r="D1140" s="10" t="s">
        <v>6070</v>
      </c>
      <c r="E1140" s="10" t="s">
        <v>1298</v>
      </c>
    </row>
    <row r="1141" customFormat="false" ht="25.5" hidden="false" customHeight="true" outlineLevel="0" collapsed="false">
      <c r="A1141" s="10" t="s">
        <v>7129</v>
      </c>
      <c r="B1141" s="9" t="n">
        <v>1</v>
      </c>
      <c r="C1141" s="10" t="s">
        <v>2713</v>
      </c>
      <c r="D1141" s="10" t="s">
        <v>6108</v>
      </c>
      <c r="E1141" s="10" t="s">
        <v>2772</v>
      </c>
    </row>
    <row r="1142" customFormat="false" ht="25.5" hidden="false" customHeight="true" outlineLevel="0" collapsed="false">
      <c r="A1142" s="10" t="s">
        <v>7130</v>
      </c>
      <c r="B1142" s="9" t="n">
        <v>1</v>
      </c>
      <c r="C1142" s="10" t="s">
        <v>2713</v>
      </c>
      <c r="D1142" s="10" t="s">
        <v>6260</v>
      </c>
      <c r="E1142" s="10" t="s">
        <v>2783</v>
      </c>
    </row>
    <row r="1143" customFormat="false" ht="25.5" hidden="false" customHeight="true" outlineLevel="0" collapsed="false">
      <c r="A1143" s="10" t="s">
        <v>7131</v>
      </c>
      <c r="B1143" s="9" t="n">
        <v>1</v>
      </c>
      <c r="C1143" s="10" t="s">
        <v>2713</v>
      </c>
      <c r="D1143" s="10" t="s">
        <v>6150</v>
      </c>
      <c r="E1143" s="10" t="s">
        <v>2879</v>
      </c>
    </row>
    <row r="1144" customFormat="false" ht="25.5" hidden="false" customHeight="true" outlineLevel="0" collapsed="false">
      <c r="A1144" s="10" t="s">
        <v>7132</v>
      </c>
      <c r="B1144" s="9" t="n">
        <v>1</v>
      </c>
      <c r="C1144" s="10" t="s">
        <v>2713</v>
      </c>
      <c r="D1144" s="10" t="s">
        <v>6150</v>
      </c>
      <c r="E1144" s="10" t="s">
        <v>2879</v>
      </c>
    </row>
    <row r="1145" customFormat="false" ht="25.5" hidden="false" customHeight="true" outlineLevel="0" collapsed="false">
      <c r="A1145" s="10" t="s">
        <v>7133</v>
      </c>
      <c r="B1145" s="9" t="n">
        <v>1</v>
      </c>
      <c r="C1145" s="10" t="s">
        <v>2713</v>
      </c>
      <c r="D1145" s="10" t="s">
        <v>6150</v>
      </c>
      <c r="E1145" s="10" t="s">
        <v>2879</v>
      </c>
    </row>
    <row r="1146" customFormat="false" ht="25.5" hidden="false" customHeight="true" outlineLevel="0" collapsed="false">
      <c r="A1146" s="10" t="s">
        <v>7134</v>
      </c>
      <c r="B1146" s="9" t="n">
        <v>1</v>
      </c>
      <c r="C1146" s="10" t="s">
        <v>59</v>
      </c>
      <c r="D1146" s="10" t="s">
        <v>6856</v>
      </c>
      <c r="E1146" s="10" t="s">
        <v>123</v>
      </c>
    </row>
    <row r="1147" customFormat="false" ht="25.5" hidden="false" customHeight="true" outlineLevel="0" collapsed="false">
      <c r="A1147" s="10" t="s">
        <v>7135</v>
      </c>
      <c r="B1147" s="9" t="n">
        <v>1</v>
      </c>
      <c r="C1147" s="10" t="s">
        <v>837</v>
      </c>
      <c r="D1147" s="10" t="s">
        <v>5609</v>
      </c>
      <c r="E1147" s="10" t="s">
        <v>1368</v>
      </c>
    </row>
    <row r="1148" customFormat="false" ht="25.5" hidden="false" customHeight="true" outlineLevel="0" collapsed="false">
      <c r="A1148" s="10" t="s">
        <v>7136</v>
      </c>
      <c r="B1148" s="9" t="n">
        <v>1</v>
      </c>
      <c r="C1148" s="10" t="s">
        <v>2713</v>
      </c>
      <c r="D1148" s="10" t="s">
        <v>6125</v>
      </c>
      <c r="E1148" s="10" t="s">
        <v>2924</v>
      </c>
    </row>
    <row r="1149" customFormat="false" ht="25.5" hidden="false" customHeight="true" outlineLevel="0" collapsed="false">
      <c r="A1149" s="10" t="s">
        <v>7137</v>
      </c>
      <c r="B1149" s="9" t="n">
        <v>1</v>
      </c>
      <c r="C1149" s="10" t="s">
        <v>2713</v>
      </c>
      <c r="D1149" s="10" t="s">
        <v>6150</v>
      </c>
      <c r="E1149" s="10" t="s">
        <v>2879</v>
      </c>
    </row>
    <row r="1150" customFormat="false" ht="25.5" hidden="false" customHeight="true" outlineLevel="0" collapsed="false">
      <c r="A1150" s="10" t="s">
        <v>7138</v>
      </c>
      <c r="B1150" s="9" t="n">
        <v>1</v>
      </c>
      <c r="C1150" s="10" t="s">
        <v>2713</v>
      </c>
      <c r="D1150" s="10" t="s">
        <v>6150</v>
      </c>
      <c r="E1150" s="10" t="s">
        <v>2879</v>
      </c>
    </row>
    <row r="1151" customFormat="false" ht="25.5" hidden="false" customHeight="true" outlineLevel="0" collapsed="false">
      <c r="A1151" s="10" t="s">
        <v>7139</v>
      </c>
      <c r="B1151" s="9" t="n">
        <v>1</v>
      </c>
      <c r="C1151" s="10" t="s">
        <v>2140</v>
      </c>
      <c r="D1151" s="10" t="s">
        <v>7140</v>
      </c>
      <c r="E1151" s="10" t="s">
        <v>2313</v>
      </c>
    </row>
    <row r="1152" customFormat="false" ht="25.5" hidden="false" customHeight="true" outlineLevel="0" collapsed="false">
      <c r="A1152" s="10" t="s">
        <v>7141</v>
      </c>
      <c r="B1152" s="9" t="n">
        <v>1</v>
      </c>
      <c r="C1152" s="10" t="s">
        <v>59</v>
      </c>
      <c r="D1152" s="10" t="s">
        <v>6244</v>
      </c>
      <c r="E1152" s="10" t="s">
        <v>682</v>
      </c>
    </row>
    <row r="1153" customFormat="false" ht="25.5" hidden="false" customHeight="true" outlineLevel="0" collapsed="false">
      <c r="A1153" s="10" t="s">
        <v>7142</v>
      </c>
      <c r="B1153" s="9" t="n">
        <v>1</v>
      </c>
      <c r="C1153" s="10" t="s">
        <v>4582</v>
      </c>
      <c r="D1153" s="10" t="s">
        <v>6548</v>
      </c>
      <c r="E1153" s="10" t="s">
        <v>4911</v>
      </c>
    </row>
    <row r="1154" customFormat="false" ht="25.5" hidden="false" customHeight="true" outlineLevel="0" collapsed="false">
      <c r="A1154" s="10" t="s">
        <v>7143</v>
      </c>
      <c r="B1154" s="9" t="n">
        <v>1</v>
      </c>
      <c r="C1154" s="10" t="s">
        <v>2140</v>
      </c>
      <c r="D1154" s="10" t="s">
        <v>7144</v>
      </c>
      <c r="E1154" s="10" t="s">
        <v>2595</v>
      </c>
    </row>
    <row r="1155" customFormat="false" ht="25.5" hidden="false" customHeight="true" outlineLevel="0" collapsed="false">
      <c r="A1155" s="10" t="s">
        <v>7145</v>
      </c>
      <c r="B1155" s="9" t="n">
        <v>1</v>
      </c>
      <c r="C1155" s="10" t="s">
        <v>2140</v>
      </c>
      <c r="D1155" s="10" t="s">
        <v>6187</v>
      </c>
      <c r="E1155" s="10" t="s">
        <v>2687</v>
      </c>
    </row>
    <row r="1156" customFormat="false" ht="25.5" hidden="false" customHeight="true" outlineLevel="0" collapsed="false">
      <c r="A1156" s="10" t="s">
        <v>7146</v>
      </c>
      <c r="B1156" s="9" t="n">
        <v>1</v>
      </c>
      <c r="C1156" s="10" t="s">
        <v>1500</v>
      </c>
      <c r="D1156" s="10" t="s">
        <v>7147</v>
      </c>
      <c r="E1156" s="10" t="s">
        <v>1730</v>
      </c>
    </row>
    <row r="1157" customFormat="false" ht="25.5" hidden="false" customHeight="true" outlineLevel="0" collapsed="false">
      <c r="A1157" s="10" t="s">
        <v>7148</v>
      </c>
      <c r="B1157" s="9" t="n">
        <v>1</v>
      </c>
      <c r="C1157" s="10" t="s">
        <v>4582</v>
      </c>
      <c r="D1157" s="10" t="s">
        <v>6638</v>
      </c>
      <c r="E1157" s="10" t="s">
        <v>4740</v>
      </c>
    </row>
    <row r="1158" customFormat="false" ht="25.5" hidden="false" customHeight="true" outlineLevel="0" collapsed="false">
      <c r="A1158" s="10" t="s">
        <v>7149</v>
      </c>
      <c r="B1158" s="9" t="n">
        <v>1</v>
      </c>
      <c r="C1158" s="10" t="s">
        <v>59</v>
      </c>
      <c r="D1158" s="10" t="s">
        <v>5699</v>
      </c>
      <c r="E1158" s="10" t="s">
        <v>316</v>
      </c>
    </row>
    <row r="1159" customFormat="false" ht="25.5" hidden="false" customHeight="true" outlineLevel="0" collapsed="false">
      <c r="A1159" s="10" t="s">
        <v>7150</v>
      </c>
      <c r="B1159" s="9" t="n">
        <v>1</v>
      </c>
      <c r="C1159" s="10" t="s">
        <v>59</v>
      </c>
      <c r="D1159" s="10" t="s">
        <v>5858</v>
      </c>
      <c r="E1159" s="10" t="s">
        <v>696</v>
      </c>
    </row>
    <row r="1160" customFormat="false" ht="25.5" hidden="false" customHeight="true" outlineLevel="0" collapsed="false">
      <c r="A1160" s="10" t="s">
        <v>7151</v>
      </c>
      <c r="B1160" s="9" t="n">
        <v>1</v>
      </c>
      <c r="C1160" s="10" t="s">
        <v>2140</v>
      </c>
      <c r="D1160" s="10" t="s">
        <v>6191</v>
      </c>
      <c r="E1160" s="10" t="s">
        <v>2377</v>
      </c>
    </row>
    <row r="1161" customFormat="false" ht="25.5" hidden="false" customHeight="true" outlineLevel="0" collapsed="false">
      <c r="A1161" s="10" t="s">
        <v>7152</v>
      </c>
      <c r="B1161" s="9" t="n">
        <v>1</v>
      </c>
      <c r="C1161" s="10" t="s">
        <v>3842</v>
      </c>
      <c r="D1161" s="10" t="s">
        <v>6463</v>
      </c>
      <c r="E1161" s="10" t="s">
        <v>3879</v>
      </c>
    </row>
    <row r="1162" customFormat="false" ht="25.5" hidden="false" customHeight="true" outlineLevel="0" collapsed="false">
      <c r="A1162" s="10" t="s">
        <v>7153</v>
      </c>
      <c r="B1162" s="9" t="n">
        <v>1</v>
      </c>
      <c r="C1162" s="10" t="s">
        <v>3842</v>
      </c>
      <c r="D1162" s="10" t="s">
        <v>6666</v>
      </c>
      <c r="E1162" s="10" t="s">
        <v>3892</v>
      </c>
    </row>
    <row r="1163" customFormat="false" ht="25.5" hidden="false" customHeight="true" outlineLevel="0" collapsed="false">
      <c r="A1163" s="10" t="s">
        <v>7154</v>
      </c>
      <c r="B1163" s="9" t="n">
        <v>1</v>
      </c>
      <c r="C1163" s="10" t="s">
        <v>3842</v>
      </c>
      <c r="D1163" s="10" t="s">
        <v>6409</v>
      </c>
      <c r="E1163" s="10" t="s">
        <v>4189</v>
      </c>
    </row>
    <row r="1164" customFormat="false" ht="25.5" hidden="false" customHeight="true" outlineLevel="0" collapsed="false">
      <c r="A1164" s="10" t="s">
        <v>7155</v>
      </c>
      <c r="B1164" s="9" t="n">
        <v>1</v>
      </c>
      <c r="C1164" s="10" t="s">
        <v>3842</v>
      </c>
      <c r="D1164" s="10" t="s">
        <v>6666</v>
      </c>
      <c r="E1164" s="10" t="s">
        <v>3892</v>
      </c>
    </row>
    <row r="1165" customFormat="false" ht="25.5" hidden="false" customHeight="true" outlineLevel="0" collapsed="false">
      <c r="A1165" s="10" t="s">
        <v>7156</v>
      </c>
      <c r="B1165" s="9" t="n">
        <v>1</v>
      </c>
      <c r="C1165" s="10" t="s">
        <v>2713</v>
      </c>
      <c r="D1165" s="10" t="s">
        <v>3032</v>
      </c>
      <c r="E1165" s="10" t="s">
        <v>3036</v>
      </c>
    </row>
    <row r="1166" customFormat="false" ht="25.5" hidden="false" customHeight="true" outlineLevel="0" collapsed="false">
      <c r="A1166" s="10" t="s">
        <v>7157</v>
      </c>
      <c r="B1166" s="9" t="n">
        <v>1</v>
      </c>
      <c r="C1166" s="10" t="s">
        <v>2713</v>
      </c>
      <c r="D1166" s="10" t="s">
        <v>6858</v>
      </c>
      <c r="E1166" s="10" t="s">
        <v>2794</v>
      </c>
    </row>
    <row r="1167" customFormat="false" ht="25.5" hidden="false" customHeight="true" outlineLevel="0" collapsed="false">
      <c r="A1167" s="10" t="s">
        <v>7158</v>
      </c>
      <c r="B1167" s="9" t="n">
        <v>1</v>
      </c>
      <c r="C1167" s="10" t="s">
        <v>2713</v>
      </c>
      <c r="D1167" s="10" t="s">
        <v>6760</v>
      </c>
      <c r="E1167" s="10" t="s">
        <v>2999</v>
      </c>
    </row>
    <row r="1168" customFormat="false" ht="25.5" hidden="false" customHeight="true" outlineLevel="0" collapsed="false">
      <c r="A1168" s="10" t="s">
        <v>7159</v>
      </c>
      <c r="B1168" s="9" t="n">
        <v>1</v>
      </c>
      <c r="C1168" s="10" t="s">
        <v>2713</v>
      </c>
      <c r="D1168" s="10" t="s">
        <v>6760</v>
      </c>
      <c r="E1168" s="10" t="s">
        <v>2999</v>
      </c>
    </row>
    <row r="1169" customFormat="false" ht="25.5" hidden="false" customHeight="true" outlineLevel="0" collapsed="false">
      <c r="A1169" s="10" t="s">
        <v>7160</v>
      </c>
      <c r="B1169" s="9" t="n">
        <v>1</v>
      </c>
      <c r="C1169" s="10" t="s">
        <v>2713</v>
      </c>
      <c r="D1169" s="10" t="s">
        <v>6097</v>
      </c>
      <c r="E1169" s="10" t="s">
        <v>3011</v>
      </c>
    </row>
    <row r="1170" customFormat="false" ht="25.5" hidden="false" customHeight="true" outlineLevel="0" collapsed="false">
      <c r="A1170" s="10" t="s">
        <v>7161</v>
      </c>
      <c r="B1170" s="9" t="n">
        <v>1</v>
      </c>
      <c r="C1170" s="10" t="s">
        <v>2713</v>
      </c>
      <c r="D1170" s="10" t="s">
        <v>6097</v>
      </c>
      <c r="E1170" s="10" t="s">
        <v>3011</v>
      </c>
    </row>
    <row r="1171" customFormat="false" ht="25.5" hidden="false" customHeight="true" outlineLevel="0" collapsed="false">
      <c r="A1171" s="10" t="s">
        <v>7162</v>
      </c>
      <c r="B1171" s="9" t="n">
        <v>1</v>
      </c>
      <c r="C1171" s="10" t="s">
        <v>837</v>
      </c>
      <c r="D1171" s="10" t="s">
        <v>6411</v>
      </c>
      <c r="E1171" s="10" t="s">
        <v>1473</v>
      </c>
    </row>
    <row r="1172" customFormat="false" ht="25.5" hidden="false" customHeight="true" outlineLevel="0" collapsed="false">
      <c r="A1172" s="10" t="s">
        <v>7163</v>
      </c>
      <c r="B1172" s="9" t="n">
        <v>1</v>
      </c>
      <c r="C1172" s="10" t="s">
        <v>4949</v>
      </c>
      <c r="D1172" s="10" t="s">
        <v>6018</v>
      </c>
      <c r="E1172" s="10" t="s">
        <v>5017</v>
      </c>
    </row>
    <row r="1173" customFormat="false" ht="25.5" hidden="false" customHeight="true" outlineLevel="0" collapsed="false">
      <c r="A1173" s="10" t="s">
        <v>7164</v>
      </c>
      <c r="B1173" s="9" t="n">
        <v>1</v>
      </c>
      <c r="C1173" s="10" t="s">
        <v>2140</v>
      </c>
      <c r="D1173" s="10" t="s">
        <v>5598</v>
      </c>
      <c r="E1173" s="10" t="s">
        <v>2700</v>
      </c>
    </row>
    <row r="1174" customFormat="false" ht="25.5" hidden="false" customHeight="true" outlineLevel="0" collapsed="false">
      <c r="A1174" s="10" t="s">
        <v>7165</v>
      </c>
      <c r="B1174" s="9" t="n">
        <v>1</v>
      </c>
      <c r="C1174" s="10" t="s">
        <v>2713</v>
      </c>
      <c r="D1174" s="10" t="s">
        <v>6205</v>
      </c>
      <c r="E1174" s="10" t="s">
        <v>2950</v>
      </c>
    </row>
    <row r="1175" customFormat="false" ht="25.5" hidden="false" customHeight="true" outlineLevel="0" collapsed="false">
      <c r="A1175" s="10" t="s">
        <v>7166</v>
      </c>
      <c r="B1175" s="9" t="n">
        <v>1</v>
      </c>
      <c r="C1175" s="10" t="s">
        <v>4949</v>
      </c>
      <c r="D1175" s="10" t="s">
        <v>7115</v>
      </c>
      <c r="E1175" s="10" t="s">
        <v>5098</v>
      </c>
    </row>
    <row r="1176" customFormat="false" ht="25.5" hidden="false" customHeight="true" outlineLevel="0" collapsed="false">
      <c r="A1176" s="10" t="s">
        <v>7167</v>
      </c>
      <c r="B1176" s="9" t="n">
        <v>1</v>
      </c>
      <c r="C1176" s="10" t="s">
        <v>4203</v>
      </c>
      <c r="D1176" s="10" t="s">
        <v>6532</v>
      </c>
      <c r="E1176" s="10" t="s">
        <v>4541</v>
      </c>
    </row>
    <row r="1177" customFormat="false" ht="25.5" hidden="false" customHeight="true" outlineLevel="0" collapsed="false">
      <c r="A1177" s="10" t="s">
        <v>7168</v>
      </c>
      <c r="B1177" s="9" t="n">
        <v>1</v>
      </c>
      <c r="C1177" s="10" t="s">
        <v>4203</v>
      </c>
      <c r="D1177" s="10" t="s">
        <v>7169</v>
      </c>
      <c r="E1177" s="10" t="s">
        <v>4567</v>
      </c>
    </row>
    <row r="1178" customFormat="false" ht="25.5" hidden="false" customHeight="true" outlineLevel="0" collapsed="false">
      <c r="A1178" s="10" t="s">
        <v>7170</v>
      </c>
      <c r="B1178" s="9" t="n">
        <v>1</v>
      </c>
      <c r="C1178" s="10" t="s">
        <v>4203</v>
      </c>
      <c r="D1178" s="10" t="s">
        <v>6532</v>
      </c>
      <c r="E1178" s="10" t="s">
        <v>4541</v>
      </c>
    </row>
    <row r="1179" customFormat="false" ht="25.5" hidden="false" customHeight="true" outlineLevel="0" collapsed="false">
      <c r="A1179" s="10" t="s">
        <v>7171</v>
      </c>
      <c r="B1179" s="9" t="n">
        <v>1</v>
      </c>
      <c r="C1179" s="10" t="s">
        <v>3842</v>
      </c>
      <c r="D1179" s="10" t="s">
        <v>5690</v>
      </c>
      <c r="E1179" s="10" t="s">
        <v>4112</v>
      </c>
    </row>
    <row r="1180" customFormat="false" ht="25.5" hidden="false" customHeight="true" outlineLevel="0" collapsed="false">
      <c r="A1180" s="10" t="s">
        <v>7172</v>
      </c>
      <c r="B1180" s="9" t="n">
        <v>1</v>
      </c>
      <c r="C1180" s="10" t="s">
        <v>2140</v>
      </c>
      <c r="D1180" s="10" t="s">
        <v>5690</v>
      </c>
      <c r="E1180" s="10" t="s">
        <v>2621</v>
      </c>
    </row>
    <row r="1181" customFormat="false" ht="25.5" hidden="false" customHeight="true" outlineLevel="0" collapsed="false">
      <c r="A1181" s="10" t="s">
        <v>7173</v>
      </c>
      <c r="B1181" s="9" t="n">
        <v>1</v>
      </c>
      <c r="C1181" s="10" t="s">
        <v>2713</v>
      </c>
      <c r="D1181" s="10" t="s">
        <v>6016</v>
      </c>
      <c r="E1181" s="10" t="s">
        <v>3230</v>
      </c>
    </row>
    <row r="1182" customFormat="false" ht="25.5" hidden="false" customHeight="true" outlineLevel="0" collapsed="false">
      <c r="A1182" s="10" t="s">
        <v>7174</v>
      </c>
      <c r="B1182" s="9" t="n">
        <v>1</v>
      </c>
      <c r="C1182" s="10" t="s">
        <v>3842</v>
      </c>
      <c r="D1182" s="10" t="s">
        <v>6660</v>
      </c>
      <c r="E1182" s="10" t="s">
        <v>4137</v>
      </c>
    </row>
    <row r="1183" customFormat="false" ht="25.5" hidden="false" customHeight="true" outlineLevel="0" collapsed="false">
      <c r="A1183" s="10" t="s">
        <v>7175</v>
      </c>
      <c r="B1183" s="9" t="n">
        <v>1</v>
      </c>
      <c r="C1183" s="10" t="s">
        <v>3842</v>
      </c>
      <c r="D1183" s="10" t="s">
        <v>6585</v>
      </c>
      <c r="E1183" s="10" t="s">
        <v>4123</v>
      </c>
    </row>
    <row r="1184" customFormat="false" ht="25.5" hidden="false" customHeight="true" outlineLevel="0" collapsed="false">
      <c r="A1184" s="10" t="s">
        <v>7176</v>
      </c>
      <c r="B1184" s="9" t="n">
        <v>1</v>
      </c>
      <c r="C1184" s="10" t="s">
        <v>3842</v>
      </c>
      <c r="D1184" s="10" t="s">
        <v>6660</v>
      </c>
      <c r="E1184" s="10" t="s">
        <v>4137</v>
      </c>
    </row>
    <row r="1185" customFormat="false" ht="25.5" hidden="false" customHeight="true" outlineLevel="0" collapsed="false">
      <c r="A1185" s="10" t="s">
        <v>7177</v>
      </c>
      <c r="B1185" s="9" t="n">
        <v>1</v>
      </c>
      <c r="C1185" s="10" t="s">
        <v>3842</v>
      </c>
      <c r="D1185" s="10" t="s">
        <v>6258</v>
      </c>
      <c r="E1185" s="10" t="s">
        <v>4162</v>
      </c>
    </row>
    <row r="1186" customFormat="false" ht="25.5" hidden="false" customHeight="true" outlineLevel="0" collapsed="false">
      <c r="A1186" s="10" t="s">
        <v>7178</v>
      </c>
      <c r="B1186" s="9" t="n">
        <v>1</v>
      </c>
      <c r="C1186" s="10" t="s">
        <v>3842</v>
      </c>
      <c r="D1186" s="10" t="s">
        <v>6258</v>
      </c>
      <c r="E1186" s="10" t="s">
        <v>4162</v>
      </c>
    </row>
    <row r="1187" customFormat="false" ht="25.5" hidden="false" customHeight="true" outlineLevel="0" collapsed="false">
      <c r="A1187" s="10" t="s">
        <v>7179</v>
      </c>
      <c r="B1187" s="9" t="n">
        <v>1</v>
      </c>
      <c r="C1187" s="10" t="s">
        <v>2713</v>
      </c>
      <c r="D1187" s="10" t="s">
        <v>6817</v>
      </c>
      <c r="E1187" s="10" t="s">
        <v>3242</v>
      </c>
    </row>
    <row r="1188" customFormat="false" ht="25.5" hidden="false" customHeight="true" outlineLevel="0" collapsed="false">
      <c r="A1188" s="10" t="s">
        <v>7180</v>
      </c>
      <c r="B1188" s="9" t="n">
        <v>1</v>
      </c>
      <c r="C1188" s="10" t="s">
        <v>4203</v>
      </c>
      <c r="D1188" s="10" t="s">
        <v>4251</v>
      </c>
      <c r="E1188" s="10" t="s">
        <v>4318</v>
      </c>
    </row>
    <row r="1189" customFormat="false" ht="25.5" hidden="false" customHeight="true" outlineLevel="0" collapsed="false">
      <c r="A1189" s="10" t="s">
        <v>7181</v>
      </c>
      <c r="B1189" s="9" t="n">
        <v>1</v>
      </c>
      <c r="C1189" s="10" t="s">
        <v>3291</v>
      </c>
      <c r="D1189" s="10" t="s">
        <v>7182</v>
      </c>
      <c r="E1189" s="10" t="s">
        <v>3473</v>
      </c>
    </row>
    <row r="1190" customFormat="false" ht="25.5" hidden="false" customHeight="true" outlineLevel="0" collapsed="false">
      <c r="A1190" s="10" t="s">
        <v>7183</v>
      </c>
      <c r="B1190" s="9" t="n">
        <v>1</v>
      </c>
      <c r="C1190" s="10" t="s">
        <v>3291</v>
      </c>
      <c r="D1190" s="10" t="s">
        <v>7182</v>
      </c>
      <c r="E1190" s="10" t="s">
        <v>3473</v>
      </c>
    </row>
    <row r="1191" customFormat="false" ht="25.5" hidden="false" customHeight="true" outlineLevel="0" collapsed="false">
      <c r="A1191" s="10" t="s">
        <v>7184</v>
      </c>
      <c r="B1191" s="9" t="n">
        <v>1</v>
      </c>
      <c r="C1191" s="10" t="s">
        <v>3291</v>
      </c>
      <c r="D1191" s="10" t="s">
        <v>7182</v>
      </c>
      <c r="E1191" s="10" t="s">
        <v>3473</v>
      </c>
    </row>
    <row r="1192" customFormat="false" ht="25.5" hidden="false" customHeight="true" outlineLevel="0" collapsed="false">
      <c r="A1192" s="10" t="s">
        <v>7185</v>
      </c>
      <c r="B1192" s="9" t="n">
        <v>1</v>
      </c>
      <c r="C1192" s="10" t="s">
        <v>3291</v>
      </c>
      <c r="D1192" s="10" t="s">
        <v>7182</v>
      </c>
      <c r="E1192" s="10" t="s">
        <v>3473</v>
      </c>
    </row>
    <row r="1193" customFormat="false" ht="25.5" hidden="false" customHeight="true" outlineLevel="0" collapsed="false">
      <c r="A1193" s="10" t="s">
        <v>7186</v>
      </c>
      <c r="B1193" s="9" t="n">
        <v>1</v>
      </c>
      <c r="C1193" s="10" t="s">
        <v>3291</v>
      </c>
      <c r="D1193" s="10" t="s">
        <v>7182</v>
      </c>
      <c r="E1193" s="10" t="s">
        <v>3473</v>
      </c>
    </row>
    <row r="1194" customFormat="false" ht="25.5" hidden="false" customHeight="true" outlineLevel="0" collapsed="false">
      <c r="A1194" s="10" t="s">
        <v>7187</v>
      </c>
      <c r="B1194" s="9" t="n">
        <v>1</v>
      </c>
      <c r="C1194" s="10" t="s">
        <v>59</v>
      </c>
      <c r="D1194" s="10" t="s">
        <v>5858</v>
      </c>
      <c r="E1194" s="10" t="s">
        <v>264</v>
      </c>
    </row>
    <row r="1195" customFormat="false" ht="25.5" hidden="false" customHeight="true" outlineLevel="0" collapsed="false">
      <c r="A1195" s="10" t="s">
        <v>7188</v>
      </c>
      <c r="B1195" s="9" t="n">
        <v>1</v>
      </c>
      <c r="C1195" s="10" t="s">
        <v>59</v>
      </c>
      <c r="D1195" s="10" t="s">
        <v>6179</v>
      </c>
      <c r="E1195" s="10" t="s">
        <v>573</v>
      </c>
    </row>
    <row r="1196" customFormat="false" ht="25.5" hidden="false" customHeight="true" outlineLevel="0" collapsed="false">
      <c r="A1196" s="10" t="s">
        <v>7189</v>
      </c>
      <c r="B1196" s="9" t="n">
        <v>1</v>
      </c>
      <c r="C1196" s="10" t="s">
        <v>2140</v>
      </c>
      <c r="D1196" s="10" t="s">
        <v>6146</v>
      </c>
      <c r="E1196" s="10" t="s">
        <v>2493</v>
      </c>
    </row>
    <row r="1197" customFormat="false" ht="25.5" hidden="false" customHeight="true" outlineLevel="0" collapsed="false">
      <c r="A1197" s="10" t="s">
        <v>7190</v>
      </c>
      <c r="B1197" s="9" t="n">
        <v>1</v>
      </c>
      <c r="C1197" s="10" t="s">
        <v>2713</v>
      </c>
      <c r="D1197" s="10" t="s">
        <v>7191</v>
      </c>
      <c r="E1197" s="10" t="s">
        <v>2726</v>
      </c>
    </row>
    <row r="1198" customFormat="false" ht="25.5" hidden="false" customHeight="true" outlineLevel="0" collapsed="false">
      <c r="A1198" s="10" t="s">
        <v>7192</v>
      </c>
      <c r="B1198" s="9" t="n">
        <v>1</v>
      </c>
      <c r="C1198" s="10" t="s">
        <v>2713</v>
      </c>
      <c r="D1198" s="10" t="s">
        <v>6555</v>
      </c>
      <c r="E1198" s="10" t="s">
        <v>2819</v>
      </c>
    </row>
    <row r="1199" customFormat="false" ht="25.5" hidden="false" customHeight="true" outlineLevel="0" collapsed="false">
      <c r="A1199" s="10" t="s">
        <v>7193</v>
      </c>
      <c r="B1199" s="9" t="n">
        <v>1</v>
      </c>
      <c r="C1199" s="10" t="s">
        <v>2713</v>
      </c>
      <c r="D1199" s="10" t="s">
        <v>3032</v>
      </c>
      <c r="E1199" s="10" t="s">
        <v>3023</v>
      </c>
    </row>
    <row r="1200" customFormat="false" ht="25.5" hidden="false" customHeight="true" outlineLevel="0" collapsed="false">
      <c r="A1200" s="10" t="s">
        <v>7194</v>
      </c>
      <c r="B1200" s="9" t="n">
        <v>1</v>
      </c>
      <c r="C1200" s="10" t="s">
        <v>4582</v>
      </c>
      <c r="D1200" s="10" t="s">
        <v>6910</v>
      </c>
      <c r="E1200" s="10" t="s">
        <v>4818</v>
      </c>
    </row>
    <row r="1201" customFormat="false" ht="25.5" hidden="false" customHeight="true" outlineLevel="0" collapsed="false">
      <c r="A1201" s="10" t="s">
        <v>7195</v>
      </c>
      <c r="B1201" s="9" t="n">
        <v>1</v>
      </c>
      <c r="C1201" s="10" t="s">
        <v>2140</v>
      </c>
      <c r="D1201" s="10" t="s">
        <v>5598</v>
      </c>
      <c r="E1201" s="10" t="s">
        <v>2253</v>
      </c>
    </row>
    <row r="1202" customFormat="false" ht="25.5" hidden="false" customHeight="true" outlineLevel="0" collapsed="false">
      <c r="A1202" s="10" t="s">
        <v>7196</v>
      </c>
      <c r="B1202" s="9" t="n">
        <v>1</v>
      </c>
      <c r="C1202" s="10" t="s">
        <v>2140</v>
      </c>
      <c r="D1202" s="10" t="s">
        <v>5598</v>
      </c>
      <c r="E1202" s="10" t="s">
        <v>2253</v>
      </c>
    </row>
    <row r="1203" customFormat="false" ht="25.5" hidden="false" customHeight="true" outlineLevel="0" collapsed="false">
      <c r="A1203" s="10" t="s">
        <v>7197</v>
      </c>
      <c r="B1203" s="9" t="n">
        <v>1</v>
      </c>
      <c r="C1203" s="10" t="s">
        <v>837</v>
      </c>
      <c r="D1203" s="10" t="s">
        <v>5987</v>
      </c>
      <c r="E1203" s="10" t="s">
        <v>1286</v>
      </c>
    </row>
    <row r="1204" customFormat="false" ht="25.5" hidden="false" customHeight="true" outlineLevel="0" collapsed="false">
      <c r="A1204" s="10" t="s">
        <v>7198</v>
      </c>
      <c r="B1204" s="9" t="n">
        <v>1</v>
      </c>
      <c r="C1204" s="10" t="s">
        <v>837</v>
      </c>
      <c r="D1204" s="10" t="s">
        <v>7199</v>
      </c>
      <c r="E1204" s="10" t="s">
        <v>1008</v>
      </c>
    </row>
    <row r="1205" customFormat="false" ht="25.5" hidden="false" customHeight="true" outlineLevel="0" collapsed="false">
      <c r="A1205" s="10" t="s">
        <v>7200</v>
      </c>
      <c r="B1205" s="9" t="n">
        <v>1</v>
      </c>
      <c r="C1205" s="10" t="s">
        <v>837</v>
      </c>
      <c r="D1205" s="10" t="s">
        <v>7201</v>
      </c>
      <c r="E1205" s="10" t="s">
        <v>863</v>
      </c>
    </row>
    <row r="1206" customFormat="false" ht="25.5" hidden="false" customHeight="true" outlineLevel="0" collapsed="false">
      <c r="A1206" s="10" t="s">
        <v>7202</v>
      </c>
      <c r="B1206" s="9" t="n">
        <v>1</v>
      </c>
      <c r="C1206" s="10" t="s">
        <v>3842</v>
      </c>
      <c r="D1206" s="10" t="s">
        <v>6817</v>
      </c>
      <c r="E1206" s="10" t="s">
        <v>4150</v>
      </c>
    </row>
    <row r="1207" customFormat="false" ht="25.5" hidden="false" customHeight="true" outlineLevel="0" collapsed="false">
      <c r="A1207" s="10" t="s">
        <v>7203</v>
      </c>
      <c r="B1207" s="9" t="n">
        <v>1</v>
      </c>
      <c r="C1207" s="10" t="s">
        <v>3842</v>
      </c>
      <c r="D1207" s="10" t="s">
        <v>6463</v>
      </c>
      <c r="E1207" s="10" t="s">
        <v>3879</v>
      </c>
    </row>
    <row r="1208" customFormat="false" ht="25.5" hidden="false" customHeight="true" outlineLevel="0" collapsed="false">
      <c r="A1208" s="10" t="s">
        <v>7204</v>
      </c>
      <c r="B1208" s="9" t="n">
        <v>1</v>
      </c>
      <c r="C1208" s="10" t="s">
        <v>2713</v>
      </c>
      <c r="D1208" s="10" t="s">
        <v>6108</v>
      </c>
      <c r="E1208" s="10" t="s">
        <v>2750</v>
      </c>
    </row>
    <row r="1209" customFormat="false" ht="25.5" hidden="false" customHeight="true" outlineLevel="0" collapsed="false">
      <c r="A1209" s="10" t="s">
        <v>7205</v>
      </c>
      <c r="B1209" s="9" t="n">
        <v>1</v>
      </c>
      <c r="C1209" s="10" t="s">
        <v>1500</v>
      </c>
      <c r="D1209" s="10" t="s">
        <v>6444</v>
      </c>
      <c r="E1209" s="10" t="s">
        <v>1910</v>
      </c>
    </row>
    <row r="1210" customFormat="false" ht="25.5" hidden="false" customHeight="true" outlineLevel="0" collapsed="false">
      <c r="A1210" s="10" t="s">
        <v>7206</v>
      </c>
      <c r="B1210" s="9" t="n">
        <v>1</v>
      </c>
      <c r="C1210" s="10" t="s">
        <v>4949</v>
      </c>
      <c r="D1210" s="10" t="s">
        <v>6658</v>
      </c>
      <c r="E1210" s="10" t="s">
        <v>5126</v>
      </c>
    </row>
    <row r="1211" customFormat="false" ht="25.5" hidden="false" customHeight="true" outlineLevel="0" collapsed="false">
      <c r="A1211" s="10" t="s">
        <v>7207</v>
      </c>
      <c r="B1211" s="9" t="n">
        <v>1</v>
      </c>
      <c r="C1211" s="10" t="s">
        <v>3291</v>
      </c>
      <c r="D1211" s="10" t="s">
        <v>6162</v>
      </c>
      <c r="E1211" s="10" t="s">
        <v>3328</v>
      </c>
    </row>
    <row r="1212" customFormat="false" ht="25.5" hidden="false" customHeight="true" outlineLevel="0" collapsed="false">
      <c r="A1212" s="10" t="s">
        <v>7208</v>
      </c>
      <c r="B1212" s="9" t="n">
        <v>1</v>
      </c>
      <c r="C1212" s="10" t="s">
        <v>1500</v>
      </c>
      <c r="D1212" s="10" t="s">
        <v>6824</v>
      </c>
      <c r="E1212" s="10" t="s">
        <v>1666</v>
      </c>
    </row>
    <row r="1213" customFormat="false" ht="25.5" hidden="false" customHeight="true" outlineLevel="0" collapsed="false">
      <c r="A1213" s="10" t="s">
        <v>7209</v>
      </c>
      <c r="B1213" s="9" t="n">
        <v>1</v>
      </c>
      <c r="C1213" s="10" t="s">
        <v>4582</v>
      </c>
      <c r="D1213" s="10" t="s">
        <v>5589</v>
      </c>
      <c r="E1213" s="10" t="s">
        <v>4688</v>
      </c>
    </row>
    <row r="1214" customFormat="false" ht="25.5" hidden="false" customHeight="true" outlineLevel="0" collapsed="false">
      <c r="A1214" s="10" t="s">
        <v>7210</v>
      </c>
      <c r="B1214" s="9" t="n">
        <v>1</v>
      </c>
      <c r="C1214" s="10" t="s">
        <v>3842</v>
      </c>
      <c r="D1214" s="10" t="s">
        <v>6632</v>
      </c>
      <c r="E1214" s="10" t="s">
        <v>4022</v>
      </c>
    </row>
    <row r="1215" customFormat="false" ht="25.5" hidden="false" customHeight="true" outlineLevel="0" collapsed="false">
      <c r="A1215" s="10" t="s">
        <v>7211</v>
      </c>
      <c r="B1215" s="9" t="n">
        <v>1</v>
      </c>
      <c r="C1215" s="10" t="s">
        <v>4203</v>
      </c>
      <c r="D1215" s="10" t="s">
        <v>4251</v>
      </c>
      <c r="E1215" s="10" t="s">
        <v>4342</v>
      </c>
    </row>
    <row r="1216" customFormat="false" ht="25.5" hidden="false" customHeight="true" outlineLevel="0" collapsed="false">
      <c r="A1216" s="10" t="s">
        <v>7212</v>
      </c>
      <c r="B1216" s="9" t="n">
        <v>1</v>
      </c>
      <c r="C1216" s="10" t="s">
        <v>59</v>
      </c>
      <c r="D1216" s="10" t="s">
        <v>235</v>
      </c>
      <c r="E1216" s="10" t="s">
        <v>524</v>
      </c>
    </row>
    <row r="1217" customFormat="false" ht="25.5" hidden="false" customHeight="true" outlineLevel="0" collapsed="false">
      <c r="A1217" s="10" t="s">
        <v>7213</v>
      </c>
      <c r="B1217" s="9" t="n">
        <v>1</v>
      </c>
      <c r="C1217" s="10" t="s">
        <v>3291</v>
      </c>
      <c r="D1217" s="10" t="s">
        <v>6589</v>
      </c>
      <c r="E1217" s="10" t="s">
        <v>3748</v>
      </c>
    </row>
    <row r="1218" customFormat="false" ht="25.5" hidden="false" customHeight="true" outlineLevel="0" collapsed="false">
      <c r="A1218" s="10" t="s">
        <v>7214</v>
      </c>
      <c r="B1218" s="9" t="n">
        <v>1</v>
      </c>
      <c r="C1218" s="10" t="s">
        <v>4582</v>
      </c>
      <c r="D1218" s="10" t="s">
        <v>6910</v>
      </c>
      <c r="E1218" s="10" t="s">
        <v>4818</v>
      </c>
    </row>
    <row r="1219" customFormat="false" ht="25.5" hidden="false" customHeight="true" outlineLevel="0" collapsed="false">
      <c r="A1219" s="10" t="s">
        <v>7215</v>
      </c>
      <c r="B1219" s="9" t="n">
        <v>1</v>
      </c>
      <c r="C1219" s="10" t="s">
        <v>2713</v>
      </c>
      <c r="D1219" s="10" t="s">
        <v>6016</v>
      </c>
      <c r="E1219" s="10" t="s">
        <v>3230</v>
      </c>
    </row>
    <row r="1220" customFormat="false" ht="25.5" hidden="false" customHeight="true" outlineLevel="0" collapsed="false">
      <c r="A1220" s="10" t="s">
        <v>7216</v>
      </c>
      <c r="B1220" s="9" t="n">
        <v>1</v>
      </c>
      <c r="C1220" s="10" t="s">
        <v>3842</v>
      </c>
      <c r="D1220" s="10" t="s">
        <v>6817</v>
      </c>
      <c r="E1220" s="10" t="s">
        <v>4150</v>
      </c>
    </row>
    <row r="1221" customFormat="false" ht="25.5" hidden="false" customHeight="true" outlineLevel="0" collapsed="false">
      <c r="A1221" s="10" t="s">
        <v>7217</v>
      </c>
      <c r="B1221" s="9" t="n">
        <v>1</v>
      </c>
      <c r="C1221" s="10" t="s">
        <v>2140</v>
      </c>
      <c r="D1221" s="10" t="s">
        <v>6189</v>
      </c>
      <c r="E1221" s="10" t="s">
        <v>2661</v>
      </c>
    </row>
    <row r="1222" customFormat="false" ht="25.5" hidden="false" customHeight="true" outlineLevel="0" collapsed="false">
      <c r="A1222" s="10" t="s">
        <v>7218</v>
      </c>
      <c r="B1222" s="9" t="n">
        <v>1</v>
      </c>
      <c r="C1222" s="10" t="s">
        <v>2140</v>
      </c>
      <c r="D1222" s="10" t="s">
        <v>6175</v>
      </c>
      <c r="E1222" s="10" t="s">
        <v>2229</v>
      </c>
    </row>
    <row r="1223" customFormat="false" ht="25.5" hidden="false" customHeight="true" outlineLevel="0" collapsed="false">
      <c r="A1223" s="10" t="s">
        <v>7219</v>
      </c>
      <c r="B1223" s="9" t="n">
        <v>1</v>
      </c>
      <c r="C1223" s="10" t="s">
        <v>2140</v>
      </c>
      <c r="D1223" s="10" t="s">
        <v>6399</v>
      </c>
      <c r="E1223" s="10" t="s">
        <v>2544</v>
      </c>
    </row>
    <row r="1224" customFormat="false" ht="25.5" hidden="false" customHeight="true" outlineLevel="0" collapsed="false">
      <c r="A1224" s="10" t="s">
        <v>7220</v>
      </c>
      <c r="B1224" s="9" t="n">
        <v>1</v>
      </c>
      <c r="C1224" s="10" t="s">
        <v>3842</v>
      </c>
      <c r="D1224" s="10" t="s">
        <v>6632</v>
      </c>
      <c r="E1224" s="10" t="s">
        <v>4022</v>
      </c>
    </row>
    <row r="1225" customFormat="false" ht="25.5" hidden="false" customHeight="true" outlineLevel="0" collapsed="false">
      <c r="A1225" s="10" t="s">
        <v>7221</v>
      </c>
      <c r="B1225" s="9" t="n">
        <v>1</v>
      </c>
      <c r="C1225" s="10" t="s">
        <v>59</v>
      </c>
      <c r="D1225" s="10" t="s">
        <v>7083</v>
      </c>
      <c r="E1225" s="10" t="s">
        <v>189</v>
      </c>
    </row>
    <row r="1226" customFormat="false" ht="25.5" hidden="false" customHeight="true" outlineLevel="0" collapsed="false">
      <c r="A1226" s="10" t="s">
        <v>7222</v>
      </c>
      <c r="B1226" s="9" t="n">
        <v>1</v>
      </c>
      <c r="C1226" s="10" t="s">
        <v>3291</v>
      </c>
      <c r="D1226" s="10" t="s">
        <v>7085</v>
      </c>
      <c r="E1226" s="10" t="s">
        <v>3657</v>
      </c>
    </row>
    <row r="1227" customFormat="false" ht="25.5" hidden="false" customHeight="true" outlineLevel="0" collapsed="false">
      <c r="A1227" s="10" t="s">
        <v>7223</v>
      </c>
      <c r="B1227" s="9" t="n">
        <v>1</v>
      </c>
      <c r="C1227" s="10" t="s">
        <v>3291</v>
      </c>
      <c r="D1227" s="10" t="s">
        <v>7085</v>
      </c>
      <c r="E1227" s="10" t="s">
        <v>3657</v>
      </c>
    </row>
    <row r="1228" customFormat="false" ht="25.5" hidden="false" customHeight="true" outlineLevel="0" collapsed="false">
      <c r="A1228" s="10" t="s">
        <v>7224</v>
      </c>
      <c r="B1228" s="9" t="n">
        <v>1</v>
      </c>
      <c r="C1228" s="10" t="s">
        <v>59</v>
      </c>
      <c r="D1228" s="10" t="s">
        <v>5858</v>
      </c>
      <c r="E1228" s="10" t="s">
        <v>264</v>
      </c>
    </row>
    <row r="1229" customFormat="false" ht="25.5" hidden="false" customHeight="true" outlineLevel="0" collapsed="false">
      <c r="A1229" s="10" t="s">
        <v>7225</v>
      </c>
      <c r="B1229" s="9" t="n">
        <v>1</v>
      </c>
      <c r="C1229" s="10" t="s">
        <v>3291</v>
      </c>
      <c r="D1229" s="10" t="s">
        <v>6049</v>
      </c>
      <c r="E1229" s="10" t="s">
        <v>3735</v>
      </c>
    </row>
    <row r="1230" customFormat="false" ht="25.5" hidden="false" customHeight="true" outlineLevel="0" collapsed="false">
      <c r="A1230" s="10" t="s">
        <v>7226</v>
      </c>
      <c r="B1230" s="9" t="n">
        <v>1</v>
      </c>
      <c r="C1230" s="10" t="s">
        <v>2140</v>
      </c>
      <c r="D1230" s="10" t="s">
        <v>7030</v>
      </c>
      <c r="E1230" s="10" t="s">
        <v>2608</v>
      </c>
    </row>
    <row r="1231" customFormat="false" ht="25.5" hidden="false" customHeight="true" outlineLevel="0" collapsed="false">
      <c r="A1231" s="10" t="s">
        <v>7227</v>
      </c>
      <c r="B1231" s="9" t="n">
        <v>1</v>
      </c>
      <c r="C1231" s="10" t="s">
        <v>1500</v>
      </c>
      <c r="D1231" s="10" t="s">
        <v>6544</v>
      </c>
      <c r="E1231" s="10" t="s">
        <v>1756</v>
      </c>
    </row>
    <row r="1232" customFormat="false" ht="25.5" hidden="false" customHeight="true" outlineLevel="0" collapsed="false">
      <c r="A1232" s="10" t="s">
        <v>7228</v>
      </c>
      <c r="B1232" s="9" t="n">
        <v>1</v>
      </c>
      <c r="C1232" s="10" t="s">
        <v>1500</v>
      </c>
      <c r="D1232" s="10" t="s">
        <v>7229</v>
      </c>
      <c r="E1232" s="10" t="s">
        <v>1885</v>
      </c>
    </row>
    <row r="1233" customFormat="false" ht="25.5" hidden="false" customHeight="true" outlineLevel="0" collapsed="false">
      <c r="A1233" s="10" t="s">
        <v>7230</v>
      </c>
      <c r="B1233" s="9" t="n">
        <v>1</v>
      </c>
      <c r="C1233" s="10" t="s">
        <v>2140</v>
      </c>
      <c r="D1233" s="10" t="s">
        <v>6146</v>
      </c>
      <c r="E1233" s="10" t="s">
        <v>2493</v>
      </c>
    </row>
    <row r="1234" customFormat="false" ht="25.5" hidden="false" customHeight="true" outlineLevel="0" collapsed="false">
      <c r="A1234" s="10" t="s">
        <v>7231</v>
      </c>
      <c r="B1234" s="9" t="n">
        <v>1</v>
      </c>
      <c r="C1234" s="10" t="s">
        <v>59</v>
      </c>
      <c r="D1234" s="10" t="s">
        <v>6358</v>
      </c>
      <c r="E1234" s="10" t="s">
        <v>733</v>
      </c>
    </row>
    <row r="1235" customFormat="false" ht="25.5" hidden="false" customHeight="true" outlineLevel="0" collapsed="false">
      <c r="A1235" s="10" t="s">
        <v>7232</v>
      </c>
      <c r="B1235" s="9" t="n">
        <v>1</v>
      </c>
      <c r="C1235" s="10" t="s">
        <v>4582</v>
      </c>
      <c r="D1235" s="10" t="s">
        <v>6378</v>
      </c>
      <c r="E1235" s="10" t="s">
        <v>4832</v>
      </c>
    </row>
    <row r="1236" customFormat="false" ht="25.5" hidden="false" customHeight="true" outlineLevel="0" collapsed="false">
      <c r="A1236" s="10" t="s">
        <v>7233</v>
      </c>
      <c r="B1236" s="9" t="n">
        <v>1</v>
      </c>
      <c r="C1236" s="10" t="s">
        <v>1500</v>
      </c>
      <c r="D1236" s="10" t="s">
        <v>6065</v>
      </c>
      <c r="E1236" s="10" t="s">
        <v>1705</v>
      </c>
    </row>
    <row r="1237" customFormat="false" ht="25.5" hidden="false" customHeight="true" outlineLevel="0" collapsed="false">
      <c r="A1237" s="10" t="s">
        <v>7234</v>
      </c>
      <c r="B1237" s="9" t="n">
        <v>1</v>
      </c>
      <c r="C1237" s="10" t="s">
        <v>1500</v>
      </c>
      <c r="D1237" s="10" t="s">
        <v>7235</v>
      </c>
      <c r="E1237" s="10" t="s">
        <v>1950</v>
      </c>
    </row>
    <row r="1238" customFormat="false" ht="25.5" hidden="false" customHeight="true" outlineLevel="0" collapsed="false">
      <c r="A1238" s="10" t="s">
        <v>7236</v>
      </c>
      <c r="B1238" s="9" t="n">
        <v>1</v>
      </c>
      <c r="C1238" s="10" t="s">
        <v>2713</v>
      </c>
      <c r="D1238" s="10" t="s">
        <v>6053</v>
      </c>
      <c r="E1238" s="10" t="s">
        <v>3194</v>
      </c>
    </row>
    <row r="1239" customFormat="false" ht="25.5" hidden="false" customHeight="true" outlineLevel="0" collapsed="false">
      <c r="A1239" s="10" t="s">
        <v>7237</v>
      </c>
      <c r="B1239" s="9" t="n">
        <v>1</v>
      </c>
      <c r="C1239" s="10" t="s">
        <v>837</v>
      </c>
      <c r="D1239" s="10" t="s">
        <v>6070</v>
      </c>
      <c r="E1239" s="10" t="s">
        <v>1298</v>
      </c>
    </row>
    <row r="1240" customFormat="false" ht="25.5" hidden="false" customHeight="true" outlineLevel="0" collapsed="false">
      <c r="A1240" s="10" t="s">
        <v>7238</v>
      </c>
      <c r="B1240" s="9" t="n">
        <v>1</v>
      </c>
      <c r="C1240" s="10" t="s">
        <v>2713</v>
      </c>
      <c r="D1240" s="10" t="s">
        <v>6205</v>
      </c>
      <c r="E1240" s="10" t="s">
        <v>2950</v>
      </c>
    </row>
    <row r="1241" customFormat="false" ht="25.5" hidden="false" customHeight="true" outlineLevel="0" collapsed="false">
      <c r="A1241" s="10" t="s">
        <v>7239</v>
      </c>
      <c r="B1241" s="9" t="n">
        <v>1</v>
      </c>
      <c r="C1241" s="10" t="s">
        <v>1500</v>
      </c>
      <c r="D1241" s="10" t="s">
        <v>7240</v>
      </c>
      <c r="E1241" s="10" t="s">
        <v>1963</v>
      </c>
    </row>
    <row r="1242" customFormat="false" ht="25.5" hidden="false" customHeight="true" outlineLevel="0" collapsed="false">
      <c r="A1242" s="10" t="s">
        <v>7241</v>
      </c>
      <c r="B1242" s="9" t="n">
        <v>1</v>
      </c>
      <c r="C1242" s="10" t="s">
        <v>59</v>
      </c>
      <c r="D1242" s="10" t="s">
        <v>5814</v>
      </c>
      <c r="E1242" s="10" t="s">
        <v>240</v>
      </c>
    </row>
    <row r="1243" customFormat="false" ht="25.5" hidden="false" customHeight="true" outlineLevel="0" collapsed="false">
      <c r="A1243" s="10" t="s">
        <v>7242</v>
      </c>
      <c r="B1243" s="9" t="n">
        <v>1</v>
      </c>
      <c r="C1243" s="10" t="s">
        <v>59</v>
      </c>
      <c r="D1243" s="10" t="s">
        <v>5814</v>
      </c>
      <c r="E1243" s="10" t="s">
        <v>417</v>
      </c>
    </row>
    <row r="1244" customFormat="false" ht="25.5" hidden="false" customHeight="true" outlineLevel="0" collapsed="false">
      <c r="A1244" s="10" t="s">
        <v>7243</v>
      </c>
      <c r="B1244" s="9" t="n">
        <v>1</v>
      </c>
      <c r="C1244" s="10" t="s">
        <v>59</v>
      </c>
      <c r="D1244" s="10" t="s">
        <v>5814</v>
      </c>
      <c r="E1244" s="10" t="s">
        <v>417</v>
      </c>
    </row>
    <row r="1245" customFormat="false" ht="25.5" hidden="false" customHeight="true" outlineLevel="0" collapsed="false">
      <c r="A1245" s="10" t="s">
        <v>7244</v>
      </c>
      <c r="B1245" s="9" t="n">
        <v>1</v>
      </c>
      <c r="C1245" s="10" t="s">
        <v>59</v>
      </c>
      <c r="D1245" s="10" t="s">
        <v>5858</v>
      </c>
      <c r="E1245" s="10" t="s">
        <v>696</v>
      </c>
    </row>
    <row r="1246" customFormat="false" ht="25.5" hidden="false" customHeight="true" outlineLevel="0" collapsed="false">
      <c r="A1246" s="10" t="s">
        <v>7245</v>
      </c>
      <c r="B1246" s="9" t="n">
        <v>1</v>
      </c>
      <c r="C1246" s="10" t="s">
        <v>59</v>
      </c>
      <c r="D1246" s="10" t="s">
        <v>5858</v>
      </c>
      <c r="E1246" s="10" t="s">
        <v>696</v>
      </c>
    </row>
    <row r="1247" customFormat="false" ht="25.5" hidden="false" customHeight="true" outlineLevel="0" collapsed="false">
      <c r="A1247" s="10" t="s">
        <v>7246</v>
      </c>
      <c r="B1247" s="9" t="n">
        <v>1</v>
      </c>
      <c r="C1247" s="10" t="s">
        <v>59</v>
      </c>
      <c r="D1247" s="10" t="s">
        <v>5858</v>
      </c>
      <c r="E1247" s="10" t="s">
        <v>696</v>
      </c>
    </row>
    <row r="1248" customFormat="false" ht="25.5" hidden="false" customHeight="true" outlineLevel="0" collapsed="false">
      <c r="A1248" s="10" t="s">
        <v>7247</v>
      </c>
      <c r="B1248" s="9" t="n">
        <v>1</v>
      </c>
      <c r="C1248" s="10" t="s">
        <v>59</v>
      </c>
      <c r="D1248" s="10" t="s">
        <v>5858</v>
      </c>
      <c r="E1248" s="10" t="s">
        <v>696</v>
      </c>
    </row>
    <row r="1249" customFormat="false" ht="25.5" hidden="false" customHeight="true" outlineLevel="0" collapsed="false">
      <c r="A1249" s="10" t="s">
        <v>7248</v>
      </c>
      <c r="B1249" s="9" t="n">
        <v>1</v>
      </c>
      <c r="C1249" s="10" t="s">
        <v>59</v>
      </c>
      <c r="D1249" s="10" t="s">
        <v>5858</v>
      </c>
      <c r="E1249" s="10" t="s">
        <v>696</v>
      </c>
    </row>
    <row r="1250" customFormat="false" ht="25.5" hidden="false" customHeight="true" outlineLevel="0" collapsed="false">
      <c r="A1250" s="10" t="s">
        <v>7249</v>
      </c>
      <c r="B1250" s="9" t="n">
        <v>1</v>
      </c>
      <c r="C1250" s="10" t="s">
        <v>59</v>
      </c>
      <c r="D1250" s="10" t="s">
        <v>6407</v>
      </c>
      <c r="E1250" s="10" t="s">
        <v>251</v>
      </c>
    </row>
    <row r="1251" customFormat="false" ht="25.5" hidden="false" customHeight="true" outlineLevel="0" collapsed="false">
      <c r="A1251" s="10" t="s">
        <v>7250</v>
      </c>
      <c r="B1251" s="9" t="n">
        <v>1</v>
      </c>
      <c r="C1251" s="10" t="s">
        <v>837</v>
      </c>
      <c r="D1251" s="10" t="s">
        <v>6291</v>
      </c>
      <c r="E1251" s="10" t="s">
        <v>1204</v>
      </c>
    </row>
    <row r="1252" customFormat="false" ht="25.5" hidden="false" customHeight="true" outlineLevel="0" collapsed="false">
      <c r="A1252" s="10" t="s">
        <v>7251</v>
      </c>
      <c r="B1252" s="9" t="n">
        <v>1</v>
      </c>
      <c r="C1252" s="10" t="s">
        <v>2713</v>
      </c>
      <c r="D1252" s="10" t="s">
        <v>7046</v>
      </c>
      <c r="E1252" s="10" t="s">
        <v>3143</v>
      </c>
    </row>
    <row r="1253" customFormat="false" ht="25.5" hidden="false" customHeight="true" outlineLevel="0" collapsed="false">
      <c r="A1253" s="10" t="s">
        <v>7252</v>
      </c>
      <c r="B1253" s="9" t="n">
        <v>1</v>
      </c>
      <c r="C1253" s="10" t="s">
        <v>2713</v>
      </c>
      <c r="D1253" s="10" t="s">
        <v>7046</v>
      </c>
      <c r="E1253" s="10" t="s">
        <v>3143</v>
      </c>
    </row>
    <row r="1254" customFormat="false" ht="25.5" hidden="false" customHeight="true" outlineLevel="0" collapsed="false">
      <c r="A1254" s="10" t="s">
        <v>7253</v>
      </c>
      <c r="B1254" s="9" t="n">
        <v>1</v>
      </c>
      <c r="C1254" s="10" t="s">
        <v>59</v>
      </c>
      <c r="D1254" s="10" t="s">
        <v>6072</v>
      </c>
      <c r="E1254" s="10" t="s">
        <v>600</v>
      </c>
    </row>
    <row r="1255" customFormat="false" ht="25.5" hidden="false" customHeight="true" outlineLevel="0" collapsed="false">
      <c r="A1255" s="10" t="s">
        <v>7254</v>
      </c>
      <c r="B1255" s="9" t="n">
        <v>1</v>
      </c>
      <c r="C1255" s="10" t="s">
        <v>4203</v>
      </c>
      <c r="D1255" s="10" t="s">
        <v>6602</v>
      </c>
      <c r="E1255" s="10" t="s">
        <v>4270</v>
      </c>
    </row>
    <row r="1256" customFormat="false" ht="25.5" hidden="false" customHeight="true" outlineLevel="0" collapsed="false">
      <c r="A1256" s="10" t="s">
        <v>7255</v>
      </c>
      <c r="B1256" s="9" t="n">
        <v>1</v>
      </c>
      <c r="C1256" s="10" t="s">
        <v>2713</v>
      </c>
      <c r="D1256" s="10" t="s">
        <v>6228</v>
      </c>
      <c r="E1256" s="10" t="s">
        <v>3082</v>
      </c>
    </row>
    <row r="1257" customFormat="false" ht="25.5" hidden="false" customHeight="true" outlineLevel="0" collapsed="false">
      <c r="A1257" s="10" t="s">
        <v>7256</v>
      </c>
      <c r="B1257" s="9" t="n">
        <v>1</v>
      </c>
      <c r="C1257" s="10" t="s">
        <v>837</v>
      </c>
      <c r="D1257" s="10" t="s">
        <v>6216</v>
      </c>
      <c r="E1257" s="10" t="s">
        <v>836</v>
      </c>
    </row>
    <row r="1258" customFormat="false" ht="25.5" hidden="false" customHeight="true" outlineLevel="0" collapsed="false">
      <c r="A1258" s="10" t="s">
        <v>7257</v>
      </c>
      <c r="B1258" s="9" t="n">
        <v>1</v>
      </c>
      <c r="C1258" s="10" t="s">
        <v>3842</v>
      </c>
      <c r="D1258" s="10" t="s">
        <v>7258</v>
      </c>
      <c r="E1258" s="10" t="s">
        <v>3970</v>
      </c>
    </row>
    <row r="1259" customFormat="false" ht="25.5" hidden="false" customHeight="true" outlineLevel="0" collapsed="false">
      <c r="A1259" s="10" t="s">
        <v>7259</v>
      </c>
      <c r="B1259" s="9" t="n">
        <v>1</v>
      </c>
      <c r="C1259" s="10" t="s">
        <v>4203</v>
      </c>
      <c r="D1259" s="10" t="s">
        <v>6541</v>
      </c>
      <c r="E1259" s="10" t="s">
        <v>4256</v>
      </c>
    </row>
    <row r="1260" customFormat="false" ht="25.5" hidden="false" customHeight="true" outlineLevel="0" collapsed="false">
      <c r="A1260" s="10" t="s">
        <v>7260</v>
      </c>
      <c r="B1260" s="9" t="n">
        <v>1</v>
      </c>
      <c r="C1260" s="10" t="s">
        <v>3842</v>
      </c>
      <c r="D1260" s="10" t="s">
        <v>6287</v>
      </c>
      <c r="E1260" s="10" t="s">
        <v>3944</v>
      </c>
    </row>
    <row r="1261" customFormat="false" ht="25.5" hidden="false" customHeight="true" outlineLevel="0" collapsed="false">
      <c r="A1261" s="10" t="s">
        <v>7261</v>
      </c>
      <c r="B1261" s="9" t="n">
        <v>1</v>
      </c>
      <c r="C1261" s="10" t="s">
        <v>2713</v>
      </c>
      <c r="D1261" s="10" t="s">
        <v>7262</v>
      </c>
      <c r="E1261" s="10" t="s">
        <v>2901</v>
      </c>
    </row>
    <row r="1262" customFormat="false" ht="25.5" hidden="false" customHeight="true" outlineLevel="0" collapsed="false">
      <c r="A1262" s="10" t="s">
        <v>7263</v>
      </c>
      <c r="B1262" s="9" t="n">
        <v>1</v>
      </c>
      <c r="C1262" s="10" t="s">
        <v>2140</v>
      </c>
      <c r="D1262" s="10" t="s">
        <v>6187</v>
      </c>
      <c r="E1262" s="10" t="s">
        <v>2687</v>
      </c>
    </row>
    <row r="1263" customFormat="false" ht="25.5" hidden="false" customHeight="true" outlineLevel="0" collapsed="false">
      <c r="A1263" s="10" t="s">
        <v>7264</v>
      </c>
      <c r="B1263" s="9" t="n">
        <v>1</v>
      </c>
      <c r="C1263" s="10" t="s">
        <v>2140</v>
      </c>
      <c r="D1263" s="10" t="s">
        <v>5598</v>
      </c>
      <c r="E1263" s="10" t="s">
        <v>2700</v>
      </c>
    </row>
    <row r="1264" customFormat="false" ht="25.5" hidden="false" customHeight="true" outlineLevel="0" collapsed="false">
      <c r="A1264" s="10" t="s">
        <v>7265</v>
      </c>
      <c r="B1264" s="9" t="n">
        <v>1</v>
      </c>
      <c r="C1264" s="10" t="s">
        <v>2713</v>
      </c>
      <c r="D1264" s="10" t="s">
        <v>6300</v>
      </c>
      <c r="E1264" s="10" t="s">
        <v>3254</v>
      </c>
    </row>
    <row r="1265" customFormat="false" ht="25.5" hidden="false" customHeight="true" outlineLevel="0" collapsed="false">
      <c r="A1265" s="10" t="s">
        <v>7266</v>
      </c>
      <c r="B1265" s="9" t="n">
        <v>1</v>
      </c>
      <c r="C1265" s="10" t="s">
        <v>2713</v>
      </c>
      <c r="D1265" s="10" t="s">
        <v>6555</v>
      </c>
      <c r="E1265" s="10" t="s">
        <v>2819</v>
      </c>
    </row>
    <row r="1266" customFormat="false" ht="25.5" hidden="false" customHeight="true" outlineLevel="0" collapsed="false">
      <c r="A1266" s="10" t="s">
        <v>7267</v>
      </c>
      <c r="B1266" s="9" t="n">
        <v>1</v>
      </c>
      <c r="C1266" s="10" t="s">
        <v>4203</v>
      </c>
      <c r="D1266" s="10" t="s">
        <v>6673</v>
      </c>
      <c r="E1266" s="10" t="s">
        <v>4392</v>
      </c>
    </row>
    <row r="1267" customFormat="false" ht="25.5" hidden="false" customHeight="true" outlineLevel="0" collapsed="false">
      <c r="A1267" s="10" t="s">
        <v>7268</v>
      </c>
      <c r="B1267" s="9" t="n">
        <v>1</v>
      </c>
      <c r="C1267" s="10" t="s">
        <v>4203</v>
      </c>
      <c r="D1267" s="10" t="s">
        <v>6643</v>
      </c>
      <c r="E1267" s="10" t="s">
        <v>4416</v>
      </c>
    </row>
    <row r="1268" customFormat="false" ht="25.5" hidden="false" customHeight="true" outlineLevel="0" collapsed="false">
      <c r="A1268" s="10" t="s">
        <v>7269</v>
      </c>
      <c r="B1268" s="9" t="n">
        <v>1</v>
      </c>
      <c r="C1268" s="10" t="s">
        <v>2713</v>
      </c>
      <c r="D1268" s="10" t="s">
        <v>6072</v>
      </c>
      <c r="E1268" s="10" t="s">
        <v>2891</v>
      </c>
    </row>
    <row r="1269" customFormat="false" ht="25.5" hidden="false" customHeight="true" outlineLevel="0" collapsed="false">
      <c r="A1269" s="10" t="s">
        <v>7270</v>
      </c>
      <c r="B1269" s="9" t="n">
        <v>1</v>
      </c>
      <c r="C1269" s="10" t="s">
        <v>837</v>
      </c>
      <c r="D1269" s="10" t="s">
        <v>5734</v>
      </c>
      <c r="E1269" s="10" t="s">
        <v>1313</v>
      </c>
    </row>
    <row r="1270" customFormat="false" ht="25.5" hidden="false" customHeight="true" outlineLevel="0" collapsed="false">
      <c r="A1270" s="10" t="s">
        <v>7271</v>
      </c>
      <c r="B1270" s="9" t="n">
        <v>1</v>
      </c>
      <c r="C1270" s="10" t="s">
        <v>837</v>
      </c>
      <c r="D1270" s="10" t="s">
        <v>5734</v>
      </c>
      <c r="E1270" s="10" t="s">
        <v>1313</v>
      </c>
    </row>
    <row r="1271" customFormat="false" ht="25.5" hidden="false" customHeight="true" outlineLevel="0" collapsed="false">
      <c r="A1271" s="10" t="s">
        <v>7272</v>
      </c>
      <c r="B1271" s="9" t="n">
        <v>1</v>
      </c>
      <c r="C1271" s="10" t="s">
        <v>2713</v>
      </c>
      <c r="D1271" s="10" t="s">
        <v>6072</v>
      </c>
      <c r="E1271" s="10" t="s">
        <v>2891</v>
      </c>
    </row>
    <row r="1272" customFormat="false" ht="25.5" hidden="false" customHeight="true" outlineLevel="0" collapsed="false">
      <c r="A1272" s="10" t="s">
        <v>7273</v>
      </c>
      <c r="B1272" s="9" t="n">
        <v>1</v>
      </c>
      <c r="C1272" s="10" t="s">
        <v>2713</v>
      </c>
      <c r="D1272" s="10" t="s">
        <v>6072</v>
      </c>
      <c r="E1272" s="10" t="s">
        <v>2891</v>
      </c>
    </row>
    <row r="1273" customFormat="false" ht="25.5" hidden="false" customHeight="true" outlineLevel="0" collapsed="false">
      <c r="A1273" s="10" t="s">
        <v>7274</v>
      </c>
      <c r="B1273" s="9" t="n">
        <v>1</v>
      </c>
      <c r="C1273" s="10" t="s">
        <v>837</v>
      </c>
      <c r="D1273" s="10" t="s">
        <v>6411</v>
      </c>
      <c r="E1273" s="10" t="s">
        <v>1473</v>
      </c>
    </row>
    <row r="1274" customFormat="false" ht="25.5" hidden="false" customHeight="true" outlineLevel="0" collapsed="false">
      <c r="A1274" s="10" t="s">
        <v>7275</v>
      </c>
      <c r="B1274" s="9" t="n">
        <v>1</v>
      </c>
      <c r="C1274" s="10" t="s">
        <v>4582</v>
      </c>
      <c r="D1274" s="10" t="s">
        <v>5770</v>
      </c>
      <c r="E1274" s="10" t="s">
        <v>4795</v>
      </c>
    </row>
    <row r="1275" customFormat="false" ht="25.5" hidden="false" customHeight="true" outlineLevel="0" collapsed="false">
      <c r="A1275" s="10" t="s">
        <v>7276</v>
      </c>
      <c r="B1275" s="9" t="n">
        <v>1</v>
      </c>
      <c r="C1275" s="10" t="s">
        <v>2713</v>
      </c>
      <c r="D1275" s="10" t="s">
        <v>7191</v>
      </c>
      <c r="E1275" s="10" t="s">
        <v>2726</v>
      </c>
    </row>
    <row r="1276" customFormat="false" ht="25.5" hidden="false" customHeight="true" outlineLevel="0" collapsed="false">
      <c r="A1276" s="10" t="s">
        <v>7277</v>
      </c>
      <c r="B1276" s="9" t="n">
        <v>1</v>
      </c>
      <c r="C1276" s="10" t="s">
        <v>3291</v>
      </c>
      <c r="D1276" s="10" t="s">
        <v>6435</v>
      </c>
      <c r="E1276" s="10" t="s">
        <v>3670</v>
      </c>
    </row>
    <row r="1277" customFormat="false" ht="25.5" hidden="false" customHeight="true" outlineLevel="0" collapsed="false">
      <c r="A1277" s="10" t="s">
        <v>7278</v>
      </c>
      <c r="B1277" s="9" t="n">
        <v>1</v>
      </c>
      <c r="C1277" s="10" t="s">
        <v>837</v>
      </c>
      <c r="D1277" s="10" t="s">
        <v>5609</v>
      </c>
      <c r="E1277" s="10" t="s">
        <v>1395</v>
      </c>
    </row>
    <row r="1278" customFormat="false" ht="25.5" hidden="false" customHeight="true" outlineLevel="0" collapsed="false">
      <c r="A1278" s="10" t="s">
        <v>7279</v>
      </c>
      <c r="B1278" s="9" t="n">
        <v>1</v>
      </c>
      <c r="C1278" s="10" t="s">
        <v>2713</v>
      </c>
      <c r="D1278" s="10" t="s">
        <v>7191</v>
      </c>
      <c r="E1278" s="10" t="s">
        <v>2712</v>
      </c>
    </row>
    <row r="1279" customFormat="false" ht="25.5" hidden="false" customHeight="true" outlineLevel="0" collapsed="false">
      <c r="A1279" s="10" t="s">
        <v>7280</v>
      </c>
      <c r="B1279" s="9" t="n">
        <v>1</v>
      </c>
      <c r="C1279" s="10" t="s">
        <v>2713</v>
      </c>
      <c r="D1279" s="10" t="s">
        <v>7191</v>
      </c>
      <c r="E1279" s="10" t="s">
        <v>2726</v>
      </c>
    </row>
    <row r="1280" customFormat="false" ht="25.5" hidden="false" customHeight="true" outlineLevel="0" collapsed="false">
      <c r="A1280" s="10" t="s">
        <v>7281</v>
      </c>
      <c r="B1280" s="9" t="n">
        <v>1</v>
      </c>
      <c r="C1280" s="10" t="s">
        <v>837</v>
      </c>
      <c r="D1280" s="10" t="s">
        <v>6070</v>
      </c>
      <c r="E1280" s="10" t="s">
        <v>1298</v>
      </c>
    </row>
    <row r="1281" customFormat="false" ht="25.5" hidden="false" customHeight="true" outlineLevel="0" collapsed="false">
      <c r="A1281" s="10" t="s">
        <v>7282</v>
      </c>
      <c r="B1281" s="9" t="n">
        <v>1</v>
      </c>
      <c r="C1281" s="10" t="s">
        <v>2713</v>
      </c>
      <c r="D1281" s="10" t="s">
        <v>7191</v>
      </c>
      <c r="E1281" s="10" t="s">
        <v>2726</v>
      </c>
    </row>
    <row r="1282" customFormat="false" ht="25.5" hidden="false" customHeight="true" outlineLevel="0" collapsed="false">
      <c r="A1282" s="10" t="s">
        <v>7283</v>
      </c>
      <c r="B1282" s="9" t="n">
        <v>1</v>
      </c>
      <c r="C1282" s="10" t="s">
        <v>2713</v>
      </c>
      <c r="D1282" s="10" t="s">
        <v>6539</v>
      </c>
      <c r="E1282" s="10" t="s">
        <v>2737</v>
      </c>
    </row>
    <row r="1283" customFormat="false" ht="25.5" hidden="false" customHeight="true" outlineLevel="0" collapsed="false">
      <c r="A1283" s="10" t="s">
        <v>7284</v>
      </c>
      <c r="B1283" s="9" t="n">
        <v>1</v>
      </c>
      <c r="C1283" s="10" t="s">
        <v>2713</v>
      </c>
      <c r="D1283" s="10" t="s">
        <v>6539</v>
      </c>
      <c r="E1283" s="10" t="s">
        <v>2737</v>
      </c>
    </row>
    <row r="1284" customFormat="false" ht="25.5" hidden="false" customHeight="true" outlineLevel="0" collapsed="false">
      <c r="A1284" s="10" t="s">
        <v>7285</v>
      </c>
      <c r="B1284" s="9" t="n">
        <v>1</v>
      </c>
      <c r="C1284" s="10" t="s">
        <v>2713</v>
      </c>
      <c r="D1284" s="10" t="s">
        <v>6260</v>
      </c>
      <c r="E1284" s="10" t="s">
        <v>2783</v>
      </c>
    </row>
    <row r="1285" customFormat="false" ht="25.5" hidden="false" customHeight="true" outlineLevel="0" collapsed="false">
      <c r="A1285" s="10" t="s">
        <v>7286</v>
      </c>
      <c r="B1285" s="9" t="n">
        <v>1</v>
      </c>
      <c r="C1285" s="10" t="s">
        <v>2713</v>
      </c>
      <c r="D1285" s="10" t="s">
        <v>7191</v>
      </c>
      <c r="E1285" s="10" t="s">
        <v>2726</v>
      </c>
    </row>
    <row r="1286" customFormat="false" ht="25.5" hidden="false" customHeight="true" outlineLevel="0" collapsed="false">
      <c r="A1286" s="10" t="s">
        <v>7287</v>
      </c>
      <c r="B1286" s="9" t="n">
        <v>1</v>
      </c>
      <c r="C1286" s="10" t="s">
        <v>2713</v>
      </c>
      <c r="D1286" s="10" t="s">
        <v>6108</v>
      </c>
      <c r="E1286" s="10" t="s">
        <v>2772</v>
      </c>
    </row>
    <row r="1287" customFormat="false" ht="25.5" hidden="false" customHeight="true" outlineLevel="0" collapsed="false">
      <c r="A1287" s="10" t="s">
        <v>7288</v>
      </c>
      <c r="B1287" s="9" t="n">
        <v>1</v>
      </c>
      <c r="C1287" s="10" t="s">
        <v>2713</v>
      </c>
      <c r="D1287" s="10" t="s">
        <v>7191</v>
      </c>
      <c r="E1287" s="10" t="s">
        <v>2712</v>
      </c>
    </row>
    <row r="1288" customFormat="false" ht="25.5" hidden="false" customHeight="true" outlineLevel="0" collapsed="false">
      <c r="A1288" s="10" t="s">
        <v>7289</v>
      </c>
      <c r="B1288" s="9" t="n">
        <v>1</v>
      </c>
      <c r="C1288" s="10" t="s">
        <v>837</v>
      </c>
      <c r="D1288" s="10" t="s">
        <v>6020</v>
      </c>
      <c r="E1288" s="10" t="s">
        <v>1111</v>
      </c>
    </row>
    <row r="1289" customFormat="false" ht="25.5" hidden="false" customHeight="true" outlineLevel="0" collapsed="false">
      <c r="A1289" s="10" t="s">
        <v>7290</v>
      </c>
      <c r="B1289" s="9" t="n">
        <v>1</v>
      </c>
      <c r="C1289" s="10" t="s">
        <v>2713</v>
      </c>
      <c r="D1289" s="10" t="s">
        <v>6125</v>
      </c>
      <c r="E1289" s="10" t="s">
        <v>2924</v>
      </c>
    </row>
    <row r="1290" customFormat="false" ht="25.5" hidden="false" customHeight="true" outlineLevel="0" collapsed="false">
      <c r="A1290" s="10" t="s">
        <v>7291</v>
      </c>
      <c r="B1290" s="9" t="n">
        <v>1</v>
      </c>
      <c r="C1290" s="10" t="s">
        <v>837</v>
      </c>
      <c r="D1290" s="10" t="s">
        <v>6080</v>
      </c>
      <c r="E1290" s="10" t="s">
        <v>1340</v>
      </c>
    </row>
    <row r="1291" customFormat="false" ht="25.5" hidden="false" customHeight="true" outlineLevel="0" collapsed="false">
      <c r="A1291" s="10" t="s">
        <v>7292</v>
      </c>
      <c r="B1291" s="9" t="n">
        <v>1</v>
      </c>
      <c r="C1291" s="10" t="s">
        <v>837</v>
      </c>
      <c r="D1291" s="10" t="s">
        <v>7032</v>
      </c>
      <c r="E1291" s="10" t="s">
        <v>1326</v>
      </c>
    </row>
    <row r="1292" customFormat="false" ht="25.5" hidden="false" customHeight="true" outlineLevel="0" collapsed="false">
      <c r="A1292" s="10" t="s">
        <v>7293</v>
      </c>
      <c r="B1292" s="9" t="n">
        <v>1</v>
      </c>
      <c r="C1292" s="10" t="s">
        <v>837</v>
      </c>
      <c r="D1292" s="10" t="s">
        <v>6080</v>
      </c>
      <c r="E1292" s="10" t="s">
        <v>1340</v>
      </c>
    </row>
    <row r="1293" customFormat="false" ht="25.5" hidden="false" customHeight="true" outlineLevel="0" collapsed="false">
      <c r="A1293" s="10" t="s">
        <v>7294</v>
      </c>
      <c r="B1293" s="9" t="n">
        <v>1</v>
      </c>
      <c r="C1293" s="10" t="s">
        <v>837</v>
      </c>
      <c r="D1293" s="10" t="s">
        <v>5609</v>
      </c>
      <c r="E1293" s="10" t="s">
        <v>1368</v>
      </c>
    </row>
    <row r="1294" customFormat="false" ht="25.5" hidden="false" customHeight="true" outlineLevel="0" collapsed="false">
      <c r="A1294" s="10" t="s">
        <v>7295</v>
      </c>
      <c r="B1294" s="9" t="n">
        <v>1</v>
      </c>
      <c r="C1294" s="10" t="s">
        <v>2140</v>
      </c>
      <c r="D1294" s="10" t="s">
        <v>7125</v>
      </c>
      <c r="E1294" s="10" t="s">
        <v>2467</v>
      </c>
    </row>
    <row r="1295" customFormat="false" ht="25.5" hidden="false" customHeight="true" outlineLevel="0" collapsed="false">
      <c r="A1295" s="10" t="s">
        <v>7296</v>
      </c>
      <c r="B1295" s="9" t="n">
        <v>1</v>
      </c>
      <c r="C1295" s="10" t="s">
        <v>59</v>
      </c>
      <c r="D1295" s="10" t="s">
        <v>235</v>
      </c>
      <c r="E1295" s="10" t="s">
        <v>227</v>
      </c>
    </row>
    <row r="1296" customFormat="false" ht="25.5" hidden="false" customHeight="true" outlineLevel="0" collapsed="false">
      <c r="A1296" s="10" t="s">
        <v>7297</v>
      </c>
      <c r="B1296" s="9" t="n">
        <v>1</v>
      </c>
      <c r="C1296" s="10" t="s">
        <v>2713</v>
      </c>
      <c r="D1296" s="10" t="s">
        <v>6555</v>
      </c>
      <c r="E1296" s="10" t="s">
        <v>2819</v>
      </c>
    </row>
    <row r="1297" customFormat="false" ht="25.5" hidden="false" customHeight="true" outlineLevel="0" collapsed="false">
      <c r="A1297" s="10" t="s">
        <v>7298</v>
      </c>
      <c r="B1297" s="9" t="n">
        <v>1</v>
      </c>
      <c r="C1297" s="10" t="s">
        <v>2713</v>
      </c>
      <c r="D1297" s="10" t="s">
        <v>5576</v>
      </c>
      <c r="E1297" s="10" t="s">
        <v>2963</v>
      </c>
    </row>
    <row r="1298" customFormat="false" ht="25.5" hidden="false" customHeight="true" outlineLevel="0" collapsed="false">
      <c r="A1298" s="10" t="s">
        <v>7299</v>
      </c>
      <c r="B1298" s="9" t="n">
        <v>1</v>
      </c>
      <c r="C1298" s="10" t="s">
        <v>3291</v>
      </c>
      <c r="D1298" s="10" t="s">
        <v>5703</v>
      </c>
      <c r="E1298" s="10" t="s">
        <v>3631</v>
      </c>
    </row>
    <row r="1299" customFormat="false" ht="25.5" hidden="false" customHeight="true" outlineLevel="0" collapsed="false">
      <c r="A1299" s="10" t="s">
        <v>7300</v>
      </c>
      <c r="B1299" s="9" t="n">
        <v>1</v>
      </c>
      <c r="C1299" s="10" t="s">
        <v>3291</v>
      </c>
      <c r="D1299" s="10" t="s">
        <v>6925</v>
      </c>
      <c r="E1299" s="10" t="s">
        <v>3553</v>
      </c>
    </row>
    <row r="1300" customFormat="false" ht="25.5" hidden="false" customHeight="true" outlineLevel="0" collapsed="false">
      <c r="A1300" s="10" t="s">
        <v>7301</v>
      </c>
      <c r="B1300" s="9" t="n">
        <v>1</v>
      </c>
      <c r="C1300" s="10" t="s">
        <v>2713</v>
      </c>
      <c r="D1300" s="10" t="s">
        <v>6424</v>
      </c>
      <c r="E1300" s="10" t="s">
        <v>3131</v>
      </c>
    </row>
    <row r="1301" customFormat="false" ht="25.5" hidden="false" customHeight="true" outlineLevel="0" collapsed="false">
      <c r="A1301" s="10" t="s">
        <v>7302</v>
      </c>
      <c r="B1301" s="9" t="n">
        <v>1</v>
      </c>
      <c r="C1301" s="10" t="s">
        <v>4203</v>
      </c>
      <c r="D1301" s="10" t="s">
        <v>4251</v>
      </c>
      <c r="E1301" s="10" t="s">
        <v>4318</v>
      </c>
    </row>
    <row r="1302" customFormat="false" ht="25.5" hidden="false" customHeight="true" outlineLevel="0" collapsed="false">
      <c r="A1302" s="10" t="s">
        <v>7303</v>
      </c>
      <c r="B1302" s="9" t="n">
        <v>1</v>
      </c>
      <c r="C1302" s="10" t="s">
        <v>1500</v>
      </c>
      <c r="D1302" s="10" t="s">
        <v>7235</v>
      </c>
      <c r="E1302" s="10" t="s">
        <v>1950</v>
      </c>
    </row>
    <row r="1303" customFormat="false" ht="25.5" hidden="false" customHeight="true" outlineLevel="0" collapsed="false">
      <c r="A1303" s="10" t="s">
        <v>7304</v>
      </c>
      <c r="B1303" s="9" t="n">
        <v>1</v>
      </c>
      <c r="C1303" s="10" t="s">
        <v>837</v>
      </c>
      <c r="D1303" s="10" t="s">
        <v>6375</v>
      </c>
      <c r="E1303" s="10" t="s">
        <v>1099</v>
      </c>
    </row>
    <row r="1304" customFormat="false" ht="25.5" hidden="false" customHeight="true" outlineLevel="0" collapsed="false">
      <c r="A1304" s="10" t="s">
        <v>7305</v>
      </c>
      <c r="B1304" s="9" t="n">
        <v>1</v>
      </c>
      <c r="C1304" s="10" t="s">
        <v>1500</v>
      </c>
      <c r="D1304" s="10" t="s">
        <v>7306</v>
      </c>
      <c r="E1304" s="10" t="s">
        <v>1601</v>
      </c>
    </row>
    <row r="1305" customFormat="false" ht="25.5" hidden="false" customHeight="true" outlineLevel="0" collapsed="false">
      <c r="A1305" s="10" t="s">
        <v>7307</v>
      </c>
      <c r="B1305" s="9" t="n">
        <v>1</v>
      </c>
      <c r="C1305" s="10" t="s">
        <v>4203</v>
      </c>
      <c r="D1305" s="10" t="s">
        <v>6127</v>
      </c>
      <c r="E1305" s="10" t="s">
        <v>4555</v>
      </c>
    </row>
    <row r="1306" customFormat="false" ht="25.5" hidden="false" customHeight="true" outlineLevel="0" collapsed="false">
      <c r="A1306" s="10" t="s">
        <v>7308</v>
      </c>
      <c r="B1306" s="9" t="n">
        <v>1</v>
      </c>
      <c r="C1306" s="10" t="s">
        <v>59</v>
      </c>
      <c r="D1306" s="10" t="s">
        <v>5699</v>
      </c>
      <c r="E1306" s="10" t="s">
        <v>304</v>
      </c>
    </row>
    <row r="1307" customFormat="false" ht="25.5" hidden="false" customHeight="true" outlineLevel="0" collapsed="false">
      <c r="A1307" s="10" t="s">
        <v>7309</v>
      </c>
      <c r="B1307" s="9" t="n">
        <v>1</v>
      </c>
      <c r="C1307" s="10" t="s">
        <v>3291</v>
      </c>
      <c r="D1307" s="10" t="s">
        <v>6502</v>
      </c>
      <c r="E1307" s="10" t="s">
        <v>3709</v>
      </c>
    </row>
    <row r="1308" customFormat="false" ht="25.5" hidden="false" customHeight="true" outlineLevel="0" collapsed="false">
      <c r="A1308" s="10" t="s">
        <v>7310</v>
      </c>
      <c r="B1308" s="9" t="n">
        <v>1</v>
      </c>
      <c r="C1308" s="10" t="s">
        <v>3842</v>
      </c>
      <c r="D1308" s="10" t="s">
        <v>6546</v>
      </c>
      <c r="E1308" s="10" t="s">
        <v>4176</v>
      </c>
    </row>
    <row r="1309" customFormat="false" ht="25.5" hidden="false" customHeight="true" outlineLevel="0" collapsed="false">
      <c r="A1309" s="10" t="s">
        <v>7311</v>
      </c>
      <c r="B1309" s="9" t="n">
        <v>1</v>
      </c>
      <c r="C1309" s="10" t="s">
        <v>3842</v>
      </c>
      <c r="D1309" s="10" t="s">
        <v>6546</v>
      </c>
      <c r="E1309" s="10" t="s">
        <v>4176</v>
      </c>
    </row>
    <row r="1310" customFormat="false" ht="25.5" hidden="false" customHeight="true" outlineLevel="0" collapsed="false">
      <c r="A1310" s="10" t="s">
        <v>7312</v>
      </c>
      <c r="B1310" s="9" t="n">
        <v>1</v>
      </c>
      <c r="C1310" s="10" t="s">
        <v>3842</v>
      </c>
      <c r="D1310" s="10" t="s">
        <v>6546</v>
      </c>
      <c r="E1310" s="10" t="s">
        <v>4176</v>
      </c>
    </row>
    <row r="1311" customFormat="false" ht="25.5" hidden="false" customHeight="true" outlineLevel="0" collapsed="false">
      <c r="A1311" s="10" t="s">
        <v>7313</v>
      </c>
      <c r="B1311" s="9" t="n">
        <v>1</v>
      </c>
      <c r="C1311" s="10" t="s">
        <v>1500</v>
      </c>
      <c r="D1311" s="10" t="s">
        <v>6315</v>
      </c>
      <c r="E1311" s="10" t="s">
        <v>1770</v>
      </c>
    </row>
    <row r="1312" customFormat="false" ht="25.5" hidden="false" customHeight="true" outlineLevel="0" collapsed="false">
      <c r="A1312" s="10" t="s">
        <v>7314</v>
      </c>
      <c r="B1312" s="9" t="n">
        <v>1</v>
      </c>
      <c r="C1312" s="10" t="s">
        <v>1500</v>
      </c>
      <c r="D1312" s="10" t="s">
        <v>6315</v>
      </c>
      <c r="E1312" s="10" t="s">
        <v>1770</v>
      </c>
    </row>
    <row r="1313" customFormat="false" ht="25.5" hidden="false" customHeight="true" outlineLevel="0" collapsed="false">
      <c r="A1313" s="10" t="s">
        <v>7315</v>
      </c>
      <c r="B1313" s="9" t="n">
        <v>1</v>
      </c>
      <c r="C1313" s="10" t="s">
        <v>59</v>
      </c>
      <c r="D1313" s="10" t="s">
        <v>6072</v>
      </c>
      <c r="E1313" s="10" t="s">
        <v>137</v>
      </c>
    </row>
    <row r="1314" customFormat="false" ht="25.5" hidden="false" customHeight="true" outlineLevel="0" collapsed="false">
      <c r="A1314" s="10" t="s">
        <v>7316</v>
      </c>
      <c r="B1314" s="9" t="n">
        <v>1</v>
      </c>
      <c r="C1314" s="10" t="s">
        <v>837</v>
      </c>
      <c r="D1314" s="10" t="s">
        <v>6075</v>
      </c>
      <c r="E1314" s="10" t="s">
        <v>968</v>
      </c>
    </row>
    <row r="1315" customFormat="false" ht="25.5" hidden="false" customHeight="true" outlineLevel="0" collapsed="false">
      <c r="A1315" s="10" t="s">
        <v>7317</v>
      </c>
      <c r="B1315" s="9" t="n">
        <v>1</v>
      </c>
      <c r="C1315" s="10" t="s">
        <v>837</v>
      </c>
      <c r="D1315" s="10" t="s">
        <v>6123</v>
      </c>
      <c r="E1315" s="10" t="s">
        <v>916</v>
      </c>
    </row>
    <row r="1316" customFormat="false" ht="25.5" hidden="false" customHeight="true" outlineLevel="0" collapsed="false">
      <c r="A1316" s="10" t="s">
        <v>7318</v>
      </c>
      <c r="B1316" s="9" t="n">
        <v>1</v>
      </c>
      <c r="C1316" s="10" t="s">
        <v>837</v>
      </c>
      <c r="D1316" s="10" t="s">
        <v>6075</v>
      </c>
      <c r="E1316" s="10" t="s">
        <v>968</v>
      </c>
    </row>
    <row r="1317" customFormat="false" ht="25.5" hidden="false" customHeight="true" outlineLevel="0" collapsed="false">
      <c r="A1317" s="10" t="s">
        <v>7319</v>
      </c>
      <c r="B1317" s="9" t="n">
        <v>1</v>
      </c>
      <c r="C1317" s="10" t="s">
        <v>4203</v>
      </c>
      <c r="D1317" s="10" t="s">
        <v>6522</v>
      </c>
      <c r="E1317" s="10" t="s">
        <v>4517</v>
      </c>
    </row>
    <row r="1318" customFormat="false" ht="25.5" hidden="false" customHeight="true" outlineLevel="0" collapsed="false">
      <c r="A1318" s="10" t="s">
        <v>7320</v>
      </c>
      <c r="B1318" s="9" t="n">
        <v>1</v>
      </c>
      <c r="C1318" s="10" t="s">
        <v>837</v>
      </c>
      <c r="D1318" s="10" t="s">
        <v>6268</v>
      </c>
      <c r="E1318" s="10" t="s">
        <v>1074</v>
      </c>
    </row>
    <row r="1319" customFormat="false" ht="25.5" hidden="false" customHeight="true" outlineLevel="0" collapsed="false">
      <c r="A1319" s="10" t="s">
        <v>7321</v>
      </c>
      <c r="B1319" s="9" t="n">
        <v>1</v>
      </c>
      <c r="C1319" s="10" t="s">
        <v>837</v>
      </c>
      <c r="D1319" s="10" t="s">
        <v>7032</v>
      </c>
      <c r="E1319" s="10" t="s">
        <v>1326</v>
      </c>
    </row>
    <row r="1320" customFormat="false" ht="25.5" hidden="false" customHeight="true" outlineLevel="0" collapsed="false">
      <c r="A1320" s="10" t="s">
        <v>7322</v>
      </c>
      <c r="B1320" s="9" t="n">
        <v>1</v>
      </c>
      <c r="C1320" s="10" t="s">
        <v>837</v>
      </c>
      <c r="D1320" s="10" t="s">
        <v>7109</v>
      </c>
      <c r="E1320" s="10" t="s">
        <v>1246</v>
      </c>
    </row>
    <row r="1321" customFormat="false" ht="25.5" hidden="false" customHeight="true" outlineLevel="0" collapsed="false">
      <c r="A1321" s="10" t="s">
        <v>7323</v>
      </c>
      <c r="B1321" s="9" t="n">
        <v>1</v>
      </c>
      <c r="C1321" s="10" t="s">
        <v>837</v>
      </c>
      <c r="D1321" s="10" t="s">
        <v>5983</v>
      </c>
      <c r="E1321" s="10" t="s">
        <v>942</v>
      </c>
    </row>
    <row r="1322" customFormat="false" ht="25.5" hidden="false" customHeight="true" outlineLevel="0" collapsed="false">
      <c r="A1322" s="10" t="s">
        <v>7324</v>
      </c>
      <c r="B1322" s="9" t="n">
        <v>1</v>
      </c>
      <c r="C1322" s="10" t="s">
        <v>1500</v>
      </c>
      <c r="D1322" s="10" t="s">
        <v>6065</v>
      </c>
      <c r="E1322" s="10" t="s">
        <v>1705</v>
      </c>
    </row>
    <row r="1323" customFormat="false" ht="25.5" hidden="false" customHeight="true" outlineLevel="0" collapsed="false">
      <c r="A1323" s="10" t="s">
        <v>7325</v>
      </c>
      <c r="B1323" s="9" t="n">
        <v>1</v>
      </c>
      <c r="C1323" s="10" t="s">
        <v>3842</v>
      </c>
      <c r="D1323" s="10" t="s">
        <v>7326</v>
      </c>
      <c r="E1323" s="10" t="s">
        <v>3930</v>
      </c>
    </row>
    <row r="1324" customFormat="false" ht="25.5" hidden="false" customHeight="true" outlineLevel="0" collapsed="false">
      <c r="A1324" s="10" t="s">
        <v>7327</v>
      </c>
      <c r="B1324" s="9" t="n">
        <v>1</v>
      </c>
      <c r="C1324" s="10" t="s">
        <v>3842</v>
      </c>
      <c r="D1324" s="10" t="s">
        <v>7326</v>
      </c>
      <c r="E1324" s="10" t="s">
        <v>3930</v>
      </c>
    </row>
    <row r="1325" customFormat="false" ht="25.5" hidden="false" customHeight="true" outlineLevel="0" collapsed="false">
      <c r="A1325" s="10" t="s">
        <v>7328</v>
      </c>
      <c r="B1325" s="9" t="n">
        <v>1</v>
      </c>
      <c r="C1325" s="10" t="s">
        <v>3842</v>
      </c>
      <c r="D1325" s="10" t="s">
        <v>7326</v>
      </c>
      <c r="E1325" s="10" t="s">
        <v>3930</v>
      </c>
    </row>
    <row r="1326" customFormat="false" ht="25.5" hidden="false" customHeight="true" outlineLevel="0" collapsed="false">
      <c r="A1326" s="10" t="s">
        <v>7329</v>
      </c>
      <c r="B1326" s="9" t="n">
        <v>1</v>
      </c>
      <c r="C1326" s="10" t="s">
        <v>3842</v>
      </c>
      <c r="D1326" s="10" t="s">
        <v>7326</v>
      </c>
      <c r="E1326" s="10" t="s">
        <v>3930</v>
      </c>
    </row>
    <row r="1327" customFormat="false" ht="25.5" hidden="false" customHeight="true" outlineLevel="0" collapsed="false">
      <c r="A1327" s="10" t="s">
        <v>7330</v>
      </c>
      <c r="B1327" s="9" t="n">
        <v>1</v>
      </c>
      <c r="C1327" s="10" t="s">
        <v>3842</v>
      </c>
      <c r="D1327" s="10" t="s">
        <v>7326</v>
      </c>
      <c r="E1327" s="10" t="s">
        <v>3930</v>
      </c>
    </row>
    <row r="1328" customFormat="false" ht="25.5" hidden="false" customHeight="true" outlineLevel="0" collapsed="false">
      <c r="A1328" s="10" t="s">
        <v>7331</v>
      </c>
      <c r="B1328" s="9" t="n">
        <v>1</v>
      </c>
      <c r="C1328" s="10" t="s">
        <v>3842</v>
      </c>
      <c r="D1328" s="10" t="s">
        <v>7326</v>
      </c>
      <c r="E1328" s="10" t="s">
        <v>3930</v>
      </c>
    </row>
    <row r="1329" customFormat="false" ht="25.5" hidden="false" customHeight="true" outlineLevel="0" collapsed="false">
      <c r="A1329" s="10" t="s">
        <v>7332</v>
      </c>
      <c r="B1329" s="9" t="n">
        <v>1</v>
      </c>
      <c r="C1329" s="10" t="s">
        <v>3842</v>
      </c>
      <c r="D1329" s="10" t="s">
        <v>7326</v>
      </c>
      <c r="E1329" s="10" t="s">
        <v>3930</v>
      </c>
    </row>
    <row r="1330" customFormat="false" ht="25.5" hidden="false" customHeight="true" outlineLevel="0" collapsed="false">
      <c r="A1330" s="10" t="s">
        <v>7333</v>
      </c>
      <c r="B1330" s="9" t="n">
        <v>1</v>
      </c>
      <c r="C1330" s="10" t="s">
        <v>3291</v>
      </c>
      <c r="D1330" s="10" t="s">
        <v>5703</v>
      </c>
      <c r="E1330" s="10" t="s">
        <v>3631</v>
      </c>
    </row>
    <row r="1331" customFormat="false" ht="25.5" hidden="false" customHeight="true" outlineLevel="0" collapsed="false">
      <c r="A1331" s="10" t="s">
        <v>7334</v>
      </c>
      <c r="B1331" s="9" t="n">
        <v>1</v>
      </c>
      <c r="C1331" s="10" t="s">
        <v>59</v>
      </c>
      <c r="D1331" s="10" t="s">
        <v>6248</v>
      </c>
      <c r="E1331" s="10" t="s">
        <v>586</v>
      </c>
    </row>
    <row r="1332" customFormat="false" ht="25.5" hidden="false" customHeight="true" outlineLevel="0" collapsed="false">
      <c r="A1332" s="10" t="s">
        <v>7335</v>
      </c>
      <c r="B1332" s="9" t="n">
        <v>1</v>
      </c>
      <c r="C1332" s="10" t="s">
        <v>2140</v>
      </c>
      <c r="D1332" s="10" t="s">
        <v>7140</v>
      </c>
      <c r="E1332" s="10" t="s">
        <v>2313</v>
      </c>
    </row>
    <row r="1333" customFormat="false" ht="25.5" hidden="false" customHeight="true" outlineLevel="0" collapsed="false">
      <c r="A1333" s="10" t="s">
        <v>7336</v>
      </c>
      <c r="B1333" s="9" t="n">
        <v>1</v>
      </c>
      <c r="C1333" s="10" t="s">
        <v>59</v>
      </c>
      <c r="D1333" s="10" t="s">
        <v>6248</v>
      </c>
      <c r="E1333" s="10" t="s">
        <v>586</v>
      </c>
    </row>
    <row r="1334" customFormat="false" ht="25.5" hidden="false" customHeight="true" outlineLevel="0" collapsed="false">
      <c r="A1334" s="10" t="s">
        <v>7337</v>
      </c>
      <c r="B1334" s="9" t="n">
        <v>1</v>
      </c>
      <c r="C1334" s="10" t="s">
        <v>59</v>
      </c>
      <c r="D1334" s="10" t="s">
        <v>5858</v>
      </c>
      <c r="E1334" s="10" t="s">
        <v>404</v>
      </c>
    </row>
    <row r="1335" customFormat="false" ht="25.5" hidden="false" customHeight="true" outlineLevel="0" collapsed="false">
      <c r="A1335" s="10" t="s">
        <v>7338</v>
      </c>
      <c r="B1335" s="9" t="n">
        <v>1</v>
      </c>
      <c r="C1335" s="10" t="s">
        <v>3291</v>
      </c>
      <c r="D1335" s="10" t="s">
        <v>7339</v>
      </c>
      <c r="E1335" s="10" t="s">
        <v>3618</v>
      </c>
    </row>
    <row r="1336" customFormat="false" ht="25.5" hidden="false" customHeight="true" outlineLevel="0" collapsed="false">
      <c r="A1336" s="10" t="s">
        <v>7340</v>
      </c>
      <c r="B1336" s="9" t="n">
        <v>1</v>
      </c>
      <c r="C1336" s="10" t="s">
        <v>3291</v>
      </c>
      <c r="D1336" s="10" t="s">
        <v>6049</v>
      </c>
      <c r="E1336" s="10" t="s">
        <v>3735</v>
      </c>
    </row>
    <row r="1337" customFormat="false" ht="25.5" hidden="false" customHeight="true" outlineLevel="0" collapsed="false">
      <c r="A1337" s="10" t="s">
        <v>7341</v>
      </c>
      <c r="B1337" s="9" t="n">
        <v>1</v>
      </c>
      <c r="C1337" s="10" t="s">
        <v>3291</v>
      </c>
      <c r="D1337" s="10" t="s">
        <v>7106</v>
      </c>
      <c r="E1337" s="10" t="s">
        <v>3801</v>
      </c>
    </row>
    <row r="1338" customFormat="false" ht="25.5" hidden="false" customHeight="true" outlineLevel="0" collapsed="false">
      <c r="A1338" s="10" t="s">
        <v>7342</v>
      </c>
      <c r="B1338" s="9" t="n">
        <v>1</v>
      </c>
      <c r="C1338" s="10" t="s">
        <v>3291</v>
      </c>
      <c r="D1338" s="10" t="s">
        <v>7106</v>
      </c>
      <c r="E1338" s="10" t="s">
        <v>3801</v>
      </c>
    </row>
    <row r="1339" customFormat="false" ht="25.5" hidden="false" customHeight="true" outlineLevel="0" collapsed="false">
      <c r="A1339" s="10" t="s">
        <v>7343</v>
      </c>
      <c r="B1339" s="9" t="n">
        <v>1</v>
      </c>
      <c r="C1339" s="10" t="s">
        <v>2140</v>
      </c>
      <c r="D1339" s="10" t="s">
        <v>5959</v>
      </c>
      <c r="E1339" s="10" t="s">
        <v>2403</v>
      </c>
    </row>
    <row r="1340" customFormat="false" ht="25.5" hidden="false" customHeight="true" outlineLevel="0" collapsed="false">
      <c r="A1340" s="10" t="s">
        <v>7344</v>
      </c>
      <c r="B1340" s="9" t="n">
        <v>1</v>
      </c>
      <c r="C1340" s="10" t="s">
        <v>4203</v>
      </c>
      <c r="D1340" s="10" t="s">
        <v>6275</v>
      </c>
      <c r="E1340" s="10" t="s">
        <v>4330</v>
      </c>
    </row>
    <row r="1341" customFormat="false" ht="25.5" hidden="false" customHeight="true" outlineLevel="0" collapsed="false">
      <c r="A1341" s="10" t="s">
        <v>7345</v>
      </c>
      <c r="B1341" s="9" t="n">
        <v>1</v>
      </c>
      <c r="C1341" s="10" t="s">
        <v>4949</v>
      </c>
      <c r="D1341" s="10" t="s">
        <v>6658</v>
      </c>
      <c r="E1341" s="10" t="s">
        <v>5126</v>
      </c>
    </row>
    <row r="1342" customFormat="false" ht="25.5" hidden="false" customHeight="true" outlineLevel="0" collapsed="false">
      <c r="A1342" s="10" t="s">
        <v>7346</v>
      </c>
      <c r="B1342" s="9" t="n">
        <v>1</v>
      </c>
      <c r="C1342" s="10" t="s">
        <v>4949</v>
      </c>
      <c r="D1342" s="10" t="s">
        <v>6658</v>
      </c>
      <c r="E1342" s="10" t="s">
        <v>5126</v>
      </c>
    </row>
    <row r="1343" customFormat="false" ht="25.5" hidden="false" customHeight="true" outlineLevel="0" collapsed="false">
      <c r="A1343" s="10" t="s">
        <v>7347</v>
      </c>
      <c r="B1343" s="9" t="n">
        <v>1</v>
      </c>
      <c r="C1343" s="10" t="s">
        <v>4949</v>
      </c>
      <c r="D1343" s="10" t="s">
        <v>6658</v>
      </c>
      <c r="E1343" s="10" t="s">
        <v>5126</v>
      </c>
    </row>
    <row r="1344" customFormat="false" ht="25.5" hidden="false" customHeight="true" outlineLevel="0" collapsed="false">
      <c r="A1344" s="10" t="s">
        <v>7348</v>
      </c>
      <c r="B1344" s="9" t="n">
        <v>1</v>
      </c>
      <c r="C1344" s="10" t="s">
        <v>2140</v>
      </c>
      <c r="D1344" s="10" t="s">
        <v>7349</v>
      </c>
      <c r="E1344" s="10" t="s">
        <v>2287</v>
      </c>
    </row>
    <row r="1345" customFormat="false" ht="25.5" hidden="false" customHeight="true" outlineLevel="0" collapsed="false">
      <c r="A1345" s="10" t="s">
        <v>7350</v>
      </c>
      <c r="B1345" s="9" t="n">
        <v>1</v>
      </c>
      <c r="C1345" s="10" t="s">
        <v>2140</v>
      </c>
      <c r="D1345" s="10" t="s">
        <v>7349</v>
      </c>
      <c r="E1345" s="10" t="s">
        <v>2287</v>
      </c>
    </row>
    <row r="1346" customFormat="false" ht="25.5" hidden="false" customHeight="true" outlineLevel="0" collapsed="false">
      <c r="A1346" s="10" t="s">
        <v>7351</v>
      </c>
      <c r="B1346" s="9" t="n">
        <v>1</v>
      </c>
      <c r="C1346" s="10" t="s">
        <v>2140</v>
      </c>
      <c r="D1346" s="10" t="s">
        <v>6365</v>
      </c>
      <c r="E1346" s="10" t="s">
        <v>2353</v>
      </c>
    </row>
    <row r="1347" customFormat="false" ht="25.5" hidden="false" customHeight="true" outlineLevel="0" collapsed="false">
      <c r="A1347" s="10" t="s">
        <v>7352</v>
      </c>
      <c r="B1347" s="9" t="n">
        <v>1</v>
      </c>
      <c r="C1347" s="10" t="s">
        <v>4949</v>
      </c>
      <c r="D1347" s="10" t="s">
        <v>6658</v>
      </c>
      <c r="E1347" s="10" t="s">
        <v>5126</v>
      </c>
    </row>
    <row r="1348" customFormat="false" ht="25.5" hidden="false" customHeight="true" outlineLevel="0" collapsed="false">
      <c r="A1348" s="10" t="s">
        <v>7353</v>
      </c>
      <c r="B1348" s="9" t="n">
        <v>1</v>
      </c>
      <c r="C1348" s="10" t="s">
        <v>1500</v>
      </c>
      <c r="D1348" s="10" t="s">
        <v>6705</v>
      </c>
      <c r="E1348" s="10" t="s">
        <v>2126</v>
      </c>
    </row>
    <row r="1349" customFormat="false" ht="25.5" hidden="false" customHeight="true" outlineLevel="0" collapsed="false">
      <c r="A1349" s="10" t="s">
        <v>7354</v>
      </c>
      <c r="B1349" s="9" t="n">
        <v>1</v>
      </c>
      <c r="C1349" s="10" t="s">
        <v>1500</v>
      </c>
      <c r="D1349" s="10" t="s">
        <v>6705</v>
      </c>
      <c r="E1349" s="10" t="s">
        <v>2126</v>
      </c>
    </row>
    <row r="1350" customFormat="false" ht="25.5" hidden="false" customHeight="true" outlineLevel="0" collapsed="false">
      <c r="A1350" s="10" t="s">
        <v>7355</v>
      </c>
      <c r="B1350" s="9" t="n">
        <v>1</v>
      </c>
      <c r="C1350" s="10" t="s">
        <v>4949</v>
      </c>
      <c r="D1350" s="10" t="s">
        <v>6658</v>
      </c>
      <c r="E1350" s="10" t="s">
        <v>5126</v>
      </c>
    </row>
    <row r="1351" customFormat="false" ht="25.5" hidden="false" customHeight="true" outlineLevel="0" collapsed="false">
      <c r="A1351" s="10" t="s">
        <v>7356</v>
      </c>
      <c r="B1351" s="9" t="n">
        <v>1</v>
      </c>
      <c r="C1351" s="10" t="s">
        <v>1500</v>
      </c>
      <c r="D1351" s="10" t="s">
        <v>6705</v>
      </c>
      <c r="E1351" s="10" t="s">
        <v>2126</v>
      </c>
    </row>
    <row r="1352" customFormat="false" ht="25.5" hidden="false" customHeight="true" outlineLevel="0" collapsed="false">
      <c r="A1352" s="10" t="s">
        <v>7357</v>
      </c>
      <c r="B1352" s="9" t="n">
        <v>1</v>
      </c>
      <c r="C1352" s="10" t="s">
        <v>1500</v>
      </c>
      <c r="D1352" s="10" t="s">
        <v>6705</v>
      </c>
      <c r="E1352" s="10" t="s">
        <v>2126</v>
      </c>
    </row>
    <row r="1353" customFormat="false" ht="25.5" hidden="false" customHeight="true" outlineLevel="0" collapsed="false">
      <c r="A1353" s="10" t="s">
        <v>7358</v>
      </c>
      <c r="B1353" s="9" t="n">
        <v>1</v>
      </c>
      <c r="C1353" s="10" t="s">
        <v>3291</v>
      </c>
      <c r="D1353" s="10" t="s">
        <v>6475</v>
      </c>
      <c r="E1353" s="10" t="s">
        <v>3761</v>
      </c>
    </row>
    <row r="1354" customFormat="false" ht="25.5" hidden="false" customHeight="true" outlineLevel="0" collapsed="false">
      <c r="A1354" s="10" t="s">
        <v>7359</v>
      </c>
      <c r="B1354" s="9" t="n">
        <v>1</v>
      </c>
      <c r="C1354" s="10" t="s">
        <v>4949</v>
      </c>
      <c r="D1354" s="10" t="s">
        <v>7115</v>
      </c>
      <c r="E1354" s="10" t="s">
        <v>5098</v>
      </c>
    </row>
    <row r="1355" customFormat="false" ht="25.5" hidden="false" customHeight="true" outlineLevel="0" collapsed="false">
      <c r="A1355" s="10" t="s">
        <v>7360</v>
      </c>
      <c r="B1355" s="9" t="n">
        <v>1</v>
      </c>
      <c r="C1355" s="10" t="s">
        <v>4949</v>
      </c>
      <c r="D1355" s="10" t="s">
        <v>7115</v>
      </c>
      <c r="E1355" s="10" t="s">
        <v>5098</v>
      </c>
    </row>
    <row r="1356" customFormat="false" ht="25.5" hidden="false" customHeight="true" outlineLevel="0" collapsed="false">
      <c r="A1356" s="10" t="s">
        <v>7361</v>
      </c>
      <c r="B1356" s="9" t="n">
        <v>1</v>
      </c>
      <c r="C1356" s="10" t="s">
        <v>3291</v>
      </c>
      <c r="D1356" s="10" t="s">
        <v>6416</v>
      </c>
      <c r="E1356" s="10" t="s">
        <v>3696</v>
      </c>
    </row>
    <row r="1357" customFormat="false" ht="25.5" hidden="false" customHeight="true" outlineLevel="0" collapsed="false">
      <c r="A1357" s="10" t="s">
        <v>7362</v>
      </c>
      <c r="B1357" s="9" t="n">
        <v>1</v>
      </c>
      <c r="C1357" s="10" t="s">
        <v>4949</v>
      </c>
      <c r="D1357" s="10" t="s">
        <v>7115</v>
      </c>
      <c r="E1357" s="10" t="s">
        <v>5098</v>
      </c>
    </row>
    <row r="1358" customFormat="false" ht="25.5" hidden="false" customHeight="true" outlineLevel="0" collapsed="false">
      <c r="A1358" s="10" t="s">
        <v>7363</v>
      </c>
      <c r="B1358" s="9" t="n">
        <v>1</v>
      </c>
      <c r="C1358" s="10" t="s">
        <v>4949</v>
      </c>
      <c r="D1358" s="10" t="s">
        <v>7115</v>
      </c>
      <c r="E1358" s="10" t="s">
        <v>5098</v>
      </c>
    </row>
    <row r="1359" customFormat="false" ht="25.5" hidden="false" customHeight="true" outlineLevel="0" collapsed="false">
      <c r="A1359" s="10" t="s">
        <v>7364</v>
      </c>
      <c r="B1359" s="9" t="n">
        <v>1</v>
      </c>
      <c r="C1359" s="10" t="s">
        <v>837</v>
      </c>
      <c r="D1359" s="10" t="s">
        <v>7365</v>
      </c>
      <c r="E1359" s="10" t="s">
        <v>929</v>
      </c>
    </row>
    <row r="1360" customFormat="false" ht="25.5" hidden="false" customHeight="true" outlineLevel="0" collapsed="false">
      <c r="A1360" s="10" t="s">
        <v>7366</v>
      </c>
      <c r="B1360" s="9" t="n">
        <v>1</v>
      </c>
      <c r="C1360" s="10" t="s">
        <v>837</v>
      </c>
      <c r="D1360" s="10" t="s">
        <v>7365</v>
      </c>
      <c r="E1360" s="10" t="s">
        <v>929</v>
      </c>
    </row>
    <row r="1361" customFormat="false" ht="25.5" hidden="false" customHeight="true" outlineLevel="0" collapsed="false">
      <c r="A1361" s="10" t="s">
        <v>7367</v>
      </c>
      <c r="B1361" s="9" t="n">
        <v>1</v>
      </c>
      <c r="C1361" s="10" t="s">
        <v>837</v>
      </c>
      <c r="D1361" s="10" t="s">
        <v>7365</v>
      </c>
      <c r="E1361" s="10" t="s">
        <v>929</v>
      </c>
    </row>
    <row r="1362" customFormat="false" ht="25.5" hidden="false" customHeight="true" outlineLevel="0" collapsed="false">
      <c r="A1362" s="10" t="s">
        <v>7368</v>
      </c>
      <c r="B1362" s="9" t="n">
        <v>1</v>
      </c>
      <c r="C1362" s="10" t="s">
        <v>837</v>
      </c>
      <c r="D1362" s="10" t="s">
        <v>7365</v>
      </c>
      <c r="E1362" s="10" t="s">
        <v>929</v>
      </c>
    </row>
    <row r="1363" customFormat="false" ht="25.5" hidden="false" customHeight="true" outlineLevel="0" collapsed="false">
      <c r="A1363" s="10" t="s">
        <v>7369</v>
      </c>
      <c r="B1363" s="9" t="n">
        <v>1</v>
      </c>
      <c r="C1363" s="10" t="s">
        <v>837</v>
      </c>
      <c r="D1363" s="10" t="s">
        <v>6411</v>
      </c>
      <c r="E1363" s="10" t="s">
        <v>1473</v>
      </c>
    </row>
    <row r="1364" customFormat="false" ht="25.5" hidden="false" customHeight="true" outlineLevel="0" collapsed="false">
      <c r="A1364" s="10" t="s">
        <v>7370</v>
      </c>
      <c r="B1364" s="9" t="n">
        <v>1</v>
      </c>
      <c r="C1364" s="10" t="s">
        <v>2140</v>
      </c>
      <c r="D1364" s="10" t="s">
        <v>7125</v>
      </c>
      <c r="E1364" s="10" t="s">
        <v>2467</v>
      </c>
    </row>
    <row r="1365" customFormat="false" ht="25.5" hidden="false" customHeight="true" outlineLevel="0" collapsed="false">
      <c r="A1365" s="10" t="s">
        <v>7371</v>
      </c>
      <c r="B1365" s="9" t="n">
        <v>1</v>
      </c>
      <c r="C1365" s="10" t="s">
        <v>2713</v>
      </c>
      <c r="D1365" s="10" t="s">
        <v>6205</v>
      </c>
      <c r="E1365" s="10" t="s">
        <v>2950</v>
      </c>
    </row>
    <row r="1366" customFormat="false" ht="25.5" hidden="false" customHeight="true" outlineLevel="0" collapsed="false">
      <c r="A1366" s="10" t="s">
        <v>7372</v>
      </c>
      <c r="B1366" s="9" t="n">
        <v>1</v>
      </c>
      <c r="C1366" s="10" t="s">
        <v>2140</v>
      </c>
      <c r="D1366" s="10" t="s">
        <v>6604</v>
      </c>
      <c r="E1366" s="10" t="s">
        <v>2516</v>
      </c>
    </row>
    <row r="1367" customFormat="false" ht="25.5" hidden="false" customHeight="true" outlineLevel="0" collapsed="false">
      <c r="A1367" s="10" t="s">
        <v>7373</v>
      </c>
      <c r="B1367" s="9" t="n">
        <v>1</v>
      </c>
      <c r="C1367" s="10" t="s">
        <v>59</v>
      </c>
      <c r="D1367" s="10" t="s">
        <v>5814</v>
      </c>
      <c r="E1367" s="10" t="s">
        <v>441</v>
      </c>
    </row>
    <row r="1368" customFormat="false" ht="25.5" hidden="false" customHeight="true" outlineLevel="0" collapsed="false">
      <c r="A1368" s="10" t="s">
        <v>7374</v>
      </c>
      <c r="B1368" s="9" t="n">
        <v>1</v>
      </c>
      <c r="C1368" s="10" t="s">
        <v>59</v>
      </c>
      <c r="D1368" s="10" t="s">
        <v>6407</v>
      </c>
      <c r="E1368" s="10" t="s">
        <v>251</v>
      </c>
    </row>
    <row r="1369" customFormat="false" ht="25.5" hidden="false" customHeight="true" outlineLevel="0" collapsed="false">
      <c r="A1369" s="10" t="s">
        <v>7375</v>
      </c>
      <c r="B1369" s="9" t="n">
        <v>1</v>
      </c>
      <c r="C1369" s="10" t="s">
        <v>59</v>
      </c>
      <c r="D1369" s="10" t="s">
        <v>6328</v>
      </c>
      <c r="E1369" s="10" t="s">
        <v>666</v>
      </c>
    </row>
    <row r="1370" customFormat="false" ht="25.5" hidden="false" customHeight="true" outlineLevel="0" collapsed="false">
      <c r="A1370" s="10" t="s">
        <v>7376</v>
      </c>
      <c r="B1370" s="9" t="n">
        <v>1</v>
      </c>
      <c r="C1370" s="10" t="s">
        <v>2713</v>
      </c>
      <c r="D1370" s="10" t="s">
        <v>5870</v>
      </c>
      <c r="E1370" s="10" t="s">
        <v>2974</v>
      </c>
    </row>
    <row r="1371" customFormat="false" ht="25.5" hidden="false" customHeight="true" outlineLevel="0" collapsed="false">
      <c r="A1371" s="10" t="s">
        <v>7377</v>
      </c>
      <c r="B1371" s="9" t="n">
        <v>1</v>
      </c>
      <c r="C1371" s="10" t="s">
        <v>4203</v>
      </c>
      <c r="D1371" s="10" t="s">
        <v>6643</v>
      </c>
      <c r="E1371" s="10" t="s">
        <v>4416</v>
      </c>
    </row>
    <row r="1372" customFormat="false" ht="25.5" hidden="false" customHeight="true" outlineLevel="0" collapsed="false">
      <c r="A1372" s="10" t="s">
        <v>7378</v>
      </c>
      <c r="B1372" s="9" t="n">
        <v>1</v>
      </c>
      <c r="C1372" s="10" t="s">
        <v>4203</v>
      </c>
      <c r="D1372" s="10" t="s">
        <v>6673</v>
      </c>
      <c r="E1372" s="10" t="s">
        <v>4405</v>
      </c>
    </row>
    <row r="1373" customFormat="false" ht="25.5" hidden="false" customHeight="true" outlineLevel="0" collapsed="false">
      <c r="A1373" s="10" t="s">
        <v>7379</v>
      </c>
      <c r="B1373" s="9" t="n">
        <v>1</v>
      </c>
      <c r="C1373" s="10" t="s">
        <v>4203</v>
      </c>
      <c r="D1373" s="10" t="s">
        <v>6541</v>
      </c>
      <c r="E1373" s="10" t="s">
        <v>4256</v>
      </c>
    </row>
    <row r="1374" customFormat="false" ht="25.5" hidden="false" customHeight="true" outlineLevel="0" collapsed="false">
      <c r="A1374" s="10" t="s">
        <v>7380</v>
      </c>
      <c r="B1374" s="9" t="n">
        <v>1</v>
      </c>
      <c r="C1374" s="10" t="s">
        <v>3842</v>
      </c>
      <c r="D1374" s="10" t="s">
        <v>6409</v>
      </c>
      <c r="E1374" s="10" t="s">
        <v>4189</v>
      </c>
    </row>
    <row r="1375" customFormat="false" ht="25.5" hidden="false" customHeight="true" outlineLevel="0" collapsed="false">
      <c r="A1375" s="10" t="s">
        <v>7381</v>
      </c>
      <c r="B1375" s="9" t="n">
        <v>1</v>
      </c>
      <c r="C1375" s="10" t="s">
        <v>2713</v>
      </c>
      <c r="D1375" s="10" t="s">
        <v>6300</v>
      </c>
      <c r="E1375" s="10" t="s">
        <v>3254</v>
      </c>
    </row>
    <row r="1376" customFormat="false" ht="25.5" hidden="false" customHeight="true" outlineLevel="0" collapsed="false">
      <c r="A1376" s="10" t="s">
        <v>7382</v>
      </c>
      <c r="B1376" s="9" t="n">
        <v>1</v>
      </c>
      <c r="C1376" s="10" t="s">
        <v>2713</v>
      </c>
      <c r="D1376" s="10" t="s">
        <v>6051</v>
      </c>
      <c r="E1376" s="10" t="s">
        <v>3207</v>
      </c>
    </row>
    <row r="1377" customFormat="false" ht="25.5" hidden="false" customHeight="true" outlineLevel="0" collapsed="false">
      <c r="A1377" s="10" t="s">
        <v>7383</v>
      </c>
      <c r="B1377" s="9" t="n">
        <v>1</v>
      </c>
      <c r="C1377" s="10" t="s">
        <v>1500</v>
      </c>
      <c r="D1377" s="10" t="s">
        <v>6552</v>
      </c>
      <c r="E1377" s="10" t="s">
        <v>2052</v>
      </c>
    </row>
    <row r="1378" customFormat="false" ht="25.5" hidden="false" customHeight="true" outlineLevel="0" collapsed="false">
      <c r="A1378" s="10" t="s">
        <v>7384</v>
      </c>
      <c r="B1378" s="9" t="n">
        <v>1</v>
      </c>
      <c r="C1378" s="10" t="s">
        <v>2140</v>
      </c>
      <c r="D1378" s="10" t="s">
        <v>6241</v>
      </c>
      <c r="E1378" s="10" t="s">
        <v>2454</v>
      </c>
    </row>
    <row r="1379" customFormat="false" ht="25.5" hidden="false" customHeight="true" outlineLevel="0" collapsed="false">
      <c r="A1379" s="10" t="s">
        <v>7385</v>
      </c>
      <c r="B1379" s="9" t="n">
        <v>1</v>
      </c>
      <c r="C1379" s="10" t="s">
        <v>2140</v>
      </c>
      <c r="D1379" s="10" t="s">
        <v>6270</v>
      </c>
      <c r="E1379" s="10" t="s">
        <v>2416</v>
      </c>
    </row>
    <row r="1380" customFormat="false" ht="25.5" hidden="false" customHeight="true" outlineLevel="0" collapsed="false">
      <c r="A1380" s="10" t="s">
        <v>7386</v>
      </c>
      <c r="B1380" s="9" t="n">
        <v>1</v>
      </c>
      <c r="C1380" s="10" t="s">
        <v>59</v>
      </c>
      <c r="D1380" s="10" t="s">
        <v>6057</v>
      </c>
      <c r="E1380" s="10" t="s">
        <v>811</v>
      </c>
    </row>
    <row r="1381" customFormat="false" ht="25.5" hidden="false" customHeight="true" outlineLevel="0" collapsed="false">
      <c r="A1381" s="10" t="s">
        <v>7387</v>
      </c>
      <c r="B1381" s="9" t="n">
        <v>1</v>
      </c>
      <c r="C1381" s="10" t="s">
        <v>2713</v>
      </c>
      <c r="D1381" s="10" t="s">
        <v>6555</v>
      </c>
      <c r="E1381" s="10" t="s">
        <v>2819</v>
      </c>
    </row>
    <row r="1382" customFormat="false" ht="25.5" hidden="false" customHeight="true" outlineLevel="0" collapsed="false">
      <c r="A1382" s="10" t="s">
        <v>7388</v>
      </c>
      <c r="B1382" s="9" t="n">
        <v>1</v>
      </c>
      <c r="C1382" s="10" t="s">
        <v>59</v>
      </c>
      <c r="D1382" s="10" t="s">
        <v>6072</v>
      </c>
      <c r="E1382" s="10" t="s">
        <v>137</v>
      </c>
    </row>
    <row r="1383" customFormat="false" ht="25.5" hidden="false" customHeight="true" outlineLevel="0" collapsed="false">
      <c r="A1383" s="10" t="s">
        <v>7389</v>
      </c>
      <c r="B1383" s="9" t="n">
        <v>1</v>
      </c>
      <c r="C1383" s="10" t="s">
        <v>2140</v>
      </c>
      <c r="D1383" s="10" t="s">
        <v>2161</v>
      </c>
      <c r="E1383" s="10" t="s">
        <v>2365</v>
      </c>
    </row>
    <row r="1384" customFormat="false" ht="25.5" hidden="false" customHeight="true" outlineLevel="0" collapsed="false">
      <c r="A1384" s="10" t="s">
        <v>7390</v>
      </c>
      <c r="B1384" s="9" t="n">
        <v>1</v>
      </c>
      <c r="C1384" s="10" t="s">
        <v>3291</v>
      </c>
      <c r="D1384" s="10" t="s">
        <v>7391</v>
      </c>
      <c r="E1384" s="10" t="s">
        <v>3420</v>
      </c>
    </row>
    <row r="1385" customFormat="false" ht="25.5" hidden="false" customHeight="true" outlineLevel="0" collapsed="false">
      <c r="A1385" s="10" t="s">
        <v>7392</v>
      </c>
      <c r="B1385" s="9" t="n">
        <v>1</v>
      </c>
      <c r="C1385" s="10" t="s">
        <v>2713</v>
      </c>
      <c r="D1385" s="10" t="s">
        <v>6053</v>
      </c>
      <c r="E1385" s="10" t="s">
        <v>3194</v>
      </c>
    </row>
    <row r="1386" customFormat="false" ht="25.5" hidden="false" customHeight="true" outlineLevel="0" collapsed="false">
      <c r="A1386" s="10" t="s">
        <v>7393</v>
      </c>
      <c r="B1386" s="9" t="n">
        <v>1</v>
      </c>
      <c r="C1386" s="10" t="s">
        <v>2713</v>
      </c>
      <c r="D1386" s="10" t="s">
        <v>6283</v>
      </c>
      <c r="E1386" s="10" t="s">
        <v>3266</v>
      </c>
    </row>
    <row r="1387" customFormat="false" ht="25.5" hidden="false" customHeight="true" outlineLevel="0" collapsed="false">
      <c r="A1387" s="10" t="s">
        <v>7394</v>
      </c>
      <c r="B1387" s="9" t="n">
        <v>1</v>
      </c>
      <c r="C1387" s="10" t="s">
        <v>1500</v>
      </c>
      <c r="D1387" s="10" t="s">
        <v>6047</v>
      </c>
      <c r="E1387" s="10" t="s">
        <v>2112</v>
      </c>
    </row>
    <row r="1388" customFormat="false" ht="25.5" hidden="false" customHeight="true" outlineLevel="0" collapsed="false">
      <c r="A1388" s="10" t="s">
        <v>7395</v>
      </c>
      <c r="B1388" s="9" t="n">
        <v>1</v>
      </c>
      <c r="C1388" s="10" t="s">
        <v>2140</v>
      </c>
      <c r="D1388" s="10" t="s">
        <v>6750</v>
      </c>
      <c r="E1388" s="10" t="s">
        <v>2191</v>
      </c>
    </row>
    <row r="1389" customFormat="false" ht="25.5" hidden="false" customHeight="true" outlineLevel="0" collapsed="false">
      <c r="A1389" s="10" t="s">
        <v>7396</v>
      </c>
      <c r="B1389" s="9" t="n">
        <v>1</v>
      </c>
      <c r="C1389" s="10" t="s">
        <v>4949</v>
      </c>
      <c r="D1389" s="10" t="s">
        <v>6237</v>
      </c>
      <c r="E1389" s="10" t="s">
        <v>4948</v>
      </c>
    </row>
    <row r="1390" customFormat="false" ht="25.5" hidden="false" customHeight="true" outlineLevel="0" collapsed="false">
      <c r="A1390" s="10" t="s">
        <v>7397</v>
      </c>
      <c r="B1390" s="9" t="n">
        <v>1</v>
      </c>
      <c r="C1390" s="10" t="s">
        <v>2713</v>
      </c>
      <c r="D1390" s="10" t="s">
        <v>6817</v>
      </c>
      <c r="E1390" s="10" t="s">
        <v>3242</v>
      </c>
    </row>
    <row r="1391" customFormat="false" ht="25.5" hidden="false" customHeight="true" outlineLevel="0" collapsed="false">
      <c r="A1391" s="10" t="s">
        <v>7398</v>
      </c>
      <c r="B1391" s="9" t="n">
        <v>1</v>
      </c>
      <c r="C1391" s="10" t="s">
        <v>4203</v>
      </c>
      <c r="D1391" s="10" t="s">
        <v>6541</v>
      </c>
      <c r="E1391" s="10" t="s">
        <v>4256</v>
      </c>
    </row>
    <row r="1392" customFormat="false" ht="25.5" hidden="false" customHeight="true" outlineLevel="0" collapsed="false">
      <c r="A1392" s="10" t="s">
        <v>7399</v>
      </c>
      <c r="B1392" s="9" t="n">
        <v>1</v>
      </c>
      <c r="C1392" s="10" t="s">
        <v>2140</v>
      </c>
      <c r="D1392" s="10" t="s">
        <v>7030</v>
      </c>
      <c r="E1392" s="10" t="s">
        <v>2608</v>
      </c>
    </row>
    <row r="1393" customFormat="false" ht="25.5" hidden="false" customHeight="true" outlineLevel="0" collapsed="false">
      <c r="A1393" s="10" t="s">
        <v>7400</v>
      </c>
      <c r="B1393" s="9" t="n">
        <v>1</v>
      </c>
      <c r="C1393" s="10" t="s">
        <v>1500</v>
      </c>
      <c r="D1393" s="10" t="s">
        <v>6728</v>
      </c>
      <c r="E1393" s="10" t="s">
        <v>1499</v>
      </c>
    </row>
    <row r="1394" customFormat="false" ht="25.5" hidden="false" customHeight="true" outlineLevel="0" collapsed="false">
      <c r="A1394" s="10" t="s">
        <v>7401</v>
      </c>
      <c r="B1394" s="9" t="n">
        <v>1</v>
      </c>
      <c r="C1394" s="10" t="s">
        <v>1500</v>
      </c>
      <c r="D1394" s="10" t="s">
        <v>6230</v>
      </c>
      <c r="E1394" s="10" t="s">
        <v>1680</v>
      </c>
    </row>
    <row r="1395" customFormat="false" ht="25.5" hidden="false" customHeight="true" outlineLevel="0" collapsed="false">
      <c r="A1395" s="10" t="s">
        <v>7402</v>
      </c>
      <c r="B1395" s="9" t="n">
        <v>1</v>
      </c>
      <c r="C1395" s="10" t="s">
        <v>2140</v>
      </c>
      <c r="D1395" s="10" t="s">
        <v>6226</v>
      </c>
      <c r="E1395" s="10" t="s">
        <v>2674</v>
      </c>
    </row>
    <row r="1396" customFormat="false" ht="25.5" hidden="false" customHeight="true" outlineLevel="0" collapsed="false">
      <c r="A1396" s="10" t="s">
        <v>7403</v>
      </c>
      <c r="B1396" s="9" t="n">
        <v>1</v>
      </c>
      <c r="C1396" s="10" t="s">
        <v>2140</v>
      </c>
      <c r="D1396" s="10" t="s">
        <v>6663</v>
      </c>
      <c r="E1396" s="10" t="s">
        <v>2339</v>
      </c>
    </row>
    <row r="1397" customFormat="false" ht="25.5" hidden="false" customHeight="true" outlineLevel="0" collapsed="false">
      <c r="A1397" s="10" t="s">
        <v>7404</v>
      </c>
      <c r="B1397" s="9" t="n">
        <v>1</v>
      </c>
      <c r="C1397" s="10" t="s">
        <v>1500</v>
      </c>
      <c r="D1397" s="10" t="s">
        <v>6698</v>
      </c>
      <c r="E1397" s="10" t="s">
        <v>1575</v>
      </c>
    </row>
    <row r="1398" customFormat="false" ht="25.5" hidden="false" customHeight="true" outlineLevel="0" collapsed="false">
      <c r="A1398" s="10" t="s">
        <v>7405</v>
      </c>
      <c r="B1398" s="9" t="n">
        <v>1</v>
      </c>
      <c r="C1398" s="10" t="s">
        <v>837</v>
      </c>
      <c r="D1398" s="10" t="s">
        <v>6165</v>
      </c>
      <c r="E1398" s="10" t="s">
        <v>955</v>
      </c>
    </row>
    <row r="1399" customFormat="false" ht="25.5" hidden="false" customHeight="true" outlineLevel="0" collapsed="false">
      <c r="A1399" s="10" t="s">
        <v>7406</v>
      </c>
      <c r="B1399" s="9" t="n">
        <v>1</v>
      </c>
      <c r="C1399" s="10" t="s">
        <v>1500</v>
      </c>
      <c r="D1399" s="10" t="s">
        <v>6265</v>
      </c>
      <c r="E1399" s="10" t="s">
        <v>1975</v>
      </c>
    </row>
    <row r="1400" customFormat="false" ht="25.5" hidden="false" customHeight="true" outlineLevel="0" collapsed="false">
      <c r="A1400" s="10" t="s">
        <v>7407</v>
      </c>
      <c r="B1400" s="9" t="n">
        <v>1</v>
      </c>
      <c r="C1400" s="10" t="s">
        <v>4582</v>
      </c>
      <c r="D1400" s="10" t="s">
        <v>6378</v>
      </c>
      <c r="E1400" s="10" t="s">
        <v>4832</v>
      </c>
    </row>
    <row r="1401" customFormat="false" ht="25.5" hidden="false" customHeight="true" outlineLevel="0" collapsed="false">
      <c r="A1401" s="10" t="s">
        <v>7408</v>
      </c>
      <c r="B1401" s="9" t="n">
        <v>1</v>
      </c>
      <c r="C1401" s="10" t="s">
        <v>4582</v>
      </c>
      <c r="D1401" s="10" t="s">
        <v>6378</v>
      </c>
      <c r="E1401" s="10" t="s">
        <v>4832</v>
      </c>
    </row>
    <row r="1402" customFormat="false" ht="25.5" hidden="false" customHeight="true" outlineLevel="0" collapsed="false">
      <c r="A1402" s="10" t="s">
        <v>7409</v>
      </c>
      <c r="B1402" s="9" t="n">
        <v>1</v>
      </c>
      <c r="C1402" s="10" t="s">
        <v>4582</v>
      </c>
      <c r="D1402" s="10" t="s">
        <v>6453</v>
      </c>
      <c r="E1402" s="10" t="s">
        <v>4701</v>
      </c>
    </row>
    <row r="1403" customFormat="false" ht="25.5" hidden="false" customHeight="true" outlineLevel="0" collapsed="false">
      <c r="A1403" s="10" t="s">
        <v>7410</v>
      </c>
      <c r="B1403" s="9" t="n">
        <v>1</v>
      </c>
      <c r="C1403" s="10" t="s">
        <v>1500</v>
      </c>
      <c r="D1403" s="10" t="s">
        <v>6544</v>
      </c>
      <c r="E1403" s="10" t="s">
        <v>1756</v>
      </c>
    </row>
    <row r="1404" customFormat="false" ht="25.5" hidden="false" customHeight="true" outlineLevel="0" collapsed="false">
      <c r="A1404" s="10" t="s">
        <v>7411</v>
      </c>
      <c r="B1404" s="9" t="n">
        <v>1</v>
      </c>
      <c r="C1404" s="10" t="s">
        <v>2140</v>
      </c>
      <c r="D1404" s="10" t="s">
        <v>6313</v>
      </c>
      <c r="E1404" s="10" t="s">
        <v>2635</v>
      </c>
    </row>
    <row r="1405" customFormat="false" ht="25.5" hidden="false" customHeight="true" outlineLevel="0" collapsed="false">
      <c r="A1405" s="10" t="s">
        <v>7412</v>
      </c>
      <c r="B1405" s="9" t="n">
        <v>1</v>
      </c>
      <c r="C1405" s="10" t="s">
        <v>1500</v>
      </c>
      <c r="D1405" s="10" t="s">
        <v>6726</v>
      </c>
      <c r="E1405" s="10" t="s">
        <v>1526</v>
      </c>
    </row>
    <row r="1406" customFormat="false" ht="25.5" hidden="false" customHeight="true" outlineLevel="0" collapsed="false">
      <c r="A1406" s="10" t="s">
        <v>7413</v>
      </c>
      <c r="B1406" s="9" t="n">
        <v>1</v>
      </c>
      <c r="C1406" s="10" t="s">
        <v>59</v>
      </c>
      <c r="D1406" s="10" t="s">
        <v>6072</v>
      </c>
      <c r="E1406" s="10" t="s">
        <v>600</v>
      </c>
    </row>
    <row r="1407" customFormat="false" ht="25.5" hidden="false" customHeight="true" outlineLevel="0" collapsed="false">
      <c r="A1407" s="10" t="s">
        <v>7414</v>
      </c>
      <c r="B1407" s="9" t="n">
        <v>1</v>
      </c>
      <c r="C1407" s="10" t="s">
        <v>2713</v>
      </c>
      <c r="D1407" s="10" t="s">
        <v>7262</v>
      </c>
      <c r="E1407" s="10" t="s">
        <v>2901</v>
      </c>
    </row>
    <row r="1408" customFormat="false" ht="25.5" hidden="false" customHeight="true" outlineLevel="0" collapsed="false">
      <c r="A1408" s="10" t="s">
        <v>7415</v>
      </c>
      <c r="B1408" s="9" t="n">
        <v>1</v>
      </c>
      <c r="C1408" s="10" t="s">
        <v>4949</v>
      </c>
      <c r="D1408" s="10" t="s">
        <v>6788</v>
      </c>
      <c r="E1408" s="10" t="s">
        <v>5220</v>
      </c>
    </row>
    <row r="1409" customFormat="false" ht="25.5" hidden="false" customHeight="true" outlineLevel="0" collapsed="false">
      <c r="A1409" s="10" t="s">
        <v>7416</v>
      </c>
      <c r="B1409" s="9" t="n">
        <v>1</v>
      </c>
      <c r="C1409" s="10" t="s">
        <v>4203</v>
      </c>
      <c r="D1409" s="10" t="s">
        <v>6602</v>
      </c>
      <c r="E1409" s="10" t="s">
        <v>4270</v>
      </c>
    </row>
    <row r="1410" customFormat="false" ht="25.5" hidden="false" customHeight="true" outlineLevel="0" collapsed="false">
      <c r="A1410" s="10" t="s">
        <v>7417</v>
      </c>
      <c r="B1410" s="9" t="n">
        <v>1</v>
      </c>
      <c r="C1410" s="10" t="s">
        <v>4949</v>
      </c>
      <c r="D1410" s="10" t="s">
        <v>5242</v>
      </c>
      <c r="E1410" s="10" t="s">
        <v>5233</v>
      </c>
    </row>
    <row r="1411" customFormat="false" ht="25.5" hidden="false" customHeight="true" outlineLevel="0" collapsed="false">
      <c r="A1411" s="10" t="s">
        <v>7418</v>
      </c>
      <c r="B1411" s="9" t="n">
        <v>1</v>
      </c>
      <c r="C1411" s="10" t="s">
        <v>2713</v>
      </c>
      <c r="D1411" s="10" t="s">
        <v>6557</v>
      </c>
      <c r="E1411" s="10" t="s">
        <v>2842</v>
      </c>
    </row>
    <row r="1412" customFormat="false" ht="25.5" hidden="false" customHeight="true" outlineLevel="0" collapsed="false">
      <c r="A1412" s="10" t="s">
        <v>7419</v>
      </c>
      <c r="B1412" s="9" t="n">
        <v>1</v>
      </c>
      <c r="C1412" s="10" t="s">
        <v>4582</v>
      </c>
      <c r="D1412" s="10" t="s">
        <v>6910</v>
      </c>
      <c r="E1412" s="10" t="s">
        <v>4818</v>
      </c>
    </row>
    <row r="1413" customFormat="false" ht="25.5" hidden="false" customHeight="true" outlineLevel="0" collapsed="false">
      <c r="A1413" s="10" t="s">
        <v>7420</v>
      </c>
      <c r="B1413" s="9" t="n">
        <v>1</v>
      </c>
      <c r="C1413" s="10" t="s">
        <v>2140</v>
      </c>
      <c r="D1413" s="10" t="s">
        <v>6189</v>
      </c>
      <c r="E1413" s="10" t="s">
        <v>2661</v>
      </c>
    </row>
    <row r="1414" customFormat="false" ht="25.5" hidden="false" customHeight="true" outlineLevel="0" collapsed="false">
      <c r="A1414" s="10" t="s">
        <v>7421</v>
      </c>
      <c r="B1414" s="9" t="n">
        <v>1</v>
      </c>
      <c r="C1414" s="10" t="s">
        <v>2713</v>
      </c>
      <c r="D1414" s="10" t="s">
        <v>6309</v>
      </c>
      <c r="E1414" s="10" t="s">
        <v>3058</v>
      </c>
    </row>
    <row r="1415" customFormat="false" ht="25.5" hidden="false" customHeight="true" outlineLevel="0" collapsed="false">
      <c r="A1415" s="10" t="s">
        <v>7422</v>
      </c>
      <c r="B1415" s="9" t="n">
        <v>1</v>
      </c>
      <c r="C1415" s="10" t="s">
        <v>4203</v>
      </c>
      <c r="D1415" s="10" t="s">
        <v>6534</v>
      </c>
      <c r="E1415" s="10" t="s">
        <v>4202</v>
      </c>
    </row>
    <row r="1416" customFormat="false" ht="25.5" hidden="false" customHeight="true" outlineLevel="0" collapsed="false">
      <c r="A1416" s="10" t="s">
        <v>7423</v>
      </c>
      <c r="B1416" s="9" t="n">
        <v>1</v>
      </c>
      <c r="C1416" s="10" t="s">
        <v>1500</v>
      </c>
      <c r="D1416" s="10" t="s">
        <v>6263</v>
      </c>
      <c r="E1416" s="10" t="s">
        <v>1988</v>
      </c>
    </row>
    <row r="1417" customFormat="false" ht="25.5" hidden="false" customHeight="true" outlineLevel="0" collapsed="false">
      <c r="A1417" s="10" t="s">
        <v>7424</v>
      </c>
      <c r="B1417" s="9" t="n">
        <v>1</v>
      </c>
      <c r="C1417" s="10" t="s">
        <v>837</v>
      </c>
      <c r="D1417" s="10" t="s">
        <v>6375</v>
      </c>
      <c r="E1417" s="10" t="s">
        <v>1099</v>
      </c>
    </row>
    <row r="1418" customFormat="false" ht="25.5" hidden="false" customHeight="true" outlineLevel="0" collapsed="false">
      <c r="A1418" s="10" t="s">
        <v>7425</v>
      </c>
      <c r="B1418" s="9" t="n">
        <v>1</v>
      </c>
      <c r="C1418" s="10" t="s">
        <v>837</v>
      </c>
      <c r="D1418" s="10" t="s">
        <v>6123</v>
      </c>
      <c r="E1418" s="10" t="s">
        <v>916</v>
      </c>
    </row>
    <row r="1419" customFormat="false" ht="25.5" hidden="false" customHeight="true" outlineLevel="0" collapsed="false">
      <c r="A1419" s="10" t="s">
        <v>7426</v>
      </c>
      <c r="B1419" s="9" t="n">
        <v>1</v>
      </c>
      <c r="C1419" s="10" t="s">
        <v>837</v>
      </c>
      <c r="D1419" s="10" t="s">
        <v>6530</v>
      </c>
      <c r="E1419" s="10" t="s">
        <v>1148</v>
      </c>
    </row>
    <row r="1420" customFormat="false" ht="25.5" hidden="false" customHeight="true" outlineLevel="0" collapsed="false">
      <c r="A1420" s="10" t="s">
        <v>7427</v>
      </c>
      <c r="B1420" s="9" t="n">
        <v>1</v>
      </c>
      <c r="C1420" s="10" t="s">
        <v>837</v>
      </c>
      <c r="D1420" s="10" t="s">
        <v>6530</v>
      </c>
      <c r="E1420" s="10" t="s">
        <v>1148</v>
      </c>
    </row>
    <row r="1421" customFormat="false" ht="25.5" hidden="false" customHeight="true" outlineLevel="0" collapsed="false">
      <c r="A1421" s="10" t="s">
        <v>7428</v>
      </c>
      <c r="B1421" s="9" t="n">
        <v>1</v>
      </c>
      <c r="C1421" s="10" t="s">
        <v>1500</v>
      </c>
      <c r="D1421" s="10" t="s">
        <v>6698</v>
      </c>
      <c r="E1421" s="10" t="s">
        <v>1575</v>
      </c>
    </row>
    <row r="1422" customFormat="false" ht="25.5" hidden="false" customHeight="true" outlineLevel="0" collapsed="false">
      <c r="A1422" s="10" t="s">
        <v>7429</v>
      </c>
      <c r="B1422" s="9" t="n">
        <v>1</v>
      </c>
      <c r="C1422" s="10" t="s">
        <v>1500</v>
      </c>
      <c r="D1422" s="10" t="s">
        <v>6088</v>
      </c>
      <c r="E1422" s="10" t="s">
        <v>1551</v>
      </c>
    </row>
    <row r="1423" customFormat="false" ht="25.5" hidden="false" customHeight="true" outlineLevel="0" collapsed="false">
      <c r="A1423" s="10" t="s">
        <v>7430</v>
      </c>
      <c r="B1423" s="9" t="n">
        <v>1</v>
      </c>
      <c r="C1423" s="10" t="s">
        <v>1500</v>
      </c>
      <c r="D1423" s="10" t="s">
        <v>6263</v>
      </c>
      <c r="E1423" s="10" t="s">
        <v>1988</v>
      </c>
    </row>
    <row r="1424" customFormat="false" ht="25.5" hidden="false" customHeight="true" outlineLevel="0" collapsed="false">
      <c r="A1424" s="10" t="s">
        <v>7431</v>
      </c>
      <c r="B1424" s="9" t="n">
        <v>1</v>
      </c>
      <c r="C1424" s="10" t="s">
        <v>2140</v>
      </c>
      <c r="D1424" s="10" t="s">
        <v>6187</v>
      </c>
      <c r="E1424" s="10" t="s">
        <v>2139</v>
      </c>
    </row>
    <row r="1425" customFormat="false" ht="25.5" hidden="false" customHeight="true" outlineLevel="0" collapsed="false">
      <c r="A1425" s="10" t="s">
        <v>7432</v>
      </c>
      <c r="B1425" s="9" t="n">
        <v>1</v>
      </c>
      <c r="C1425" s="10" t="s">
        <v>2140</v>
      </c>
      <c r="D1425" s="10" t="s">
        <v>6187</v>
      </c>
      <c r="E1425" s="10" t="s">
        <v>2139</v>
      </c>
    </row>
    <row r="1426" customFormat="false" ht="25.5" hidden="false" customHeight="true" outlineLevel="0" collapsed="false">
      <c r="A1426" s="10" t="s">
        <v>7433</v>
      </c>
      <c r="B1426" s="9" t="n">
        <v>1</v>
      </c>
      <c r="C1426" s="10" t="s">
        <v>4203</v>
      </c>
      <c r="D1426" s="10" t="s">
        <v>7169</v>
      </c>
      <c r="E1426" s="10" t="s">
        <v>4567</v>
      </c>
    </row>
    <row r="1427" customFormat="false" ht="25.5" hidden="false" customHeight="true" outlineLevel="0" collapsed="false">
      <c r="A1427" s="10" t="s">
        <v>7434</v>
      </c>
      <c r="B1427" s="9" t="n">
        <v>1</v>
      </c>
      <c r="C1427" s="10" t="s">
        <v>4203</v>
      </c>
      <c r="D1427" s="10" t="s">
        <v>6988</v>
      </c>
      <c r="E1427" s="10" t="s">
        <v>4306</v>
      </c>
    </row>
    <row r="1428" customFormat="false" ht="25.5" hidden="false" customHeight="true" outlineLevel="0" collapsed="false">
      <c r="A1428" s="10" t="s">
        <v>7435</v>
      </c>
      <c r="B1428" s="9" t="n">
        <v>1</v>
      </c>
      <c r="C1428" s="10" t="s">
        <v>837</v>
      </c>
      <c r="D1428" s="10" t="s">
        <v>7101</v>
      </c>
      <c r="E1428" s="10" t="s">
        <v>1021</v>
      </c>
    </row>
    <row r="1429" customFormat="false" ht="25.5" hidden="false" customHeight="true" outlineLevel="0" collapsed="false">
      <c r="A1429" s="10" t="s">
        <v>7436</v>
      </c>
      <c r="B1429" s="9" t="n">
        <v>1</v>
      </c>
      <c r="C1429" s="10" t="s">
        <v>2713</v>
      </c>
      <c r="D1429" s="10" t="s">
        <v>6760</v>
      </c>
      <c r="E1429" s="10" t="s">
        <v>2999</v>
      </c>
    </row>
    <row r="1430" customFormat="false" ht="25.5" hidden="false" customHeight="true" outlineLevel="0" collapsed="false">
      <c r="A1430" s="10" t="s">
        <v>7437</v>
      </c>
      <c r="B1430" s="9" t="n">
        <v>1</v>
      </c>
      <c r="C1430" s="10" t="s">
        <v>2140</v>
      </c>
      <c r="D1430" s="10" t="s">
        <v>6365</v>
      </c>
      <c r="E1430" s="10" t="s">
        <v>2203</v>
      </c>
    </row>
    <row r="1431" customFormat="false" ht="25.5" hidden="false" customHeight="true" outlineLevel="0" collapsed="false">
      <c r="A1431" s="10" t="s">
        <v>7438</v>
      </c>
      <c r="B1431" s="9" t="n">
        <v>1</v>
      </c>
      <c r="C1431" s="10" t="s">
        <v>2140</v>
      </c>
      <c r="D1431" s="10" t="s">
        <v>2161</v>
      </c>
      <c r="E1431" s="10" t="s">
        <v>2153</v>
      </c>
    </row>
    <row r="1432" customFormat="false" ht="25.5" hidden="false" customHeight="true" outlineLevel="0" collapsed="false">
      <c r="A1432" s="10" t="s">
        <v>7439</v>
      </c>
      <c r="B1432" s="9" t="n">
        <v>1</v>
      </c>
      <c r="C1432" s="10" t="s">
        <v>2713</v>
      </c>
      <c r="D1432" s="10" t="s">
        <v>6764</v>
      </c>
      <c r="E1432" s="10" t="s">
        <v>2913</v>
      </c>
    </row>
    <row r="1433" customFormat="false" ht="25.5" hidden="false" customHeight="true" outlineLevel="0" collapsed="false">
      <c r="A1433" s="10" t="s">
        <v>7440</v>
      </c>
      <c r="B1433" s="9" t="n">
        <v>1</v>
      </c>
      <c r="C1433" s="10" t="s">
        <v>3291</v>
      </c>
      <c r="D1433" s="10" t="s">
        <v>6010</v>
      </c>
      <c r="E1433" s="10" t="s">
        <v>3304</v>
      </c>
    </row>
    <row r="1434" customFormat="false" ht="25.5" hidden="false" customHeight="true" outlineLevel="0" collapsed="false">
      <c r="A1434" s="10" t="s">
        <v>7441</v>
      </c>
      <c r="B1434" s="9" t="n">
        <v>1</v>
      </c>
      <c r="C1434" s="10" t="s">
        <v>2713</v>
      </c>
      <c r="D1434" s="10" t="s">
        <v>6764</v>
      </c>
      <c r="E1434" s="10" t="s">
        <v>2913</v>
      </c>
    </row>
    <row r="1435" customFormat="false" ht="25.5" hidden="false" customHeight="true" outlineLevel="0" collapsed="false">
      <c r="A1435" s="10" t="s">
        <v>7442</v>
      </c>
      <c r="B1435" s="9" t="n">
        <v>1</v>
      </c>
      <c r="C1435" s="10" t="s">
        <v>3291</v>
      </c>
      <c r="D1435" s="10" t="s">
        <v>7106</v>
      </c>
      <c r="E1435" s="10" t="s">
        <v>3801</v>
      </c>
    </row>
    <row r="1436" customFormat="false" ht="25.5" hidden="false" customHeight="true" outlineLevel="0" collapsed="false">
      <c r="A1436" s="10" t="s">
        <v>7443</v>
      </c>
      <c r="B1436" s="9" t="n">
        <v>1</v>
      </c>
      <c r="C1436" s="10" t="s">
        <v>2140</v>
      </c>
      <c r="D1436" s="10" t="s">
        <v>6194</v>
      </c>
      <c r="E1436" s="10" t="s">
        <v>2557</v>
      </c>
    </row>
    <row r="1437" customFormat="false" ht="25.5" hidden="false" customHeight="true" outlineLevel="0" collapsed="false">
      <c r="A1437" s="10" t="s">
        <v>7444</v>
      </c>
      <c r="B1437" s="9" t="n">
        <v>1</v>
      </c>
      <c r="C1437" s="10" t="s">
        <v>2140</v>
      </c>
      <c r="D1437" s="10" t="s">
        <v>2161</v>
      </c>
      <c r="E1437" s="10" t="s">
        <v>2153</v>
      </c>
    </row>
    <row r="1438" customFormat="false" ht="25.5" hidden="false" customHeight="true" outlineLevel="0" collapsed="false">
      <c r="A1438" s="10" t="s">
        <v>7445</v>
      </c>
      <c r="B1438" s="9" t="n">
        <v>1</v>
      </c>
      <c r="C1438" s="10" t="s">
        <v>4949</v>
      </c>
      <c r="D1438" s="10" t="s">
        <v>7118</v>
      </c>
      <c r="E1438" s="10" t="s">
        <v>5288</v>
      </c>
    </row>
    <row r="1439" customFormat="false" ht="25.5" hidden="false" customHeight="true" outlineLevel="0" collapsed="false">
      <c r="A1439" s="10" t="s">
        <v>7446</v>
      </c>
      <c r="B1439" s="9" t="n">
        <v>1</v>
      </c>
      <c r="C1439" s="10" t="s">
        <v>3291</v>
      </c>
      <c r="D1439" s="10" t="s">
        <v>7106</v>
      </c>
      <c r="E1439" s="10" t="s">
        <v>3801</v>
      </c>
    </row>
    <row r="1440" customFormat="false" ht="25.5" hidden="false" customHeight="true" outlineLevel="0" collapsed="false">
      <c r="A1440" s="10" t="s">
        <v>7447</v>
      </c>
      <c r="B1440" s="9" t="n">
        <v>1</v>
      </c>
      <c r="C1440" s="10" t="s">
        <v>2713</v>
      </c>
      <c r="D1440" s="10" t="s">
        <v>6300</v>
      </c>
      <c r="E1440" s="10" t="s">
        <v>3254</v>
      </c>
    </row>
    <row r="1441" customFormat="false" ht="25.5" hidden="false" customHeight="true" outlineLevel="0" collapsed="false">
      <c r="A1441" s="10" t="s">
        <v>7448</v>
      </c>
      <c r="B1441" s="9" t="n">
        <v>1</v>
      </c>
      <c r="C1441" s="10" t="s">
        <v>837</v>
      </c>
      <c r="D1441" s="10" t="s">
        <v>6530</v>
      </c>
      <c r="E1441" s="10" t="s">
        <v>1148</v>
      </c>
    </row>
    <row r="1442" customFormat="false" ht="25.5" hidden="false" customHeight="true" outlineLevel="0" collapsed="false">
      <c r="A1442" s="10" t="s">
        <v>7449</v>
      </c>
      <c r="B1442" s="9" t="n">
        <v>1</v>
      </c>
      <c r="C1442" s="10" t="s">
        <v>837</v>
      </c>
      <c r="D1442" s="10" t="s">
        <v>7097</v>
      </c>
      <c r="E1442" s="10" t="s">
        <v>851</v>
      </c>
    </row>
    <row r="1443" customFormat="false" ht="25.5" hidden="false" customHeight="true" outlineLevel="0" collapsed="false">
      <c r="A1443" s="10" t="s">
        <v>7450</v>
      </c>
      <c r="B1443" s="9" t="n">
        <v>1</v>
      </c>
      <c r="C1443" s="10" t="s">
        <v>837</v>
      </c>
      <c r="D1443" s="10" t="s">
        <v>7097</v>
      </c>
      <c r="E1443" s="10" t="s">
        <v>851</v>
      </c>
    </row>
    <row r="1444" customFormat="false" ht="25.5" hidden="false" customHeight="true" outlineLevel="0" collapsed="false">
      <c r="A1444" s="10" t="s">
        <v>7451</v>
      </c>
      <c r="B1444" s="9" t="n">
        <v>1</v>
      </c>
      <c r="C1444" s="10" t="s">
        <v>837</v>
      </c>
      <c r="D1444" s="10" t="s">
        <v>7452</v>
      </c>
      <c r="E1444" s="10" t="s">
        <v>1191</v>
      </c>
    </row>
    <row r="1445" customFormat="false" ht="25.5" hidden="false" customHeight="true" outlineLevel="0" collapsed="false">
      <c r="A1445" s="10" t="s">
        <v>7453</v>
      </c>
      <c r="B1445" s="9" t="n">
        <v>1</v>
      </c>
      <c r="C1445" s="10" t="s">
        <v>837</v>
      </c>
      <c r="D1445" s="10" t="s">
        <v>7452</v>
      </c>
      <c r="E1445" s="10" t="s">
        <v>1191</v>
      </c>
    </row>
    <row r="1446" customFormat="false" ht="25.5" hidden="false" customHeight="true" outlineLevel="0" collapsed="false">
      <c r="A1446" s="10" t="s">
        <v>7454</v>
      </c>
      <c r="B1446" s="9" t="n">
        <v>1</v>
      </c>
      <c r="C1446" s="10" t="s">
        <v>59</v>
      </c>
      <c r="D1446" s="10" t="s">
        <v>5686</v>
      </c>
      <c r="E1446" s="10" t="s">
        <v>341</v>
      </c>
    </row>
    <row r="1447" customFormat="false" ht="25.5" hidden="false" customHeight="true" outlineLevel="0" collapsed="false">
      <c r="A1447" s="10" t="s">
        <v>7455</v>
      </c>
      <c r="B1447" s="9" t="n">
        <v>1</v>
      </c>
      <c r="C1447" s="10" t="s">
        <v>3291</v>
      </c>
      <c r="D1447" s="10" t="s">
        <v>7000</v>
      </c>
      <c r="E1447" s="10" t="s">
        <v>3774</v>
      </c>
    </row>
    <row r="1448" customFormat="false" ht="25.5" hidden="false" customHeight="true" outlineLevel="0" collapsed="false">
      <c r="A1448" s="10" t="s">
        <v>7456</v>
      </c>
      <c r="B1448" s="9" t="n">
        <v>1</v>
      </c>
      <c r="C1448" s="10" t="s">
        <v>3291</v>
      </c>
      <c r="D1448" s="10" t="s">
        <v>5940</v>
      </c>
      <c r="E1448" s="10" t="s">
        <v>3433</v>
      </c>
    </row>
    <row r="1449" customFormat="false" ht="25.5" hidden="false" customHeight="true" outlineLevel="0" collapsed="false">
      <c r="A1449" s="10" t="s">
        <v>7457</v>
      </c>
      <c r="B1449" s="9" t="n">
        <v>1</v>
      </c>
      <c r="C1449" s="10" t="s">
        <v>3291</v>
      </c>
      <c r="D1449" s="10" t="s">
        <v>6714</v>
      </c>
      <c r="E1449" s="10" t="s">
        <v>3722</v>
      </c>
    </row>
    <row r="1450" customFormat="false" ht="25.5" hidden="false" customHeight="true" outlineLevel="0" collapsed="false">
      <c r="A1450" s="10" t="s">
        <v>7458</v>
      </c>
      <c r="B1450" s="9" t="n">
        <v>1</v>
      </c>
      <c r="C1450" s="10" t="s">
        <v>837</v>
      </c>
      <c r="D1450" s="10" t="s">
        <v>6045</v>
      </c>
      <c r="E1450" s="10" t="s">
        <v>1034</v>
      </c>
    </row>
    <row r="1451" customFormat="false" ht="25.5" hidden="false" customHeight="true" outlineLevel="0" collapsed="false">
      <c r="A1451" s="10" t="s">
        <v>7459</v>
      </c>
      <c r="B1451" s="9" t="n">
        <v>1</v>
      </c>
      <c r="C1451" s="10" t="s">
        <v>837</v>
      </c>
      <c r="D1451" s="10" t="s">
        <v>6045</v>
      </c>
      <c r="E1451" s="10" t="s">
        <v>1034</v>
      </c>
    </row>
    <row r="1452" customFormat="false" ht="25.5" hidden="false" customHeight="true" outlineLevel="0" collapsed="false">
      <c r="A1452" s="10" t="s">
        <v>7460</v>
      </c>
      <c r="B1452" s="9" t="n">
        <v>1</v>
      </c>
      <c r="C1452" s="10" t="s">
        <v>3291</v>
      </c>
      <c r="D1452" s="10" t="s">
        <v>7461</v>
      </c>
      <c r="E1452" s="10" t="s">
        <v>3380</v>
      </c>
    </row>
    <row r="1453" customFormat="false" ht="25.5" hidden="false" customHeight="true" outlineLevel="0" collapsed="false">
      <c r="A1453" s="10" t="s">
        <v>7462</v>
      </c>
      <c r="B1453" s="9" t="n">
        <v>1</v>
      </c>
      <c r="C1453" s="10" t="s">
        <v>4949</v>
      </c>
      <c r="D1453" s="10" t="s">
        <v>5614</v>
      </c>
      <c r="E1453" s="10" t="s">
        <v>4977</v>
      </c>
    </row>
    <row r="1454" customFormat="false" ht="25.5" hidden="false" customHeight="true" outlineLevel="0" collapsed="false">
      <c r="A1454" s="10" t="s">
        <v>7463</v>
      </c>
      <c r="B1454" s="9" t="n">
        <v>1</v>
      </c>
      <c r="C1454" s="10" t="s">
        <v>2140</v>
      </c>
      <c r="D1454" s="10" t="s">
        <v>5598</v>
      </c>
      <c r="E1454" s="10" t="s">
        <v>2700</v>
      </c>
    </row>
    <row r="1455" customFormat="false" ht="25.5" hidden="false" customHeight="true" outlineLevel="0" collapsed="false">
      <c r="A1455" s="10" t="s">
        <v>7464</v>
      </c>
      <c r="B1455" s="9" t="n">
        <v>1</v>
      </c>
      <c r="C1455" s="10" t="s">
        <v>2140</v>
      </c>
      <c r="D1455" s="10" t="s">
        <v>6187</v>
      </c>
      <c r="E1455" s="10" t="s">
        <v>2687</v>
      </c>
    </row>
    <row r="1456" customFormat="false" ht="25.5" hidden="false" customHeight="true" outlineLevel="0" collapsed="false">
      <c r="A1456" s="10" t="s">
        <v>7465</v>
      </c>
      <c r="B1456" s="9" t="n">
        <v>1</v>
      </c>
      <c r="C1456" s="10" t="s">
        <v>2140</v>
      </c>
      <c r="D1456" s="10" t="s">
        <v>6187</v>
      </c>
      <c r="E1456" s="10" t="s">
        <v>2687</v>
      </c>
    </row>
    <row r="1457" customFormat="false" ht="25.5" hidden="false" customHeight="true" outlineLevel="0" collapsed="false">
      <c r="A1457" s="10" t="s">
        <v>7466</v>
      </c>
      <c r="B1457" s="9" t="n">
        <v>1</v>
      </c>
      <c r="C1457" s="10" t="s">
        <v>2713</v>
      </c>
      <c r="D1457" s="10" t="s">
        <v>5979</v>
      </c>
      <c r="E1457" s="10" t="s">
        <v>3156</v>
      </c>
    </row>
    <row r="1458" customFormat="false" ht="25.5" hidden="false" customHeight="true" outlineLevel="0" collapsed="false">
      <c r="A1458" s="10" t="s">
        <v>7467</v>
      </c>
      <c r="B1458" s="9" t="n">
        <v>1</v>
      </c>
      <c r="C1458" s="10" t="s">
        <v>4949</v>
      </c>
      <c r="D1458" s="10" t="s">
        <v>6018</v>
      </c>
      <c r="E1458" s="10" t="s">
        <v>5017</v>
      </c>
    </row>
    <row r="1459" customFormat="false" ht="25.5" hidden="false" customHeight="true" outlineLevel="0" collapsed="false">
      <c r="A1459" s="10" t="s">
        <v>7468</v>
      </c>
      <c r="B1459" s="9" t="n">
        <v>1</v>
      </c>
      <c r="C1459" s="10" t="s">
        <v>837</v>
      </c>
      <c r="D1459" s="10" t="s">
        <v>6812</v>
      </c>
      <c r="E1459" s="10" t="s">
        <v>902</v>
      </c>
    </row>
    <row r="1460" customFormat="false" ht="25.5" hidden="false" customHeight="true" outlineLevel="0" collapsed="false">
      <c r="A1460" s="10" t="s">
        <v>7469</v>
      </c>
      <c r="B1460" s="9" t="n">
        <v>1</v>
      </c>
      <c r="C1460" s="10" t="s">
        <v>837</v>
      </c>
      <c r="D1460" s="10" t="s">
        <v>6812</v>
      </c>
      <c r="E1460" s="10" t="s">
        <v>902</v>
      </c>
    </row>
    <row r="1461" customFormat="false" ht="25.5" hidden="false" customHeight="true" outlineLevel="0" collapsed="false">
      <c r="A1461" s="10" t="s">
        <v>7470</v>
      </c>
      <c r="B1461" s="9" t="n">
        <v>1</v>
      </c>
      <c r="C1461" s="10" t="s">
        <v>2140</v>
      </c>
      <c r="D1461" s="10" t="s">
        <v>2161</v>
      </c>
      <c r="E1461" s="10" t="s">
        <v>2153</v>
      </c>
    </row>
    <row r="1462" customFormat="false" ht="25.5" hidden="false" customHeight="true" outlineLevel="0" collapsed="false">
      <c r="A1462" s="10" t="s">
        <v>7471</v>
      </c>
      <c r="B1462" s="9" t="n">
        <v>1</v>
      </c>
      <c r="C1462" s="10" t="s">
        <v>4949</v>
      </c>
      <c r="D1462" s="10" t="s">
        <v>6393</v>
      </c>
      <c r="E1462" s="10" t="s">
        <v>5154</v>
      </c>
    </row>
    <row r="1463" customFormat="false" ht="25.5" hidden="false" customHeight="true" outlineLevel="0" collapsed="false">
      <c r="A1463" s="10" t="s">
        <v>7472</v>
      </c>
      <c r="B1463" s="9" t="n">
        <v>1</v>
      </c>
      <c r="C1463" s="10" t="s">
        <v>4582</v>
      </c>
      <c r="D1463" s="10" t="s">
        <v>6548</v>
      </c>
      <c r="E1463" s="10" t="s">
        <v>4911</v>
      </c>
    </row>
    <row r="1464" customFormat="false" ht="25.5" hidden="false" customHeight="true" outlineLevel="0" collapsed="false">
      <c r="A1464" s="10" t="s">
        <v>7473</v>
      </c>
      <c r="B1464" s="9" t="n">
        <v>1</v>
      </c>
      <c r="C1464" s="10" t="s">
        <v>4582</v>
      </c>
      <c r="D1464" s="10" t="s">
        <v>6548</v>
      </c>
      <c r="E1464" s="10" t="s">
        <v>4911</v>
      </c>
    </row>
    <row r="1465" customFormat="false" ht="25.5" hidden="false" customHeight="true" outlineLevel="0" collapsed="false">
      <c r="A1465" s="10" t="s">
        <v>7474</v>
      </c>
      <c r="B1465" s="9" t="n">
        <v>1</v>
      </c>
      <c r="C1465" s="10" t="s">
        <v>4582</v>
      </c>
      <c r="D1465" s="10" t="s">
        <v>6548</v>
      </c>
      <c r="E1465" s="10" t="s">
        <v>4911</v>
      </c>
    </row>
    <row r="1466" customFormat="false" ht="25.5" hidden="false" customHeight="true" outlineLevel="0" collapsed="false">
      <c r="A1466" s="10" t="s">
        <v>7475</v>
      </c>
      <c r="B1466" s="9" t="n">
        <v>1</v>
      </c>
      <c r="C1466" s="10" t="s">
        <v>59</v>
      </c>
      <c r="D1466" s="10" t="s">
        <v>7083</v>
      </c>
      <c r="E1466" s="10" t="s">
        <v>189</v>
      </c>
    </row>
    <row r="1467" customFormat="false" ht="25.5" hidden="false" customHeight="true" outlineLevel="0" collapsed="false">
      <c r="A1467" s="10" t="s">
        <v>7476</v>
      </c>
      <c r="B1467" s="9" t="n">
        <v>1</v>
      </c>
      <c r="C1467" s="10" t="s">
        <v>2713</v>
      </c>
      <c r="D1467" s="10" t="s">
        <v>6016</v>
      </c>
      <c r="E1467" s="10" t="s">
        <v>3230</v>
      </c>
    </row>
    <row r="1468" customFormat="false" ht="25.5" hidden="false" customHeight="true" outlineLevel="0" collapsed="false">
      <c r="A1468" s="10" t="s">
        <v>7477</v>
      </c>
      <c r="B1468" s="9" t="n">
        <v>1</v>
      </c>
      <c r="C1468" s="10" t="s">
        <v>59</v>
      </c>
      <c r="D1468" s="10" t="s">
        <v>6555</v>
      </c>
      <c r="E1468" s="10" t="s">
        <v>652</v>
      </c>
    </row>
    <row r="1469" customFormat="false" ht="25.5" hidden="false" customHeight="true" outlineLevel="0" collapsed="false">
      <c r="A1469" s="10" t="s">
        <v>7478</v>
      </c>
      <c r="B1469" s="9" t="n">
        <v>1</v>
      </c>
      <c r="C1469" s="10" t="s">
        <v>2713</v>
      </c>
      <c r="D1469" s="10" t="s">
        <v>6491</v>
      </c>
      <c r="E1469" s="10" t="s">
        <v>3093</v>
      </c>
    </row>
    <row r="1470" customFormat="false" ht="25.5" hidden="false" customHeight="true" outlineLevel="0" collapsed="false">
      <c r="A1470" s="10" t="s">
        <v>7479</v>
      </c>
      <c r="B1470" s="9" t="n">
        <v>1</v>
      </c>
      <c r="C1470" s="10" t="s">
        <v>59</v>
      </c>
      <c r="D1470" s="10" t="s">
        <v>235</v>
      </c>
      <c r="E1470" s="10" t="s">
        <v>535</v>
      </c>
    </row>
    <row r="1471" customFormat="false" ht="25.5" hidden="false" customHeight="true" outlineLevel="0" collapsed="false">
      <c r="A1471" s="10" t="s">
        <v>7480</v>
      </c>
      <c r="B1471" s="9" t="n">
        <v>1</v>
      </c>
      <c r="C1471" s="10" t="s">
        <v>3842</v>
      </c>
      <c r="D1471" s="10" t="s">
        <v>6463</v>
      </c>
      <c r="E1471" s="10" t="s">
        <v>3865</v>
      </c>
    </row>
    <row r="1472" customFormat="false" ht="25.5" hidden="false" customHeight="true" outlineLevel="0" collapsed="false">
      <c r="A1472" s="10" t="s">
        <v>7481</v>
      </c>
      <c r="B1472" s="9" t="n">
        <v>1</v>
      </c>
      <c r="C1472" s="10" t="s">
        <v>59</v>
      </c>
      <c r="D1472" s="10" t="s">
        <v>5979</v>
      </c>
      <c r="E1472" s="10" t="s">
        <v>708</v>
      </c>
    </row>
    <row r="1473" customFormat="false" ht="25.5" hidden="false" customHeight="true" outlineLevel="0" collapsed="false">
      <c r="A1473" s="10" t="s">
        <v>7482</v>
      </c>
      <c r="B1473" s="9" t="n">
        <v>1</v>
      </c>
      <c r="C1473" s="10" t="s">
        <v>4582</v>
      </c>
      <c r="D1473" s="10" t="s">
        <v>5770</v>
      </c>
      <c r="E1473" s="10" t="s">
        <v>4806</v>
      </c>
    </row>
    <row r="1474" customFormat="false" ht="25.5" hidden="false" customHeight="true" outlineLevel="0" collapsed="false">
      <c r="A1474" s="10" t="s">
        <v>7483</v>
      </c>
      <c r="B1474" s="9" t="n">
        <v>1</v>
      </c>
      <c r="C1474" s="10" t="s">
        <v>2140</v>
      </c>
      <c r="D1474" s="10" t="s">
        <v>6068</v>
      </c>
      <c r="E1474" s="10" t="s">
        <v>2530</v>
      </c>
    </row>
    <row r="1475" customFormat="false" ht="25.5" hidden="false" customHeight="true" outlineLevel="0" collapsed="false">
      <c r="A1475" s="10" t="s">
        <v>7484</v>
      </c>
      <c r="B1475" s="9" t="n">
        <v>1</v>
      </c>
      <c r="C1475" s="10" t="s">
        <v>3291</v>
      </c>
      <c r="D1475" s="10" t="s">
        <v>6921</v>
      </c>
      <c r="E1475" s="10" t="s">
        <v>3500</v>
      </c>
    </row>
    <row r="1476" customFormat="false" ht="25.5" hidden="false" customHeight="true" outlineLevel="0" collapsed="false">
      <c r="A1476" s="10" t="s">
        <v>7485</v>
      </c>
      <c r="B1476" s="9" t="n">
        <v>1</v>
      </c>
      <c r="C1476" s="10" t="s">
        <v>1500</v>
      </c>
      <c r="D1476" s="10" t="s">
        <v>7306</v>
      </c>
      <c r="E1476" s="10" t="s">
        <v>1601</v>
      </c>
    </row>
    <row r="1477" customFormat="false" ht="25.5" hidden="false" customHeight="true" outlineLevel="0" collapsed="false">
      <c r="A1477" s="10" t="s">
        <v>7486</v>
      </c>
      <c r="B1477" s="9" t="n">
        <v>1</v>
      </c>
      <c r="C1477" s="10" t="s">
        <v>2140</v>
      </c>
      <c r="D1477" s="10" t="s">
        <v>7125</v>
      </c>
      <c r="E1477" s="10" t="s">
        <v>2467</v>
      </c>
    </row>
    <row r="1478" customFormat="false" ht="25.5" hidden="false" customHeight="true" outlineLevel="0" collapsed="false">
      <c r="A1478" s="10" t="s">
        <v>7487</v>
      </c>
      <c r="B1478" s="9" t="n">
        <v>1</v>
      </c>
      <c r="C1478" s="10" t="s">
        <v>59</v>
      </c>
      <c r="D1478" s="10" t="s">
        <v>6057</v>
      </c>
      <c r="E1478" s="10" t="s">
        <v>811</v>
      </c>
    </row>
    <row r="1479" customFormat="false" ht="25.5" hidden="false" customHeight="true" outlineLevel="0" collapsed="false">
      <c r="A1479" s="10" t="s">
        <v>7488</v>
      </c>
      <c r="B1479" s="9" t="n">
        <v>1</v>
      </c>
      <c r="C1479" s="10" t="s">
        <v>59</v>
      </c>
      <c r="D1479" s="10" t="s">
        <v>5632</v>
      </c>
      <c r="E1479" s="10" t="s">
        <v>201</v>
      </c>
    </row>
    <row r="1480" customFormat="false" ht="25.5" hidden="false" customHeight="true" outlineLevel="0" collapsed="false">
      <c r="A1480" s="10" t="s">
        <v>7489</v>
      </c>
      <c r="B1480" s="9" t="n">
        <v>1</v>
      </c>
      <c r="C1480" s="10" t="s">
        <v>4203</v>
      </c>
      <c r="D1480" s="10" t="s">
        <v>6616</v>
      </c>
      <c r="E1480" s="10" t="s">
        <v>4491</v>
      </c>
    </row>
    <row r="1481" customFormat="false" ht="25.5" hidden="false" customHeight="true" outlineLevel="0" collapsed="false">
      <c r="A1481" s="10" t="s">
        <v>7490</v>
      </c>
      <c r="B1481" s="9" t="n">
        <v>1</v>
      </c>
      <c r="C1481" s="10" t="s">
        <v>3291</v>
      </c>
      <c r="D1481" s="10" t="s">
        <v>6502</v>
      </c>
      <c r="E1481" s="10" t="s">
        <v>3709</v>
      </c>
    </row>
    <row r="1482" customFormat="false" ht="25.5" hidden="false" customHeight="true" outlineLevel="0" collapsed="false">
      <c r="A1482" s="10" t="s">
        <v>7491</v>
      </c>
      <c r="B1482" s="9" t="n">
        <v>1</v>
      </c>
      <c r="C1482" s="10" t="s">
        <v>837</v>
      </c>
      <c r="D1482" s="10" t="s">
        <v>7101</v>
      </c>
      <c r="E1482" s="10" t="s">
        <v>1021</v>
      </c>
    </row>
    <row r="1483" customFormat="false" ht="25.5" hidden="false" customHeight="true" outlineLevel="0" collapsed="false">
      <c r="A1483" s="10" t="s">
        <v>7492</v>
      </c>
      <c r="B1483" s="9" t="n">
        <v>1</v>
      </c>
      <c r="C1483" s="10" t="s">
        <v>837</v>
      </c>
      <c r="D1483" s="10" t="s">
        <v>6291</v>
      </c>
      <c r="E1483" s="10" t="s">
        <v>1204</v>
      </c>
    </row>
    <row r="1484" customFormat="false" ht="25.5" hidden="false" customHeight="true" outlineLevel="0" collapsed="false">
      <c r="A1484" s="10" t="s">
        <v>7493</v>
      </c>
      <c r="B1484" s="9" t="n">
        <v>1</v>
      </c>
      <c r="C1484" s="10" t="s">
        <v>4203</v>
      </c>
      <c r="D1484" s="10" t="s">
        <v>4251</v>
      </c>
      <c r="E1484" s="10" t="s">
        <v>4342</v>
      </c>
    </row>
    <row r="1485" customFormat="false" ht="25.5" hidden="false" customHeight="true" outlineLevel="0" collapsed="false">
      <c r="A1485" s="10" t="s">
        <v>7494</v>
      </c>
      <c r="B1485" s="9" t="n">
        <v>1</v>
      </c>
      <c r="C1485" s="10" t="s">
        <v>2140</v>
      </c>
      <c r="D1485" s="10" t="s">
        <v>5962</v>
      </c>
      <c r="E1485" s="10" t="s">
        <v>2505</v>
      </c>
    </row>
    <row r="1486" customFormat="false" ht="25.5" hidden="false" customHeight="true" outlineLevel="0" collapsed="false">
      <c r="A1486" s="10" t="s">
        <v>7495</v>
      </c>
      <c r="B1486" s="9" t="n">
        <v>1</v>
      </c>
      <c r="C1486" s="10" t="s">
        <v>3291</v>
      </c>
      <c r="D1486" s="10" t="s">
        <v>7461</v>
      </c>
      <c r="E1486" s="10" t="s">
        <v>3380</v>
      </c>
    </row>
    <row r="1487" customFormat="false" ht="25.5" hidden="false" customHeight="true" outlineLevel="0" collapsed="false">
      <c r="A1487" s="10" t="s">
        <v>7496</v>
      </c>
      <c r="B1487" s="9" t="n">
        <v>1</v>
      </c>
      <c r="C1487" s="10" t="s">
        <v>4203</v>
      </c>
      <c r="D1487" s="10" t="s">
        <v>7169</v>
      </c>
      <c r="E1487" s="10" t="s">
        <v>4567</v>
      </c>
    </row>
    <row r="1488" customFormat="false" ht="25.5" hidden="false" customHeight="true" outlineLevel="0" collapsed="false">
      <c r="A1488" s="10" t="s">
        <v>7497</v>
      </c>
      <c r="B1488" s="9" t="n">
        <v>1</v>
      </c>
      <c r="C1488" s="10" t="s">
        <v>4203</v>
      </c>
      <c r="D1488" s="10" t="s">
        <v>7169</v>
      </c>
      <c r="E1488" s="10" t="s">
        <v>4567</v>
      </c>
    </row>
    <row r="1489" customFormat="false" ht="25.5" hidden="false" customHeight="true" outlineLevel="0" collapsed="false">
      <c r="A1489" s="10" t="s">
        <v>7498</v>
      </c>
      <c r="B1489" s="9" t="n">
        <v>1</v>
      </c>
      <c r="C1489" s="10" t="s">
        <v>4203</v>
      </c>
      <c r="D1489" s="10" t="s">
        <v>6988</v>
      </c>
      <c r="E1489" s="10" t="s">
        <v>4306</v>
      </c>
    </row>
    <row r="1490" customFormat="false" ht="25.5" hidden="false" customHeight="true" outlineLevel="0" collapsed="false">
      <c r="A1490" s="10" t="s">
        <v>7499</v>
      </c>
      <c r="B1490" s="9" t="n">
        <v>1</v>
      </c>
      <c r="C1490" s="10" t="s">
        <v>4203</v>
      </c>
      <c r="D1490" s="10" t="s">
        <v>7169</v>
      </c>
      <c r="E1490" s="10" t="s">
        <v>4567</v>
      </c>
    </row>
    <row r="1491" customFormat="false" ht="25.5" hidden="false" customHeight="true" outlineLevel="0" collapsed="false">
      <c r="A1491" s="10" t="s">
        <v>7500</v>
      </c>
      <c r="B1491" s="9" t="n">
        <v>1</v>
      </c>
      <c r="C1491" s="10" t="s">
        <v>4203</v>
      </c>
      <c r="D1491" s="10" t="s">
        <v>7169</v>
      </c>
      <c r="E1491" s="10" t="s">
        <v>4567</v>
      </c>
    </row>
    <row r="1492" customFormat="false" ht="25.5" hidden="false" customHeight="true" outlineLevel="0" collapsed="false">
      <c r="A1492" s="10" t="s">
        <v>7501</v>
      </c>
      <c r="B1492" s="9" t="n">
        <v>1</v>
      </c>
      <c r="C1492" s="10" t="s">
        <v>4203</v>
      </c>
      <c r="D1492" s="10" t="s">
        <v>7169</v>
      </c>
      <c r="E1492" s="10" t="s">
        <v>4567</v>
      </c>
    </row>
    <row r="1493" customFormat="false" ht="25.5" hidden="false" customHeight="true" outlineLevel="0" collapsed="false">
      <c r="A1493" s="10" t="s">
        <v>7502</v>
      </c>
      <c r="B1493" s="9" t="n">
        <v>1</v>
      </c>
      <c r="C1493" s="10" t="s">
        <v>2140</v>
      </c>
      <c r="D1493" s="10" t="s">
        <v>6191</v>
      </c>
      <c r="E1493" s="10" t="s">
        <v>2377</v>
      </c>
    </row>
    <row r="1494" customFormat="false" ht="25.5" hidden="false" customHeight="true" outlineLevel="0" collapsed="false">
      <c r="A1494" s="10" t="s">
        <v>7503</v>
      </c>
      <c r="B1494" s="9" t="n">
        <v>1</v>
      </c>
      <c r="C1494" s="10" t="s">
        <v>2140</v>
      </c>
      <c r="D1494" s="10" t="s">
        <v>6191</v>
      </c>
      <c r="E1494" s="10" t="s">
        <v>2377</v>
      </c>
    </row>
    <row r="1495" customFormat="false" ht="25.5" hidden="false" customHeight="true" outlineLevel="0" collapsed="false">
      <c r="A1495" s="10" t="s">
        <v>7504</v>
      </c>
      <c r="B1495" s="9" t="n">
        <v>1</v>
      </c>
      <c r="C1495" s="10" t="s">
        <v>3291</v>
      </c>
      <c r="D1495" s="10" t="s">
        <v>5977</v>
      </c>
      <c r="E1495" s="10" t="s">
        <v>3354</v>
      </c>
    </row>
    <row r="1496" customFormat="false" ht="25.5" hidden="false" customHeight="true" outlineLevel="0" collapsed="false">
      <c r="A1496" s="10" t="s">
        <v>7505</v>
      </c>
      <c r="B1496" s="9" t="n">
        <v>1</v>
      </c>
      <c r="C1496" s="10" t="s">
        <v>4203</v>
      </c>
      <c r="D1496" s="10" t="s">
        <v>6526</v>
      </c>
      <c r="E1496" s="10" t="s">
        <v>4466</v>
      </c>
    </row>
    <row r="1497" customFormat="false" ht="25.5" hidden="false" customHeight="true" outlineLevel="0" collapsed="false">
      <c r="A1497" s="10" t="s">
        <v>7506</v>
      </c>
      <c r="B1497" s="9" t="n">
        <v>1</v>
      </c>
      <c r="C1497" s="10" t="s">
        <v>2140</v>
      </c>
      <c r="D1497" s="10" t="s">
        <v>6643</v>
      </c>
      <c r="E1497" s="10" t="s">
        <v>2442</v>
      </c>
    </row>
    <row r="1498" customFormat="false" ht="25.5" hidden="false" customHeight="true" outlineLevel="0" collapsed="false">
      <c r="A1498" s="10" t="s">
        <v>7507</v>
      </c>
      <c r="B1498" s="9" t="n">
        <v>1</v>
      </c>
      <c r="C1498" s="10" t="s">
        <v>1500</v>
      </c>
      <c r="D1498" s="10" t="s">
        <v>6120</v>
      </c>
      <c r="E1498" s="10" t="s">
        <v>1937</v>
      </c>
    </row>
    <row r="1499" customFormat="false" ht="25.5" hidden="false" customHeight="true" outlineLevel="0" collapsed="false">
      <c r="A1499" s="10" t="s">
        <v>7508</v>
      </c>
      <c r="B1499" s="9" t="n">
        <v>1</v>
      </c>
      <c r="C1499" s="10" t="s">
        <v>4949</v>
      </c>
      <c r="D1499" s="10" t="s">
        <v>5149</v>
      </c>
      <c r="E1499" s="10" t="s">
        <v>5140</v>
      </c>
    </row>
    <row r="1500" customFormat="false" ht="25.5" hidden="false" customHeight="true" outlineLevel="0" collapsed="false">
      <c r="A1500" s="10" t="s">
        <v>7509</v>
      </c>
      <c r="B1500" s="9" t="n">
        <v>1</v>
      </c>
      <c r="C1500" s="10" t="s">
        <v>1500</v>
      </c>
      <c r="D1500" s="10" t="s">
        <v>6387</v>
      </c>
      <c r="E1500" s="10" t="s">
        <v>2089</v>
      </c>
    </row>
    <row r="1501" customFormat="false" ht="25.5" hidden="false" customHeight="true" outlineLevel="0" collapsed="false">
      <c r="A1501" s="10" t="s">
        <v>7510</v>
      </c>
      <c r="B1501" s="9" t="n">
        <v>1</v>
      </c>
      <c r="C1501" s="10" t="s">
        <v>59</v>
      </c>
      <c r="D1501" s="10" t="s">
        <v>5699</v>
      </c>
      <c r="E1501" s="10" t="s">
        <v>316</v>
      </c>
    </row>
    <row r="1502" customFormat="false" ht="25.5" hidden="false" customHeight="true" outlineLevel="0" collapsed="false">
      <c r="A1502" s="10" t="s">
        <v>7511</v>
      </c>
      <c r="B1502" s="9" t="n">
        <v>1</v>
      </c>
      <c r="C1502" s="10" t="s">
        <v>59</v>
      </c>
      <c r="D1502" s="10" t="s">
        <v>5752</v>
      </c>
      <c r="E1502" s="10" t="s">
        <v>213</v>
      </c>
    </row>
    <row r="1503" customFormat="false" ht="25.5" hidden="false" customHeight="true" outlineLevel="0" collapsed="false">
      <c r="A1503" s="10" t="s">
        <v>7512</v>
      </c>
      <c r="B1503" s="9" t="n">
        <v>1</v>
      </c>
      <c r="C1503" s="10" t="s">
        <v>2713</v>
      </c>
      <c r="D1503" s="10" t="s">
        <v>6555</v>
      </c>
      <c r="E1503" s="10" t="s">
        <v>2819</v>
      </c>
    </row>
    <row r="1504" customFormat="false" ht="25.5" hidden="false" customHeight="true" outlineLevel="0" collapsed="false">
      <c r="A1504" s="10" t="s">
        <v>7513</v>
      </c>
      <c r="B1504" s="9" t="n">
        <v>1</v>
      </c>
      <c r="C1504" s="10" t="s">
        <v>2140</v>
      </c>
      <c r="D1504" s="10" t="s">
        <v>6433</v>
      </c>
      <c r="E1504" s="10" t="s">
        <v>2481</v>
      </c>
    </row>
    <row r="1505" customFormat="false" ht="25.5" hidden="false" customHeight="true" outlineLevel="0" collapsed="false">
      <c r="A1505" s="10" t="s">
        <v>7514</v>
      </c>
      <c r="B1505" s="9" t="n">
        <v>1</v>
      </c>
      <c r="C1505" s="10" t="s">
        <v>1500</v>
      </c>
      <c r="D1505" s="10" t="s">
        <v>7235</v>
      </c>
      <c r="E1505" s="10" t="s">
        <v>1950</v>
      </c>
    </row>
    <row r="1506" customFormat="false" ht="25.5" hidden="false" customHeight="true" outlineLevel="0" collapsed="false">
      <c r="A1506" s="10" t="s">
        <v>7515</v>
      </c>
      <c r="B1506" s="9" t="n">
        <v>1</v>
      </c>
      <c r="C1506" s="10" t="s">
        <v>1500</v>
      </c>
      <c r="D1506" s="10" t="s">
        <v>6065</v>
      </c>
      <c r="E1506" s="10" t="s">
        <v>1705</v>
      </c>
    </row>
    <row r="1507" customFormat="false" ht="25.5" hidden="false" customHeight="true" outlineLevel="0" collapsed="false">
      <c r="A1507" s="10" t="s">
        <v>7516</v>
      </c>
      <c r="B1507" s="9" t="n">
        <v>1</v>
      </c>
      <c r="C1507" s="10" t="s">
        <v>2140</v>
      </c>
      <c r="D1507" s="10" t="s">
        <v>6270</v>
      </c>
      <c r="E1507" s="10" t="s">
        <v>2416</v>
      </c>
    </row>
    <row r="1508" customFormat="false" ht="25.5" hidden="false" customHeight="true" outlineLevel="0" collapsed="false">
      <c r="A1508" s="10" t="s">
        <v>7517</v>
      </c>
      <c r="B1508" s="9" t="n">
        <v>1</v>
      </c>
      <c r="C1508" s="10" t="s">
        <v>2140</v>
      </c>
      <c r="D1508" s="10" t="s">
        <v>6270</v>
      </c>
      <c r="E1508" s="10" t="s">
        <v>2416</v>
      </c>
    </row>
    <row r="1509" customFormat="false" ht="25.5" hidden="false" customHeight="true" outlineLevel="0" collapsed="false">
      <c r="A1509" s="10" t="s">
        <v>7518</v>
      </c>
      <c r="B1509" s="9" t="n">
        <v>1</v>
      </c>
      <c r="C1509" s="10" t="s">
        <v>1500</v>
      </c>
      <c r="D1509" s="10" t="s">
        <v>6694</v>
      </c>
      <c r="E1509" s="10" t="s">
        <v>1615</v>
      </c>
    </row>
    <row r="1510" customFormat="false" ht="25.5" hidden="false" customHeight="true" outlineLevel="0" collapsed="false">
      <c r="A1510" s="10" t="s">
        <v>7519</v>
      </c>
      <c r="B1510" s="9" t="n">
        <v>1</v>
      </c>
      <c r="C1510" s="10" t="s">
        <v>59</v>
      </c>
      <c r="D1510" s="10" t="s">
        <v>235</v>
      </c>
      <c r="E1510" s="10" t="s">
        <v>501</v>
      </c>
    </row>
    <row r="1511" customFormat="false" ht="25.5" hidden="false" customHeight="true" outlineLevel="0" collapsed="false">
      <c r="A1511" s="10" t="s">
        <v>7520</v>
      </c>
      <c r="B1511" s="9" t="n">
        <v>1</v>
      </c>
      <c r="C1511" s="10" t="s">
        <v>4582</v>
      </c>
      <c r="D1511" s="10" t="s">
        <v>6910</v>
      </c>
      <c r="E1511" s="10" t="s">
        <v>4818</v>
      </c>
    </row>
    <row r="1512" customFormat="false" ht="25.5" hidden="false" customHeight="true" outlineLevel="0" collapsed="false">
      <c r="A1512" s="10" t="s">
        <v>7521</v>
      </c>
      <c r="B1512" s="9" t="n">
        <v>1</v>
      </c>
      <c r="C1512" s="10" t="s">
        <v>2140</v>
      </c>
      <c r="D1512" s="10" t="s">
        <v>5598</v>
      </c>
      <c r="E1512" s="10" t="s">
        <v>2253</v>
      </c>
    </row>
    <row r="1513" customFormat="false" ht="25.5" hidden="false" customHeight="true" outlineLevel="0" collapsed="false">
      <c r="A1513" s="10" t="s">
        <v>7522</v>
      </c>
      <c r="B1513" s="9" t="n">
        <v>1</v>
      </c>
      <c r="C1513" s="10" t="s">
        <v>2140</v>
      </c>
      <c r="D1513" s="10" t="s">
        <v>5598</v>
      </c>
      <c r="E1513" s="10" t="s">
        <v>2301</v>
      </c>
    </row>
    <row r="1514" customFormat="false" ht="25.5" hidden="false" customHeight="true" outlineLevel="0" collapsed="false">
      <c r="A1514" s="10" t="s">
        <v>7523</v>
      </c>
      <c r="B1514" s="9" t="n">
        <v>1</v>
      </c>
      <c r="C1514" s="10" t="s">
        <v>2713</v>
      </c>
      <c r="D1514" s="10" t="s">
        <v>7191</v>
      </c>
      <c r="E1514" s="10" t="s">
        <v>2712</v>
      </c>
    </row>
    <row r="1515" customFormat="false" ht="25.5" hidden="false" customHeight="true" outlineLevel="0" collapsed="false">
      <c r="A1515" s="10" t="s">
        <v>7524</v>
      </c>
      <c r="B1515" s="9" t="n">
        <v>1</v>
      </c>
      <c r="C1515" s="10" t="s">
        <v>3291</v>
      </c>
      <c r="D1515" s="10" t="s">
        <v>7525</v>
      </c>
      <c r="E1515" s="10" t="s">
        <v>3513</v>
      </c>
    </row>
    <row r="1516" customFormat="false" ht="25.5" hidden="false" customHeight="true" outlineLevel="0" collapsed="false">
      <c r="A1516" s="10" t="s">
        <v>7526</v>
      </c>
      <c r="B1516" s="9" t="n">
        <v>1</v>
      </c>
      <c r="C1516" s="10" t="s">
        <v>3291</v>
      </c>
      <c r="D1516" s="10" t="s">
        <v>6718</v>
      </c>
      <c r="E1516" s="10" t="s">
        <v>3828</v>
      </c>
    </row>
    <row r="1517" customFormat="false" ht="25.5" hidden="false" customHeight="true" outlineLevel="0" collapsed="false">
      <c r="A1517" s="10" t="s">
        <v>7527</v>
      </c>
      <c r="B1517" s="9" t="n">
        <v>1</v>
      </c>
      <c r="C1517" s="10" t="s">
        <v>2713</v>
      </c>
      <c r="D1517" s="10" t="s">
        <v>5576</v>
      </c>
      <c r="E1517" s="10" t="s">
        <v>2963</v>
      </c>
    </row>
    <row r="1518" customFormat="false" ht="25.5" hidden="false" customHeight="true" outlineLevel="0" collapsed="false">
      <c r="A1518" s="10" t="s">
        <v>7528</v>
      </c>
      <c r="B1518" s="9" t="n">
        <v>1</v>
      </c>
      <c r="C1518" s="10" t="s">
        <v>2713</v>
      </c>
      <c r="D1518" s="10" t="s">
        <v>5870</v>
      </c>
      <c r="E1518" s="10" t="s">
        <v>2974</v>
      </c>
    </row>
    <row r="1519" customFormat="false" ht="25.5" hidden="false" customHeight="true" outlineLevel="0" collapsed="false">
      <c r="A1519" s="10" t="s">
        <v>7529</v>
      </c>
      <c r="B1519" s="9" t="n">
        <v>1</v>
      </c>
      <c r="C1519" s="10" t="s">
        <v>2713</v>
      </c>
      <c r="D1519" s="10" t="s">
        <v>6555</v>
      </c>
      <c r="E1519" s="10" t="s">
        <v>2819</v>
      </c>
    </row>
    <row r="1520" customFormat="false" ht="25.5" hidden="false" customHeight="true" outlineLevel="0" collapsed="false">
      <c r="A1520" s="10" t="s">
        <v>7530</v>
      </c>
      <c r="B1520" s="9" t="n">
        <v>1</v>
      </c>
      <c r="C1520" s="10" t="s">
        <v>2140</v>
      </c>
      <c r="D1520" s="10" t="s">
        <v>2161</v>
      </c>
      <c r="E1520" s="10" t="s">
        <v>2153</v>
      </c>
    </row>
    <row r="1521" customFormat="false" ht="25.5" hidden="false" customHeight="true" outlineLevel="0" collapsed="false">
      <c r="A1521" s="10" t="s">
        <v>7531</v>
      </c>
      <c r="B1521" s="9" t="n">
        <v>1</v>
      </c>
      <c r="C1521" s="10" t="s">
        <v>2713</v>
      </c>
      <c r="D1521" s="10" t="s">
        <v>6300</v>
      </c>
      <c r="E1521" s="10" t="s">
        <v>3254</v>
      </c>
    </row>
    <row r="1522" customFormat="false" ht="25.5" hidden="false" customHeight="true" outlineLevel="0" collapsed="false">
      <c r="A1522" s="10" t="s">
        <v>7532</v>
      </c>
      <c r="B1522" s="9" t="n">
        <v>1</v>
      </c>
      <c r="C1522" s="10" t="s">
        <v>4582</v>
      </c>
      <c r="D1522" s="10" t="s">
        <v>6548</v>
      </c>
      <c r="E1522" s="10" t="s">
        <v>4911</v>
      </c>
    </row>
    <row r="1523" customFormat="false" ht="25.5" hidden="false" customHeight="true" outlineLevel="0" collapsed="false">
      <c r="A1523" s="10" t="s">
        <v>7533</v>
      </c>
      <c r="B1523" s="9" t="n">
        <v>1</v>
      </c>
      <c r="C1523" s="10" t="s">
        <v>3291</v>
      </c>
      <c r="D1523" s="10" t="s">
        <v>5894</v>
      </c>
      <c r="E1523" s="10" t="s">
        <v>3407</v>
      </c>
    </row>
    <row r="1524" customFormat="false" ht="25.5" hidden="false" customHeight="true" outlineLevel="0" collapsed="false">
      <c r="A1524" s="10" t="s">
        <v>7534</v>
      </c>
      <c r="B1524" s="9" t="n">
        <v>1</v>
      </c>
      <c r="C1524" s="10" t="s">
        <v>3291</v>
      </c>
      <c r="D1524" s="10" t="s">
        <v>6814</v>
      </c>
      <c r="E1524" s="10" t="s">
        <v>3815</v>
      </c>
    </row>
    <row r="1525" customFormat="false" ht="25.5" hidden="false" customHeight="true" outlineLevel="0" collapsed="false">
      <c r="A1525" s="10" t="s">
        <v>7535</v>
      </c>
      <c r="B1525" s="9" t="n">
        <v>1</v>
      </c>
      <c r="C1525" s="10" t="s">
        <v>1500</v>
      </c>
      <c r="D1525" s="10" t="s">
        <v>6323</v>
      </c>
      <c r="E1525" s="10" t="s">
        <v>1718</v>
      </c>
    </row>
    <row r="1526" customFormat="false" ht="25.5" hidden="false" customHeight="true" outlineLevel="0" collapsed="false">
      <c r="A1526" s="10" t="s">
        <v>7536</v>
      </c>
      <c r="B1526" s="9" t="n">
        <v>1</v>
      </c>
      <c r="C1526" s="10" t="s">
        <v>1500</v>
      </c>
      <c r="D1526" s="10" t="s">
        <v>6315</v>
      </c>
      <c r="E1526" s="10" t="s">
        <v>1770</v>
      </c>
    </row>
    <row r="1527" customFormat="false" ht="25.5" hidden="false" customHeight="true" outlineLevel="0" collapsed="false">
      <c r="A1527" s="10" t="s">
        <v>7537</v>
      </c>
      <c r="B1527" s="9" t="n">
        <v>1</v>
      </c>
      <c r="C1527" s="10" t="s">
        <v>2140</v>
      </c>
      <c r="D1527" s="10" t="s">
        <v>7538</v>
      </c>
      <c r="E1527" s="10" t="s">
        <v>2648</v>
      </c>
    </row>
    <row r="1528" customFormat="false" ht="25.5" hidden="false" customHeight="true" outlineLevel="0" collapsed="false">
      <c r="A1528" s="10" t="s">
        <v>7539</v>
      </c>
      <c r="B1528" s="9" t="n">
        <v>1</v>
      </c>
      <c r="C1528" s="10" t="s">
        <v>4203</v>
      </c>
      <c r="D1528" s="10" t="s">
        <v>4251</v>
      </c>
      <c r="E1528" s="10" t="s">
        <v>4318</v>
      </c>
    </row>
    <row r="1529" customFormat="false" ht="25.5" hidden="false" customHeight="true" outlineLevel="0" collapsed="false">
      <c r="A1529" s="10" t="s">
        <v>7540</v>
      </c>
      <c r="B1529" s="9" t="n">
        <v>1</v>
      </c>
      <c r="C1529" s="10" t="s">
        <v>837</v>
      </c>
      <c r="D1529" s="10" t="s">
        <v>6212</v>
      </c>
      <c r="E1529" s="10" t="s">
        <v>995</v>
      </c>
    </row>
    <row r="1530" customFormat="false" ht="25.5" hidden="false" customHeight="true" outlineLevel="0" collapsed="false">
      <c r="A1530" s="10" t="s">
        <v>7541</v>
      </c>
      <c r="B1530" s="9" t="n">
        <v>1</v>
      </c>
      <c r="C1530" s="10" t="s">
        <v>3842</v>
      </c>
      <c r="D1530" s="10" t="s">
        <v>6585</v>
      </c>
      <c r="E1530" s="10" t="s">
        <v>4123</v>
      </c>
    </row>
    <row r="1531" customFormat="false" ht="25.5" hidden="false" customHeight="true" outlineLevel="0" collapsed="false">
      <c r="A1531" s="10" t="s">
        <v>7542</v>
      </c>
      <c r="B1531" s="9" t="n">
        <v>1</v>
      </c>
      <c r="C1531" s="10" t="s">
        <v>1500</v>
      </c>
      <c r="D1531" s="10" t="s">
        <v>6220</v>
      </c>
      <c r="E1531" s="10" t="s">
        <v>1825</v>
      </c>
    </row>
    <row r="1532" customFormat="false" ht="25.5" hidden="false" customHeight="true" outlineLevel="0" collapsed="false">
      <c r="A1532" s="10" t="s">
        <v>7543</v>
      </c>
      <c r="B1532" s="9" t="n">
        <v>1</v>
      </c>
      <c r="C1532" s="10" t="s">
        <v>4582</v>
      </c>
      <c r="D1532" s="10" t="s">
        <v>6712</v>
      </c>
      <c r="E1532" s="10" t="s">
        <v>4713</v>
      </c>
    </row>
    <row r="1533" customFormat="false" ht="25.5" hidden="false" customHeight="true" outlineLevel="0" collapsed="false">
      <c r="A1533" s="10" t="s">
        <v>7544</v>
      </c>
      <c r="B1533" s="9" t="n">
        <v>1</v>
      </c>
      <c r="C1533" s="10" t="s">
        <v>4582</v>
      </c>
      <c r="D1533" s="10" t="s">
        <v>6712</v>
      </c>
      <c r="E1533" s="10" t="s">
        <v>4713</v>
      </c>
    </row>
    <row r="1534" customFormat="false" ht="25.5" hidden="false" customHeight="true" outlineLevel="0" collapsed="false">
      <c r="A1534" s="10" t="s">
        <v>7545</v>
      </c>
      <c r="B1534" s="9" t="n">
        <v>1</v>
      </c>
      <c r="C1534" s="10" t="s">
        <v>4582</v>
      </c>
      <c r="D1534" s="10" t="s">
        <v>6712</v>
      </c>
      <c r="E1534" s="10" t="s">
        <v>4713</v>
      </c>
    </row>
    <row r="1535" customFormat="false" ht="25.5" hidden="false" customHeight="true" outlineLevel="0" collapsed="false">
      <c r="A1535" s="10" t="s">
        <v>7546</v>
      </c>
      <c r="B1535" s="9" t="n">
        <v>1</v>
      </c>
      <c r="C1535" s="10" t="s">
        <v>4582</v>
      </c>
      <c r="D1535" s="10" t="s">
        <v>6712</v>
      </c>
      <c r="E1535" s="10" t="s">
        <v>4713</v>
      </c>
    </row>
    <row r="1536" customFormat="false" ht="25.5" hidden="false" customHeight="true" outlineLevel="0" collapsed="false">
      <c r="A1536" s="10" t="s">
        <v>7547</v>
      </c>
      <c r="B1536" s="9" t="n">
        <v>1</v>
      </c>
      <c r="C1536" s="10" t="s">
        <v>2713</v>
      </c>
      <c r="D1536" s="10" t="s">
        <v>5870</v>
      </c>
      <c r="E1536" s="10" t="s">
        <v>2806</v>
      </c>
    </row>
    <row r="1537" customFormat="false" ht="25.5" hidden="false" customHeight="true" outlineLevel="0" collapsed="false">
      <c r="A1537" s="10" t="s">
        <v>7548</v>
      </c>
      <c r="B1537" s="9" t="n">
        <v>1</v>
      </c>
      <c r="C1537" s="10" t="s">
        <v>837</v>
      </c>
      <c r="D1537" s="10" t="s">
        <v>7032</v>
      </c>
      <c r="E1537" s="10" t="s">
        <v>1326</v>
      </c>
    </row>
    <row r="1538" customFormat="false" ht="25.5" hidden="false" customHeight="true" outlineLevel="0" collapsed="false">
      <c r="A1538" s="10" t="s">
        <v>7549</v>
      </c>
      <c r="B1538" s="9" t="n">
        <v>1</v>
      </c>
      <c r="C1538" s="10" t="s">
        <v>2713</v>
      </c>
      <c r="D1538" s="10" t="s">
        <v>3032</v>
      </c>
      <c r="E1538" s="10" t="s">
        <v>3023</v>
      </c>
    </row>
    <row r="1539" customFormat="false" ht="25.5" hidden="false" customHeight="true" outlineLevel="0" collapsed="false">
      <c r="A1539" s="10" t="s">
        <v>7550</v>
      </c>
      <c r="B1539" s="9" t="n">
        <v>1</v>
      </c>
      <c r="C1539" s="10" t="s">
        <v>4203</v>
      </c>
      <c r="D1539" s="10" t="s">
        <v>6534</v>
      </c>
      <c r="E1539" s="10" t="s">
        <v>4202</v>
      </c>
    </row>
    <row r="1540" customFormat="false" ht="25.5" hidden="false" customHeight="true" outlineLevel="0" collapsed="false">
      <c r="A1540" s="10" t="s">
        <v>7551</v>
      </c>
      <c r="B1540" s="9" t="n">
        <v>1</v>
      </c>
      <c r="C1540" s="10" t="s">
        <v>4949</v>
      </c>
      <c r="D1540" s="10" t="s">
        <v>6197</v>
      </c>
      <c r="E1540" s="10" t="s">
        <v>5260</v>
      </c>
    </row>
    <row r="1541" customFormat="false" ht="25.5" hidden="false" customHeight="true" outlineLevel="0" collapsed="false">
      <c r="A1541" s="10" t="s">
        <v>7552</v>
      </c>
      <c r="B1541" s="9" t="n">
        <v>1</v>
      </c>
      <c r="C1541" s="10" t="s">
        <v>3291</v>
      </c>
      <c r="D1541" s="10" t="s">
        <v>6049</v>
      </c>
      <c r="E1541" s="10" t="s">
        <v>3735</v>
      </c>
    </row>
    <row r="1542" customFormat="false" ht="25.5" hidden="false" customHeight="true" outlineLevel="0" collapsed="false">
      <c r="A1542" s="10" t="s">
        <v>7553</v>
      </c>
      <c r="B1542" s="9" t="n">
        <v>1</v>
      </c>
      <c r="C1542" s="10" t="s">
        <v>2713</v>
      </c>
      <c r="D1542" s="10" t="s">
        <v>5665</v>
      </c>
      <c r="E1542" s="10" t="s">
        <v>3119</v>
      </c>
    </row>
    <row r="1543" customFormat="false" ht="25.5" hidden="false" customHeight="true" outlineLevel="0" collapsed="false">
      <c r="A1543" s="10" t="s">
        <v>7554</v>
      </c>
      <c r="B1543" s="9" t="n">
        <v>1</v>
      </c>
      <c r="C1543" s="10" t="s">
        <v>3842</v>
      </c>
      <c r="D1543" s="10" t="s">
        <v>7258</v>
      </c>
      <c r="E1543" s="10" t="s">
        <v>3970</v>
      </c>
    </row>
    <row r="1544" customFormat="false" ht="25.5" hidden="false" customHeight="true" outlineLevel="0" collapsed="false">
      <c r="A1544" s="10" t="s">
        <v>7555</v>
      </c>
      <c r="B1544" s="9" t="n">
        <v>1</v>
      </c>
      <c r="C1544" s="10" t="s">
        <v>3842</v>
      </c>
      <c r="D1544" s="10" t="s">
        <v>7258</v>
      </c>
      <c r="E1544" s="10" t="s">
        <v>3970</v>
      </c>
    </row>
    <row r="1545" customFormat="false" ht="25.5" hidden="false" customHeight="true" outlineLevel="0" collapsed="false">
      <c r="A1545" s="10" t="s">
        <v>7556</v>
      </c>
      <c r="B1545" s="9" t="n">
        <v>1</v>
      </c>
      <c r="C1545" s="10" t="s">
        <v>2713</v>
      </c>
      <c r="D1545" s="10" t="s">
        <v>5665</v>
      </c>
      <c r="E1545" s="10" t="s">
        <v>3119</v>
      </c>
    </row>
    <row r="1546" customFormat="false" ht="25.5" hidden="false" customHeight="true" outlineLevel="0" collapsed="false">
      <c r="A1546" s="10" t="s">
        <v>7557</v>
      </c>
      <c r="B1546" s="9" t="n">
        <v>1</v>
      </c>
      <c r="C1546" s="10" t="s">
        <v>2140</v>
      </c>
      <c r="D1546" s="10" t="s">
        <v>6187</v>
      </c>
      <c r="E1546" s="10" t="s">
        <v>2217</v>
      </c>
    </row>
    <row r="1547" customFormat="false" ht="25.5" hidden="false" customHeight="true" outlineLevel="0" collapsed="false">
      <c r="A1547" s="10" t="s">
        <v>7558</v>
      </c>
      <c r="B1547" s="9" t="n">
        <v>1</v>
      </c>
      <c r="C1547" s="10" t="s">
        <v>2713</v>
      </c>
      <c r="D1547" s="10" t="s">
        <v>5665</v>
      </c>
      <c r="E1547" s="10" t="s">
        <v>3119</v>
      </c>
    </row>
    <row r="1548" customFormat="false" ht="25.5" hidden="false" customHeight="true" outlineLevel="0" collapsed="false">
      <c r="A1548" s="10" t="s">
        <v>7559</v>
      </c>
      <c r="B1548" s="9" t="n">
        <v>1</v>
      </c>
      <c r="C1548" s="10" t="s">
        <v>3291</v>
      </c>
      <c r="D1548" s="10" t="s">
        <v>6925</v>
      </c>
      <c r="E1548" s="10" t="s">
        <v>3553</v>
      </c>
    </row>
    <row r="1549" customFormat="false" ht="25.5" hidden="false" customHeight="true" outlineLevel="0" collapsed="false">
      <c r="A1549" s="10" t="s">
        <v>7560</v>
      </c>
      <c r="B1549" s="9" t="n">
        <v>1</v>
      </c>
      <c r="C1549" s="10" t="s">
        <v>3291</v>
      </c>
      <c r="D1549" s="10" t="s">
        <v>6925</v>
      </c>
      <c r="E1549" s="10" t="s">
        <v>3553</v>
      </c>
    </row>
    <row r="1550" customFormat="false" ht="25.5" hidden="false" customHeight="true" outlineLevel="0" collapsed="false">
      <c r="A1550" s="10" t="s">
        <v>7561</v>
      </c>
      <c r="B1550" s="9" t="n">
        <v>1</v>
      </c>
      <c r="C1550" s="10" t="s">
        <v>4203</v>
      </c>
      <c r="D1550" s="10" t="s">
        <v>6988</v>
      </c>
      <c r="E1550" s="10" t="s">
        <v>4306</v>
      </c>
    </row>
    <row r="1551" customFormat="false" ht="25.5" hidden="false" customHeight="true" outlineLevel="0" collapsed="false">
      <c r="A1551" s="10" t="s">
        <v>7562</v>
      </c>
      <c r="B1551" s="9" t="n">
        <v>1</v>
      </c>
      <c r="C1551" s="10" t="s">
        <v>4203</v>
      </c>
      <c r="D1551" s="10" t="s">
        <v>4251</v>
      </c>
      <c r="E1551" s="10" t="s">
        <v>4342</v>
      </c>
    </row>
    <row r="1552" customFormat="false" ht="25.5" hidden="false" customHeight="true" outlineLevel="0" collapsed="false">
      <c r="A1552" s="10" t="s">
        <v>7563</v>
      </c>
      <c r="B1552" s="9" t="n">
        <v>1</v>
      </c>
      <c r="C1552" s="10" t="s">
        <v>3291</v>
      </c>
      <c r="D1552" s="10" t="s">
        <v>6718</v>
      </c>
      <c r="E1552" s="10" t="s">
        <v>3828</v>
      </c>
    </row>
    <row r="1553" customFormat="false" ht="25.5" hidden="false" customHeight="true" outlineLevel="0" collapsed="false">
      <c r="A1553" s="10" t="s">
        <v>7564</v>
      </c>
      <c r="B1553" s="9" t="n">
        <v>1</v>
      </c>
      <c r="C1553" s="10" t="s">
        <v>2140</v>
      </c>
      <c r="D1553" s="10" t="s">
        <v>5959</v>
      </c>
      <c r="E1553" s="10" t="s">
        <v>2403</v>
      </c>
    </row>
    <row r="1554" customFormat="false" ht="25.5" hidden="false" customHeight="true" outlineLevel="0" collapsed="false">
      <c r="A1554" s="10" t="s">
        <v>7565</v>
      </c>
      <c r="B1554" s="9" t="n">
        <v>1</v>
      </c>
      <c r="C1554" s="10" t="s">
        <v>2140</v>
      </c>
      <c r="D1554" s="10" t="s">
        <v>5959</v>
      </c>
      <c r="E1554" s="10" t="s">
        <v>2403</v>
      </c>
    </row>
    <row r="1555" customFormat="false" ht="25.5" hidden="false" customHeight="true" outlineLevel="0" collapsed="false">
      <c r="A1555" s="10" t="s">
        <v>7566</v>
      </c>
      <c r="B1555" s="9" t="n">
        <v>1</v>
      </c>
      <c r="C1555" s="10" t="s">
        <v>2713</v>
      </c>
      <c r="D1555" s="10" t="s">
        <v>6228</v>
      </c>
      <c r="E1555" s="10" t="s">
        <v>3082</v>
      </c>
    </row>
    <row r="1556" customFormat="false" ht="25.5" hidden="false" customHeight="true" outlineLevel="0" collapsed="false">
      <c r="A1556" s="10" t="s">
        <v>7567</v>
      </c>
      <c r="B1556" s="9" t="n">
        <v>1</v>
      </c>
      <c r="C1556" s="10" t="s">
        <v>3291</v>
      </c>
      <c r="D1556" s="10" t="s">
        <v>7525</v>
      </c>
      <c r="E1556" s="10" t="s">
        <v>3513</v>
      </c>
    </row>
    <row r="1557" customFormat="false" ht="25.5" hidden="false" customHeight="true" outlineLevel="0" collapsed="false">
      <c r="A1557" s="10" t="s">
        <v>7568</v>
      </c>
      <c r="B1557" s="9" t="n">
        <v>1</v>
      </c>
      <c r="C1557" s="10" t="s">
        <v>3842</v>
      </c>
      <c r="D1557" s="10" t="s">
        <v>6817</v>
      </c>
      <c r="E1557" s="10" t="s">
        <v>4150</v>
      </c>
    </row>
    <row r="1558" customFormat="false" ht="25.5" hidden="false" customHeight="true" outlineLevel="0" collapsed="false">
      <c r="A1558" s="10" t="s">
        <v>7569</v>
      </c>
      <c r="B1558" s="9" t="n">
        <v>1</v>
      </c>
      <c r="C1558" s="10" t="s">
        <v>837</v>
      </c>
      <c r="D1558" s="10" t="s">
        <v>6013</v>
      </c>
      <c r="E1558" s="10" t="s">
        <v>1446</v>
      </c>
    </row>
    <row r="1559" customFormat="false" ht="25.5" hidden="false" customHeight="true" outlineLevel="0" collapsed="false">
      <c r="A1559" s="10" t="s">
        <v>7570</v>
      </c>
      <c r="B1559" s="9" t="n">
        <v>1</v>
      </c>
      <c r="C1559" s="10" t="s">
        <v>4949</v>
      </c>
      <c r="D1559" s="10" t="s">
        <v>6901</v>
      </c>
      <c r="E1559" s="10" t="s">
        <v>4963</v>
      </c>
    </row>
    <row r="1560" customFormat="false" ht="25.5" hidden="false" customHeight="true" outlineLevel="0" collapsed="false">
      <c r="A1560" s="10" t="s">
        <v>7571</v>
      </c>
      <c r="B1560" s="9" t="n">
        <v>1</v>
      </c>
      <c r="C1560" s="10" t="s">
        <v>1500</v>
      </c>
      <c r="D1560" s="10" t="s">
        <v>6047</v>
      </c>
      <c r="E1560" s="10" t="s">
        <v>2112</v>
      </c>
    </row>
    <row r="1561" customFormat="false" ht="25.5" hidden="false" customHeight="true" outlineLevel="0" collapsed="false">
      <c r="A1561" s="10" t="s">
        <v>7572</v>
      </c>
      <c r="B1561" s="9" t="n">
        <v>1</v>
      </c>
      <c r="C1561" s="10" t="s">
        <v>4949</v>
      </c>
      <c r="D1561" s="10" t="s">
        <v>6901</v>
      </c>
      <c r="E1561" s="10" t="s">
        <v>4963</v>
      </c>
    </row>
    <row r="1562" customFormat="false" ht="25.5" hidden="false" customHeight="true" outlineLevel="0" collapsed="false">
      <c r="A1562" s="10" t="s">
        <v>7573</v>
      </c>
      <c r="B1562" s="9" t="n">
        <v>1</v>
      </c>
      <c r="C1562" s="10" t="s">
        <v>4949</v>
      </c>
      <c r="D1562" s="10" t="s">
        <v>6901</v>
      </c>
      <c r="E1562" s="10" t="s">
        <v>4963</v>
      </c>
    </row>
    <row r="1563" customFormat="false" ht="25.5" hidden="false" customHeight="true" outlineLevel="0" collapsed="false">
      <c r="A1563" s="10" t="s">
        <v>7574</v>
      </c>
      <c r="B1563" s="9" t="n">
        <v>1</v>
      </c>
      <c r="C1563" s="10" t="s">
        <v>4949</v>
      </c>
      <c r="D1563" s="10" t="s">
        <v>6901</v>
      </c>
      <c r="E1563" s="10" t="s">
        <v>4963</v>
      </c>
    </row>
    <row r="1564" customFormat="false" ht="25.5" hidden="false" customHeight="true" outlineLevel="0" collapsed="false">
      <c r="A1564" s="10" t="s">
        <v>7575</v>
      </c>
      <c r="B1564" s="9" t="n">
        <v>1</v>
      </c>
      <c r="C1564" s="10" t="s">
        <v>4949</v>
      </c>
      <c r="D1564" s="10" t="s">
        <v>6901</v>
      </c>
      <c r="E1564" s="10" t="s">
        <v>4963</v>
      </c>
    </row>
    <row r="1565" customFormat="false" ht="25.5" hidden="false" customHeight="true" outlineLevel="0" collapsed="false">
      <c r="A1565" s="10" t="s">
        <v>7576</v>
      </c>
      <c r="B1565" s="9" t="n">
        <v>1</v>
      </c>
      <c r="C1565" s="10" t="s">
        <v>1500</v>
      </c>
      <c r="D1565" s="10" t="s">
        <v>6047</v>
      </c>
      <c r="E1565" s="10" t="s">
        <v>2112</v>
      </c>
    </row>
    <row r="1566" customFormat="false" ht="25.5" hidden="false" customHeight="true" outlineLevel="0" collapsed="false">
      <c r="A1566" s="10" t="s">
        <v>7577</v>
      </c>
      <c r="B1566" s="9" t="n">
        <v>1</v>
      </c>
      <c r="C1566" s="10" t="s">
        <v>4949</v>
      </c>
      <c r="D1566" s="10" t="s">
        <v>6901</v>
      </c>
      <c r="E1566" s="10" t="s">
        <v>4963</v>
      </c>
    </row>
    <row r="1567" customFormat="false" ht="25.5" hidden="false" customHeight="true" outlineLevel="0" collapsed="false">
      <c r="A1567" s="10" t="s">
        <v>7578</v>
      </c>
      <c r="B1567" s="9" t="n">
        <v>1</v>
      </c>
      <c r="C1567" s="10" t="s">
        <v>2140</v>
      </c>
      <c r="D1567" s="10" t="s">
        <v>5598</v>
      </c>
      <c r="E1567" s="10" t="s">
        <v>2253</v>
      </c>
    </row>
    <row r="1568" customFormat="false" ht="25.5" hidden="false" customHeight="true" outlineLevel="0" collapsed="false">
      <c r="A1568" s="10" t="s">
        <v>7579</v>
      </c>
      <c r="B1568" s="9" t="n">
        <v>1</v>
      </c>
      <c r="C1568" s="10" t="s">
        <v>2140</v>
      </c>
      <c r="D1568" s="10" t="s">
        <v>2161</v>
      </c>
      <c r="E1568" s="10" t="s">
        <v>2365</v>
      </c>
    </row>
    <row r="1569" customFormat="false" ht="25.5" hidden="false" customHeight="true" outlineLevel="0" collapsed="false">
      <c r="A1569" s="10" t="s">
        <v>7580</v>
      </c>
      <c r="B1569" s="9" t="n">
        <v>1</v>
      </c>
      <c r="C1569" s="10" t="s">
        <v>2140</v>
      </c>
      <c r="D1569" s="10" t="s">
        <v>2161</v>
      </c>
      <c r="E1569" s="10" t="s">
        <v>2365</v>
      </c>
    </row>
    <row r="1570" customFormat="false" ht="25.5" hidden="false" customHeight="true" outlineLevel="0" collapsed="false">
      <c r="A1570" s="10" t="s">
        <v>7581</v>
      </c>
      <c r="B1570" s="9" t="n">
        <v>1</v>
      </c>
      <c r="C1570" s="10" t="s">
        <v>2140</v>
      </c>
      <c r="D1570" s="10" t="s">
        <v>2161</v>
      </c>
      <c r="E1570" s="10" t="s">
        <v>2365</v>
      </c>
    </row>
    <row r="1571" customFormat="false" ht="25.5" hidden="false" customHeight="true" outlineLevel="0" collapsed="false">
      <c r="A1571" s="10" t="s">
        <v>7582</v>
      </c>
      <c r="B1571" s="9" t="n">
        <v>1</v>
      </c>
      <c r="C1571" s="10" t="s">
        <v>2713</v>
      </c>
      <c r="D1571" s="10" t="s">
        <v>7191</v>
      </c>
      <c r="E1571" s="10" t="s">
        <v>2726</v>
      </c>
    </row>
    <row r="1572" customFormat="false" ht="25.5" hidden="false" customHeight="true" outlineLevel="0" collapsed="false">
      <c r="A1572" s="10" t="s">
        <v>7583</v>
      </c>
      <c r="B1572" s="9" t="n">
        <v>1</v>
      </c>
      <c r="C1572" s="10" t="s">
        <v>2713</v>
      </c>
      <c r="D1572" s="10" t="s">
        <v>6036</v>
      </c>
      <c r="E1572" s="10" t="s">
        <v>2867</v>
      </c>
    </row>
    <row r="1573" customFormat="false" ht="25.5" hidden="false" customHeight="true" outlineLevel="0" collapsed="false">
      <c r="A1573" s="10" t="s">
        <v>7584</v>
      </c>
      <c r="B1573" s="9" t="n">
        <v>1</v>
      </c>
      <c r="C1573" s="10" t="s">
        <v>59</v>
      </c>
      <c r="D1573" s="10" t="s">
        <v>6210</v>
      </c>
      <c r="E1573" s="10" t="s">
        <v>365</v>
      </c>
    </row>
    <row r="1574" customFormat="false" ht="25.5" hidden="false" customHeight="true" outlineLevel="0" collapsed="false">
      <c r="A1574" s="10" t="s">
        <v>7585</v>
      </c>
      <c r="B1574" s="9" t="n">
        <v>1</v>
      </c>
      <c r="C1574" s="10" t="s">
        <v>4949</v>
      </c>
      <c r="D1574" s="10" t="s">
        <v>6018</v>
      </c>
      <c r="E1574" s="10" t="s">
        <v>5017</v>
      </c>
    </row>
    <row r="1575" customFormat="false" ht="25.5" hidden="false" customHeight="true" outlineLevel="0" collapsed="false">
      <c r="A1575" s="10" t="s">
        <v>7586</v>
      </c>
      <c r="B1575" s="9" t="n">
        <v>1</v>
      </c>
      <c r="C1575" s="10" t="s">
        <v>4949</v>
      </c>
      <c r="D1575" s="10" t="s">
        <v>6018</v>
      </c>
      <c r="E1575" s="10" t="s">
        <v>5017</v>
      </c>
    </row>
    <row r="1576" customFormat="false" ht="25.5" hidden="false" customHeight="true" outlineLevel="0" collapsed="false">
      <c r="A1576" s="10" t="s">
        <v>7587</v>
      </c>
      <c r="B1576" s="9" t="n">
        <v>1</v>
      </c>
      <c r="C1576" s="10" t="s">
        <v>3291</v>
      </c>
      <c r="D1576" s="10" t="s">
        <v>6342</v>
      </c>
      <c r="E1576" s="10" t="s">
        <v>3592</v>
      </c>
    </row>
    <row r="1577" customFormat="false" ht="25.5" hidden="false" customHeight="true" outlineLevel="0" collapsed="false">
      <c r="A1577" s="10" t="s">
        <v>7588</v>
      </c>
      <c r="B1577" s="9" t="n">
        <v>1</v>
      </c>
      <c r="C1577" s="10" t="s">
        <v>4203</v>
      </c>
      <c r="D1577" s="10" t="s">
        <v>6616</v>
      </c>
      <c r="E1577" s="10" t="s">
        <v>4491</v>
      </c>
    </row>
    <row r="1578" customFormat="false" ht="25.5" hidden="false" customHeight="true" outlineLevel="0" collapsed="false">
      <c r="A1578" s="10" t="s">
        <v>7589</v>
      </c>
      <c r="B1578" s="9" t="n">
        <v>1</v>
      </c>
      <c r="C1578" s="10" t="s">
        <v>4582</v>
      </c>
      <c r="D1578" s="10" t="s">
        <v>6453</v>
      </c>
      <c r="E1578" s="10" t="s">
        <v>4594</v>
      </c>
    </row>
    <row r="1579" customFormat="false" ht="25.5" hidden="false" customHeight="true" outlineLevel="0" collapsed="false">
      <c r="A1579" s="10" t="s">
        <v>7590</v>
      </c>
      <c r="B1579" s="9" t="n">
        <v>1</v>
      </c>
      <c r="C1579" s="10" t="s">
        <v>4582</v>
      </c>
      <c r="D1579" s="10" t="s">
        <v>6453</v>
      </c>
      <c r="E1579" s="10" t="s">
        <v>4594</v>
      </c>
    </row>
    <row r="1580" customFormat="false" ht="25.5" hidden="false" customHeight="true" outlineLevel="0" collapsed="false">
      <c r="A1580" s="10" t="s">
        <v>7591</v>
      </c>
      <c r="B1580" s="9" t="n">
        <v>1</v>
      </c>
      <c r="C1580" s="10" t="s">
        <v>4582</v>
      </c>
      <c r="D1580" s="10" t="s">
        <v>6453</v>
      </c>
      <c r="E1580" s="10" t="s">
        <v>4594</v>
      </c>
    </row>
    <row r="1581" customFormat="false" ht="25.5" hidden="false" customHeight="true" outlineLevel="0" collapsed="false">
      <c r="A1581" s="10" t="s">
        <v>7592</v>
      </c>
      <c r="B1581" s="9" t="n">
        <v>1</v>
      </c>
      <c r="C1581" s="10" t="s">
        <v>3291</v>
      </c>
      <c r="D1581" s="10" t="s">
        <v>6502</v>
      </c>
      <c r="E1581" s="10" t="s">
        <v>3709</v>
      </c>
    </row>
    <row r="1582" customFormat="false" ht="25.5" hidden="false" customHeight="true" outlineLevel="0" collapsed="false">
      <c r="A1582" s="10" t="s">
        <v>7593</v>
      </c>
      <c r="B1582" s="9" t="n">
        <v>1</v>
      </c>
      <c r="C1582" s="10" t="s">
        <v>3291</v>
      </c>
      <c r="D1582" s="10" t="s">
        <v>6502</v>
      </c>
      <c r="E1582" s="10" t="s">
        <v>3709</v>
      </c>
    </row>
    <row r="1583" customFormat="false" ht="25.5" hidden="false" customHeight="true" outlineLevel="0" collapsed="false">
      <c r="A1583" s="10" t="s">
        <v>7594</v>
      </c>
      <c r="B1583" s="9" t="n">
        <v>1</v>
      </c>
      <c r="C1583" s="10" t="s">
        <v>4203</v>
      </c>
      <c r="D1583" s="10" t="s">
        <v>6616</v>
      </c>
      <c r="E1583" s="10" t="s">
        <v>4491</v>
      </c>
    </row>
    <row r="1584" customFormat="false" ht="25.5" hidden="false" customHeight="true" outlineLevel="0" collapsed="false">
      <c r="A1584" s="10" t="s">
        <v>7595</v>
      </c>
      <c r="B1584" s="9" t="n">
        <v>1</v>
      </c>
      <c r="C1584" s="10" t="s">
        <v>3291</v>
      </c>
      <c r="D1584" s="10" t="s">
        <v>6502</v>
      </c>
      <c r="E1584" s="10" t="s">
        <v>3709</v>
      </c>
    </row>
    <row r="1585" customFormat="false" ht="25.5" hidden="false" customHeight="true" outlineLevel="0" collapsed="false">
      <c r="A1585" s="10" t="s">
        <v>7596</v>
      </c>
      <c r="B1585" s="9" t="n">
        <v>1</v>
      </c>
      <c r="C1585" s="10" t="s">
        <v>4203</v>
      </c>
      <c r="D1585" s="10" t="s">
        <v>6616</v>
      </c>
      <c r="E1585" s="10" t="s">
        <v>4491</v>
      </c>
    </row>
    <row r="1586" customFormat="false" ht="25.5" hidden="false" customHeight="true" outlineLevel="0" collapsed="false">
      <c r="A1586" s="10" t="s">
        <v>7597</v>
      </c>
      <c r="B1586" s="9" t="n">
        <v>1</v>
      </c>
      <c r="C1586" s="10" t="s">
        <v>4203</v>
      </c>
      <c r="D1586" s="10" t="s">
        <v>6616</v>
      </c>
      <c r="E1586" s="10" t="s">
        <v>4491</v>
      </c>
    </row>
    <row r="1587" customFormat="false" ht="25.5" hidden="false" customHeight="true" outlineLevel="0" collapsed="false">
      <c r="A1587" s="10" t="s">
        <v>7598</v>
      </c>
      <c r="B1587" s="9" t="n">
        <v>1</v>
      </c>
      <c r="C1587" s="10" t="s">
        <v>4203</v>
      </c>
      <c r="D1587" s="10" t="s">
        <v>6127</v>
      </c>
      <c r="E1587" s="10" t="s">
        <v>4555</v>
      </c>
    </row>
    <row r="1588" customFormat="false" ht="25.5" hidden="false" customHeight="true" outlineLevel="0" collapsed="false">
      <c r="A1588" s="10" t="s">
        <v>7599</v>
      </c>
      <c r="B1588" s="9" t="n">
        <v>1</v>
      </c>
      <c r="C1588" s="10" t="s">
        <v>3291</v>
      </c>
      <c r="D1588" s="10" t="s">
        <v>5977</v>
      </c>
      <c r="E1588" s="10" t="s">
        <v>3354</v>
      </c>
    </row>
    <row r="1589" customFormat="false" ht="25.5" hidden="false" customHeight="true" outlineLevel="0" collapsed="false">
      <c r="A1589" s="10" t="s">
        <v>7600</v>
      </c>
      <c r="B1589" s="9" t="n">
        <v>1</v>
      </c>
      <c r="C1589" s="10" t="s">
        <v>3291</v>
      </c>
      <c r="D1589" s="10" t="s">
        <v>5977</v>
      </c>
      <c r="E1589" s="10" t="s">
        <v>3354</v>
      </c>
    </row>
    <row r="1590" customFormat="false" ht="25.5" hidden="false" customHeight="true" outlineLevel="0" collapsed="false">
      <c r="A1590" s="10" t="s">
        <v>7601</v>
      </c>
      <c r="B1590" s="9" t="n">
        <v>1</v>
      </c>
      <c r="C1590" s="10" t="s">
        <v>3291</v>
      </c>
      <c r="D1590" s="10" t="s">
        <v>5993</v>
      </c>
      <c r="E1590" s="10" t="s">
        <v>3367</v>
      </c>
    </row>
    <row r="1591" customFormat="false" ht="25.5" hidden="false" customHeight="true" outlineLevel="0" collapsed="false">
      <c r="A1591" s="10" t="s">
        <v>7602</v>
      </c>
      <c r="B1591" s="9" t="n">
        <v>1</v>
      </c>
      <c r="C1591" s="10" t="s">
        <v>4949</v>
      </c>
      <c r="D1591" s="10" t="s">
        <v>6413</v>
      </c>
      <c r="E1591" s="10" t="s">
        <v>5071</v>
      </c>
    </row>
    <row r="1592" customFormat="false" ht="25.5" hidden="false" customHeight="true" outlineLevel="0" collapsed="false">
      <c r="A1592" s="10" t="s">
        <v>7603</v>
      </c>
      <c r="B1592" s="9" t="n">
        <v>1</v>
      </c>
      <c r="C1592" s="10" t="s">
        <v>2713</v>
      </c>
      <c r="D1592" s="10" t="s">
        <v>6817</v>
      </c>
      <c r="E1592" s="10" t="s">
        <v>3242</v>
      </c>
    </row>
    <row r="1593" customFormat="false" ht="25.5" hidden="false" customHeight="true" outlineLevel="0" collapsed="false">
      <c r="A1593" s="10" t="s">
        <v>7604</v>
      </c>
      <c r="B1593" s="9" t="n">
        <v>1</v>
      </c>
      <c r="C1593" s="10" t="s">
        <v>3842</v>
      </c>
      <c r="D1593" s="10" t="s">
        <v>5981</v>
      </c>
      <c r="E1593" s="10" t="s">
        <v>4049</v>
      </c>
    </row>
    <row r="1594" customFormat="false" ht="25.5" hidden="false" customHeight="true" outlineLevel="0" collapsed="false">
      <c r="A1594" s="10" t="s">
        <v>7605</v>
      </c>
      <c r="B1594" s="9" t="n">
        <v>1</v>
      </c>
      <c r="C1594" s="10" t="s">
        <v>3842</v>
      </c>
      <c r="D1594" s="10" t="s">
        <v>6632</v>
      </c>
      <c r="E1594" s="10" t="s">
        <v>4022</v>
      </c>
    </row>
    <row r="1595" customFormat="false" ht="25.5" hidden="false" customHeight="true" outlineLevel="0" collapsed="false">
      <c r="A1595" s="10" t="s">
        <v>7606</v>
      </c>
      <c r="B1595" s="9" t="n">
        <v>1</v>
      </c>
      <c r="C1595" s="10" t="s">
        <v>2140</v>
      </c>
      <c r="D1595" s="10" t="s">
        <v>6241</v>
      </c>
      <c r="E1595" s="10" t="s">
        <v>2454</v>
      </c>
    </row>
    <row r="1596" customFormat="false" ht="25.5" hidden="false" customHeight="true" outlineLevel="0" collapsed="false">
      <c r="A1596" s="10" t="s">
        <v>7607</v>
      </c>
      <c r="B1596" s="9" t="n">
        <v>1</v>
      </c>
      <c r="C1596" s="10" t="s">
        <v>2140</v>
      </c>
      <c r="D1596" s="10" t="s">
        <v>6365</v>
      </c>
      <c r="E1596" s="10" t="s">
        <v>2353</v>
      </c>
    </row>
    <row r="1597" customFormat="false" ht="25.5" hidden="false" customHeight="true" outlineLevel="0" collapsed="false">
      <c r="A1597" s="10" t="s">
        <v>7608</v>
      </c>
      <c r="B1597" s="9" t="n">
        <v>1</v>
      </c>
      <c r="C1597" s="10" t="s">
        <v>2140</v>
      </c>
      <c r="D1597" s="10" t="s">
        <v>6365</v>
      </c>
      <c r="E1597" s="10" t="s">
        <v>2353</v>
      </c>
    </row>
    <row r="1598" customFormat="false" ht="25.5" hidden="false" customHeight="true" outlineLevel="0" collapsed="false">
      <c r="A1598" s="10" t="s">
        <v>7609</v>
      </c>
      <c r="B1598" s="9" t="n">
        <v>1</v>
      </c>
      <c r="C1598" s="10" t="s">
        <v>1500</v>
      </c>
      <c r="D1598" s="10" t="s">
        <v>6272</v>
      </c>
      <c r="E1598" s="10" t="s">
        <v>1564</v>
      </c>
    </row>
    <row r="1599" customFormat="false" ht="25.5" hidden="false" customHeight="true" outlineLevel="0" collapsed="false">
      <c r="A1599" s="10" t="s">
        <v>7610</v>
      </c>
      <c r="B1599" s="9" t="n">
        <v>1</v>
      </c>
      <c r="C1599" s="10" t="s">
        <v>837</v>
      </c>
      <c r="D1599" s="10" t="s">
        <v>6812</v>
      </c>
      <c r="E1599" s="10" t="s">
        <v>902</v>
      </c>
    </row>
    <row r="1600" customFormat="false" ht="25.5" hidden="false" customHeight="true" outlineLevel="0" collapsed="false">
      <c r="A1600" s="10" t="s">
        <v>7611</v>
      </c>
      <c r="B1600" s="9" t="n">
        <v>1</v>
      </c>
      <c r="C1600" s="10" t="s">
        <v>3291</v>
      </c>
      <c r="D1600" s="10" t="s">
        <v>5993</v>
      </c>
      <c r="E1600" s="10" t="s">
        <v>3367</v>
      </c>
    </row>
    <row r="1601" customFormat="false" ht="25.5" hidden="false" customHeight="true" outlineLevel="0" collapsed="false">
      <c r="A1601" s="10" t="s">
        <v>7612</v>
      </c>
      <c r="B1601" s="9" t="n">
        <v>1</v>
      </c>
      <c r="C1601" s="10" t="s">
        <v>59</v>
      </c>
      <c r="D1601" s="10" t="s">
        <v>5788</v>
      </c>
      <c r="E1601" s="10" t="s">
        <v>94</v>
      </c>
    </row>
    <row r="1602" customFormat="false" ht="25.5" hidden="false" customHeight="true" outlineLevel="0" collapsed="false">
      <c r="A1602" s="10" t="s">
        <v>7613</v>
      </c>
      <c r="B1602" s="9" t="n">
        <v>1</v>
      </c>
      <c r="C1602" s="10" t="s">
        <v>59</v>
      </c>
      <c r="D1602" s="10" t="s">
        <v>5907</v>
      </c>
      <c r="E1602" s="10" t="s">
        <v>512</v>
      </c>
    </row>
    <row r="1603" customFormat="false" ht="25.5" hidden="false" customHeight="true" outlineLevel="0" collapsed="false">
      <c r="A1603" s="10" t="s">
        <v>7614</v>
      </c>
      <c r="B1603" s="9" t="n">
        <v>1</v>
      </c>
      <c r="C1603" s="10" t="s">
        <v>1500</v>
      </c>
      <c r="D1603" s="10" t="s">
        <v>6173</v>
      </c>
      <c r="E1603" s="10" t="s">
        <v>1640</v>
      </c>
    </row>
    <row r="1604" customFormat="false" ht="25.5" hidden="false" customHeight="true" outlineLevel="0" collapsed="false">
      <c r="A1604" s="10" t="s">
        <v>7615</v>
      </c>
      <c r="B1604" s="9" t="n">
        <v>1</v>
      </c>
      <c r="C1604" s="10" t="s">
        <v>2140</v>
      </c>
      <c r="D1604" s="10" t="s">
        <v>6189</v>
      </c>
      <c r="E1604" s="10" t="s">
        <v>2661</v>
      </c>
    </row>
    <row r="1605" customFormat="false" ht="25.5" hidden="false" customHeight="true" outlineLevel="0" collapsed="false">
      <c r="A1605" s="10" t="s">
        <v>7616</v>
      </c>
      <c r="B1605" s="9" t="n">
        <v>1</v>
      </c>
      <c r="C1605" s="10" t="s">
        <v>2713</v>
      </c>
      <c r="D1605" s="10" t="s">
        <v>6097</v>
      </c>
      <c r="E1605" s="10" t="s">
        <v>3011</v>
      </c>
    </row>
    <row r="1606" customFormat="false" ht="25.5" hidden="false" customHeight="true" outlineLevel="0" collapsed="false">
      <c r="A1606" s="10" t="s">
        <v>7617</v>
      </c>
      <c r="B1606" s="9" t="n">
        <v>1</v>
      </c>
      <c r="C1606" s="10" t="s">
        <v>2140</v>
      </c>
      <c r="D1606" s="10" t="s">
        <v>6241</v>
      </c>
      <c r="E1606" s="10" t="s">
        <v>2454</v>
      </c>
    </row>
    <row r="1607" customFormat="false" ht="25.5" hidden="false" customHeight="true" outlineLevel="0" collapsed="false">
      <c r="A1607" s="10" t="s">
        <v>7618</v>
      </c>
      <c r="B1607" s="9" t="n">
        <v>1</v>
      </c>
      <c r="C1607" s="10" t="s">
        <v>4582</v>
      </c>
      <c r="D1607" s="10" t="s">
        <v>7619</v>
      </c>
      <c r="E1607" s="10" t="s">
        <v>4884</v>
      </c>
    </row>
    <row r="1608" customFormat="false" ht="25.5" hidden="false" customHeight="true" outlineLevel="0" collapsed="false">
      <c r="A1608" s="10" t="s">
        <v>7620</v>
      </c>
      <c r="B1608" s="9" t="n">
        <v>1</v>
      </c>
      <c r="C1608" s="10" t="s">
        <v>4582</v>
      </c>
      <c r="D1608" s="10" t="s">
        <v>7619</v>
      </c>
      <c r="E1608" s="10" t="s">
        <v>4884</v>
      </c>
    </row>
    <row r="1609" customFormat="false" ht="25.5" hidden="false" customHeight="true" outlineLevel="0" collapsed="false">
      <c r="A1609" s="10" t="s">
        <v>7621</v>
      </c>
      <c r="B1609" s="9" t="n">
        <v>1</v>
      </c>
      <c r="C1609" s="10" t="s">
        <v>4582</v>
      </c>
      <c r="D1609" s="10" t="s">
        <v>7619</v>
      </c>
      <c r="E1609" s="10" t="s">
        <v>4884</v>
      </c>
    </row>
    <row r="1610" customFormat="false" ht="25.5" hidden="false" customHeight="true" outlineLevel="0" collapsed="false">
      <c r="A1610" s="10" t="s">
        <v>7622</v>
      </c>
      <c r="B1610" s="9" t="n">
        <v>1</v>
      </c>
      <c r="C1610" s="10" t="s">
        <v>837</v>
      </c>
      <c r="D1610" s="10" t="s">
        <v>6291</v>
      </c>
      <c r="E1610" s="10" t="s">
        <v>1204</v>
      </c>
    </row>
    <row r="1611" customFormat="false" ht="25.5" hidden="false" customHeight="true" outlineLevel="0" collapsed="false">
      <c r="A1611" s="10" t="s">
        <v>7623</v>
      </c>
      <c r="B1611" s="9" t="n">
        <v>1</v>
      </c>
      <c r="C1611" s="10" t="s">
        <v>2713</v>
      </c>
      <c r="D1611" s="10" t="s">
        <v>5870</v>
      </c>
      <c r="E1611" s="10" t="s">
        <v>2987</v>
      </c>
    </row>
    <row r="1612" customFormat="false" ht="25.5" hidden="false" customHeight="true" outlineLevel="0" collapsed="false">
      <c r="A1612" s="10" t="s">
        <v>7624</v>
      </c>
      <c r="B1612" s="9" t="n">
        <v>1</v>
      </c>
      <c r="C1612" s="10" t="s">
        <v>3291</v>
      </c>
      <c r="D1612" s="10" t="s">
        <v>7461</v>
      </c>
      <c r="E1612" s="10" t="s">
        <v>3380</v>
      </c>
    </row>
    <row r="1613" customFormat="false" ht="25.5" hidden="false" customHeight="true" outlineLevel="0" collapsed="false">
      <c r="A1613" s="10" t="s">
        <v>7625</v>
      </c>
      <c r="B1613" s="9" t="n">
        <v>1</v>
      </c>
      <c r="C1613" s="10" t="s">
        <v>3291</v>
      </c>
      <c r="D1613" s="10" t="s">
        <v>5940</v>
      </c>
      <c r="E1613" s="10" t="s">
        <v>3433</v>
      </c>
    </row>
    <row r="1614" customFormat="false" ht="25.5" hidden="false" customHeight="true" outlineLevel="0" collapsed="false">
      <c r="A1614" s="10" t="s">
        <v>7626</v>
      </c>
      <c r="B1614" s="9" t="n">
        <v>1</v>
      </c>
      <c r="C1614" s="10" t="s">
        <v>1500</v>
      </c>
      <c r="D1614" s="10" t="s">
        <v>6091</v>
      </c>
      <c r="E1614" s="10" t="s">
        <v>1859</v>
      </c>
    </row>
    <row r="1615" customFormat="false" ht="25.5" hidden="false" customHeight="true" outlineLevel="0" collapsed="false">
      <c r="A1615" s="10" t="s">
        <v>7627</v>
      </c>
      <c r="B1615" s="9" t="n">
        <v>1</v>
      </c>
      <c r="C1615" s="10" t="s">
        <v>59</v>
      </c>
      <c r="D1615" s="10" t="s">
        <v>5979</v>
      </c>
      <c r="E1615" s="10" t="s">
        <v>708</v>
      </c>
    </row>
    <row r="1616" customFormat="false" ht="25.5" hidden="false" customHeight="true" outlineLevel="0" collapsed="false">
      <c r="A1616" s="10" t="s">
        <v>7628</v>
      </c>
      <c r="B1616" s="9" t="n">
        <v>1</v>
      </c>
      <c r="C1616" s="10" t="s">
        <v>2713</v>
      </c>
      <c r="D1616" s="10" t="s">
        <v>6491</v>
      </c>
      <c r="E1616" s="10" t="s">
        <v>3093</v>
      </c>
    </row>
    <row r="1617" customFormat="false" ht="25.5" hidden="false" customHeight="true" outlineLevel="0" collapsed="false">
      <c r="A1617" s="10" t="s">
        <v>7629</v>
      </c>
      <c r="B1617" s="9" t="n">
        <v>1</v>
      </c>
      <c r="C1617" s="10" t="s">
        <v>837</v>
      </c>
      <c r="D1617" s="10" t="s">
        <v>6355</v>
      </c>
      <c r="E1617" s="10" t="s">
        <v>1381</v>
      </c>
    </row>
    <row r="1618" customFormat="false" ht="25.5" hidden="false" customHeight="true" outlineLevel="0" collapsed="false">
      <c r="A1618" s="10" t="s">
        <v>7630</v>
      </c>
      <c r="B1618" s="9" t="n">
        <v>1</v>
      </c>
      <c r="C1618" s="10" t="s">
        <v>4949</v>
      </c>
      <c r="D1618" s="10" t="s">
        <v>6393</v>
      </c>
      <c r="E1618" s="10" t="s">
        <v>5154</v>
      </c>
    </row>
    <row r="1619" customFormat="false" ht="25.5" hidden="false" customHeight="true" outlineLevel="0" collapsed="false">
      <c r="A1619" s="10" t="s">
        <v>7631</v>
      </c>
      <c r="B1619" s="9" t="n">
        <v>1</v>
      </c>
      <c r="C1619" s="10" t="s">
        <v>3291</v>
      </c>
      <c r="D1619" s="10" t="s">
        <v>6714</v>
      </c>
      <c r="E1619" s="10" t="s">
        <v>3722</v>
      </c>
    </row>
    <row r="1620" customFormat="false" ht="25.5" hidden="false" customHeight="true" outlineLevel="0" collapsed="false">
      <c r="A1620" s="10" t="s">
        <v>7632</v>
      </c>
      <c r="B1620" s="9" t="n">
        <v>1</v>
      </c>
      <c r="C1620" s="10" t="s">
        <v>3291</v>
      </c>
      <c r="D1620" s="10" t="s">
        <v>6814</v>
      </c>
      <c r="E1620" s="10" t="s">
        <v>3815</v>
      </c>
    </row>
    <row r="1621" customFormat="false" ht="25.5" hidden="false" customHeight="true" outlineLevel="0" collapsed="false">
      <c r="A1621" s="10" t="s">
        <v>7633</v>
      </c>
      <c r="B1621" s="9" t="n">
        <v>1</v>
      </c>
      <c r="C1621" s="10" t="s">
        <v>2713</v>
      </c>
      <c r="D1621" s="10" t="s">
        <v>6036</v>
      </c>
      <c r="E1621" s="10" t="s">
        <v>2854</v>
      </c>
    </row>
    <row r="1622" customFormat="false" ht="25.5" hidden="false" customHeight="true" outlineLevel="0" collapsed="false">
      <c r="A1622" s="10" t="s">
        <v>7634</v>
      </c>
      <c r="B1622" s="9" t="n">
        <v>1</v>
      </c>
      <c r="C1622" s="10" t="s">
        <v>4949</v>
      </c>
      <c r="D1622" s="10" t="s">
        <v>6606</v>
      </c>
      <c r="E1622" s="10" t="s">
        <v>5207</v>
      </c>
    </row>
    <row r="1623" customFormat="false" ht="25.5" hidden="false" customHeight="true" outlineLevel="0" collapsed="false">
      <c r="A1623" s="10" t="s">
        <v>7635</v>
      </c>
      <c r="B1623" s="9" t="n">
        <v>1</v>
      </c>
      <c r="C1623" s="10" t="s">
        <v>59</v>
      </c>
      <c r="D1623" s="10" t="s">
        <v>235</v>
      </c>
      <c r="E1623" s="10" t="s">
        <v>478</v>
      </c>
    </row>
    <row r="1624" customFormat="false" ht="25.5" hidden="false" customHeight="true" outlineLevel="0" collapsed="false">
      <c r="A1624" s="10" t="s">
        <v>7636</v>
      </c>
      <c r="B1624" s="9" t="n">
        <v>1</v>
      </c>
      <c r="C1624" s="10" t="s">
        <v>59</v>
      </c>
      <c r="D1624" s="10" t="s">
        <v>5858</v>
      </c>
      <c r="E1624" s="10" t="s">
        <v>825</v>
      </c>
    </row>
    <row r="1625" customFormat="false" ht="25.5" hidden="false" customHeight="true" outlineLevel="0" collapsed="false">
      <c r="A1625" s="10" t="s">
        <v>7637</v>
      </c>
      <c r="B1625" s="9" t="n">
        <v>1</v>
      </c>
      <c r="C1625" s="10" t="s">
        <v>4203</v>
      </c>
      <c r="D1625" s="10" t="s">
        <v>4251</v>
      </c>
      <c r="E1625" s="10" t="s">
        <v>4342</v>
      </c>
    </row>
    <row r="1626" customFormat="false" ht="25.5" hidden="false" customHeight="true" outlineLevel="0" collapsed="false">
      <c r="A1626" s="10" t="s">
        <v>7638</v>
      </c>
      <c r="B1626" s="9" t="n">
        <v>1</v>
      </c>
      <c r="C1626" s="10" t="s">
        <v>4949</v>
      </c>
      <c r="D1626" s="10" t="s">
        <v>7118</v>
      </c>
      <c r="E1626" s="10" t="s">
        <v>5288</v>
      </c>
    </row>
    <row r="1627" customFormat="false" ht="25.5" hidden="false" customHeight="true" outlineLevel="0" collapsed="false">
      <c r="A1627" s="10" t="s">
        <v>7639</v>
      </c>
      <c r="B1627" s="9" t="n">
        <v>1</v>
      </c>
      <c r="C1627" s="10" t="s">
        <v>3291</v>
      </c>
      <c r="D1627" s="10" t="s">
        <v>6610</v>
      </c>
      <c r="E1627" s="10" t="s">
        <v>3787</v>
      </c>
    </row>
    <row r="1628" customFormat="false" ht="25.5" hidden="false" customHeight="true" outlineLevel="0" collapsed="false">
      <c r="A1628" s="10" t="s">
        <v>7640</v>
      </c>
      <c r="B1628" s="9" t="n">
        <v>1</v>
      </c>
      <c r="C1628" s="10" t="s">
        <v>59</v>
      </c>
      <c r="D1628" s="10" t="s">
        <v>5788</v>
      </c>
      <c r="E1628" s="10" t="s">
        <v>94</v>
      </c>
    </row>
    <row r="1629" customFormat="false" ht="25.5" hidden="false" customHeight="true" outlineLevel="0" collapsed="false">
      <c r="A1629" s="10" t="s">
        <v>7641</v>
      </c>
      <c r="B1629" s="9" t="n">
        <v>1</v>
      </c>
      <c r="C1629" s="10" t="s">
        <v>59</v>
      </c>
      <c r="D1629" s="10" t="s">
        <v>5788</v>
      </c>
      <c r="E1629" s="10" t="s">
        <v>94</v>
      </c>
    </row>
    <row r="1630" customFormat="false" ht="25.5" hidden="false" customHeight="true" outlineLevel="0" collapsed="false">
      <c r="A1630" s="10" t="s">
        <v>7642</v>
      </c>
      <c r="B1630" s="9" t="n">
        <v>1</v>
      </c>
      <c r="C1630" s="10" t="s">
        <v>59</v>
      </c>
      <c r="D1630" s="10" t="s">
        <v>5788</v>
      </c>
      <c r="E1630" s="10" t="s">
        <v>94</v>
      </c>
    </row>
    <row r="1631" customFormat="false" ht="25.5" hidden="false" customHeight="true" outlineLevel="0" collapsed="false">
      <c r="A1631" s="10" t="s">
        <v>7643</v>
      </c>
      <c r="B1631" s="9" t="n">
        <v>1</v>
      </c>
      <c r="C1631" s="10" t="s">
        <v>2140</v>
      </c>
      <c r="D1631" s="10" t="s">
        <v>6810</v>
      </c>
      <c r="E1631" s="10" t="s">
        <v>2389</v>
      </c>
    </row>
    <row r="1632" customFormat="false" ht="25.5" hidden="false" customHeight="true" outlineLevel="0" collapsed="false">
      <c r="A1632" s="10" t="s">
        <v>7644</v>
      </c>
      <c r="B1632" s="9" t="n">
        <v>1</v>
      </c>
      <c r="C1632" s="10" t="s">
        <v>4949</v>
      </c>
      <c r="D1632" s="10" t="s">
        <v>6393</v>
      </c>
      <c r="E1632" s="10" t="s">
        <v>5154</v>
      </c>
    </row>
    <row r="1633" customFormat="false" ht="25.5" hidden="false" customHeight="true" outlineLevel="0" collapsed="false">
      <c r="A1633" s="10" t="s">
        <v>7645</v>
      </c>
      <c r="B1633" s="9" t="n">
        <v>1</v>
      </c>
      <c r="C1633" s="10" t="s">
        <v>1500</v>
      </c>
      <c r="D1633" s="10" t="s">
        <v>6156</v>
      </c>
      <c r="E1633" s="10" t="s">
        <v>2026</v>
      </c>
    </row>
    <row r="1634" customFormat="false" ht="25.5" hidden="false" customHeight="true" outlineLevel="0" collapsed="false">
      <c r="A1634" s="10" t="s">
        <v>7646</v>
      </c>
      <c r="B1634" s="9" t="n">
        <v>1</v>
      </c>
      <c r="C1634" s="10" t="s">
        <v>3291</v>
      </c>
      <c r="D1634" s="10" t="s">
        <v>7647</v>
      </c>
      <c r="E1634" s="10" t="s">
        <v>3540</v>
      </c>
    </row>
    <row r="1635" customFormat="false" ht="25.5" hidden="false" customHeight="true" outlineLevel="0" collapsed="false">
      <c r="A1635" s="10" t="s">
        <v>7648</v>
      </c>
      <c r="B1635" s="9" t="n">
        <v>1</v>
      </c>
      <c r="C1635" s="10" t="s">
        <v>3291</v>
      </c>
      <c r="D1635" s="10" t="s">
        <v>7647</v>
      </c>
      <c r="E1635" s="10" t="s">
        <v>3540</v>
      </c>
    </row>
    <row r="1636" customFormat="false" ht="25.5" hidden="false" customHeight="true" outlineLevel="0" collapsed="false">
      <c r="A1636" s="10" t="s">
        <v>7649</v>
      </c>
      <c r="B1636" s="9" t="n">
        <v>1</v>
      </c>
      <c r="C1636" s="10" t="s">
        <v>59</v>
      </c>
      <c r="D1636" s="10" t="s">
        <v>235</v>
      </c>
      <c r="E1636" s="10" t="s">
        <v>466</v>
      </c>
    </row>
    <row r="1637" customFormat="false" ht="25.5" hidden="false" customHeight="true" outlineLevel="0" collapsed="false">
      <c r="A1637" s="10" t="s">
        <v>7650</v>
      </c>
      <c r="B1637" s="9" t="n">
        <v>1</v>
      </c>
      <c r="C1637" s="10" t="s">
        <v>2713</v>
      </c>
      <c r="D1637" s="10" t="s">
        <v>6051</v>
      </c>
      <c r="E1637" s="10" t="s">
        <v>3207</v>
      </c>
    </row>
    <row r="1638" customFormat="false" ht="25.5" hidden="false" customHeight="true" outlineLevel="0" collapsed="false">
      <c r="A1638" s="10" t="s">
        <v>7651</v>
      </c>
      <c r="B1638" s="9" t="n">
        <v>1</v>
      </c>
      <c r="C1638" s="10" t="s">
        <v>59</v>
      </c>
      <c r="D1638" s="10" t="s">
        <v>5699</v>
      </c>
      <c r="E1638" s="10" t="s">
        <v>316</v>
      </c>
    </row>
    <row r="1639" customFormat="false" ht="25.5" hidden="false" customHeight="true" outlineLevel="0" collapsed="false">
      <c r="A1639" s="10" t="s">
        <v>7652</v>
      </c>
      <c r="B1639" s="9" t="n">
        <v>1</v>
      </c>
      <c r="C1639" s="10" t="s">
        <v>59</v>
      </c>
      <c r="D1639" s="10" t="s">
        <v>5814</v>
      </c>
      <c r="E1639" s="10" t="s">
        <v>279</v>
      </c>
    </row>
    <row r="1640" customFormat="false" ht="25.5" hidden="false" customHeight="true" outlineLevel="0" collapsed="false">
      <c r="A1640" s="10" t="s">
        <v>7653</v>
      </c>
      <c r="B1640" s="9" t="n">
        <v>1</v>
      </c>
      <c r="C1640" s="10" t="s">
        <v>2713</v>
      </c>
      <c r="D1640" s="10" t="s">
        <v>5979</v>
      </c>
      <c r="E1640" s="10" t="s">
        <v>3156</v>
      </c>
    </row>
    <row r="1641" customFormat="false" ht="25.5" hidden="false" customHeight="true" outlineLevel="0" collapsed="false">
      <c r="A1641" s="10" t="s">
        <v>7654</v>
      </c>
      <c r="B1641" s="9" t="n">
        <v>1</v>
      </c>
      <c r="C1641" s="10" t="s">
        <v>2713</v>
      </c>
      <c r="D1641" s="10" t="s">
        <v>6097</v>
      </c>
      <c r="E1641" s="10" t="s">
        <v>3011</v>
      </c>
    </row>
    <row r="1642" customFormat="false" ht="25.5" hidden="false" customHeight="true" outlineLevel="0" collapsed="false">
      <c r="A1642" s="10" t="s">
        <v>7655</v>
      </c>
      <c r="B1642" s="9" t="n">
        <v>1</v>
      </c>
      <c r="C1642" s="10" t="s">
        <v>2140</v>
      </c>
      <c r="D1642" s="10" t="s">
        <v>6385</v>
      </c>
      <c r="E1642" s="10" t="s">
        <v>2583</v>
      </c>
    </row>
    <row r="1643" customFormat="false" ht="25.5" hidden="false" customHeight="true" outlineLevel="0" collapsed="false">
      <c r="A1643" s="10" t="s">
        <v>7656</v>
      </c>
      <c r="B1643" s="9" t="n">
        <v>1</v>
      </c>
      <c r="C1643" s="10" t="s">
        <v>3291</v>
      </c>
      <c r="D1643" s="10" t="s">
        <v>5894</v>
      </c>
      <c r="E1643" s="10" t="s">
        <v>3407</v>
      </c>
    </row>
    <row r="1644" customFormat="false" ht="25.5" hidden="false" customHeight="true" outlineLevel="0" collapsed="false">
      <c r="A1644" s="10" t="s">
        <v>7657</v>
      </c>
      <c r="B1644" s="9" t="n">
        <v>1</v>
      </c>
      <c r="C1644" s="10" t="s">
        <v>3291</v>
      </c>
      <c r="D1644" s="10" t="s">
        <v>6610</v>
      </c>
      <c r="E1644" s="10" t="s">
        <v>3787</v>
      </c>
    </row>
    <row r="1645" customFormat="false" ht="25.5" hidden="false" customHeight="true" outlineLevel="0" collapsed="false">
      <c r="A1645" s="10" t="s">
        <v>7658</v>
      </c>
      <c r="B1645" s="9" t="n">
        <v>1</v>
      </c>
      <c r="C1645" s="10" t="s">
        <v>837</v>
      </c>
      <c r="D1645" s="10" t="s">
        <v>6411</v>
      </c>
      <c r="E1645" s="10" t="s">
        <v>1473</v>
      </c>
    </row>
    <row r="1646" customFormat="false" ht="25.5" hidden="false" customHeight="true" outlineLevel="0" collapsed="false">
      <c r="A1646" s="10" t="s">
        <v>7659</v>
      </c>
      <c r="B1646" s="9" t="n">
        <v>1</v>
      </c>
      <c r="C1646" s="10" t="s">
        <v>59</v>
      </c>
      <c r="D1646" s="10" t="s">
        <v>6407</v>
      </c>
      <c r="E1646" s="10" t="s">
        <v>251</v>
      </c>
    </row>
    <row r="1647" customFormat="false" ht="25.5" hidden="false" customHeight="true" outlineLevel="0" collapsed="false">
      <c r="A1647" s="10" t="s">
        <v>7660</v>
      </c>
      <c r="B1647" s="9" t="n">
        <v>1</v>
      </c>
      <c r="C1647" s="10" t="s">
        <v>3291</v>
      </c>
      <c r="D1647" s="10" t="s">
        <v>5940</v>
      </c>
      <c r="E1647" s="10" t="s">
        <v>3433</v>
      </c>
    </row>
    <row r="1648" customFormat="false" ht="25.5" hidden="false" customHeight="true" outlineLevel="0" collapsed="false">
      <c r="A1648" s="10" t="s">
        <v>7661</v>
      </c>
      <c r="B1648" s="9" t="n">
        <v>1</v>
      </c>
      <c r="C1648" s="10" t="s">
        <v>59</v>
      </c>
      <c r="D1648" s="10" t="s">
        <v>6030</v>
      </c>
      <c r="E1648" s="10" t="s">
        <v>391</v>
      </c>
    </row>
    <row r="1649" customFormat="false" ht="25.5" hidden="false" customHeight="true" outlineLevel="0" collapsed="false">
      <c r="A1649" s="10" t="s">
        <v>7662</v>
      </c>
      <c r="B1649" s="9" t="n">
        <v>1</v>
      </c>
      <c r="C1649" s="10" t="s">
        <v>59</v>
      </c>
      <c r="D1649" s="10" t="s">
        <v>5858</v>
      </c>
      <c r="E1649" s="10" t="s">
        <v>404</v>
      </c>
    </row>
    <row r="1650" customFormat="false" ht="25.5" hidden="false" customHeight="true" outlineLevel="0" collapsed="false">
      <c r="A1650" s="10" t="s">
        <v>7663</v>
      </c>
      <c r="B1650" s="9" t="n">
        <v>1</v>
      </c>
      <c r="C1650" s="10" t="s">
        <v>4949</v>
      </c>
      <c r="D1650" s="10" t="s">
        <v>7118</v>
      </c>
      <c r="E1650" s="10" t="s">
        <v>5288</v>
      </c>
    </row>
    <row r="1651" customFormat="false" ht="25.5" hidden="false" customHeight="true" outlineLevel="0" collapsed="false">
      <c r="A1651" s="10" t="s">
        <v>7664</v>
      </c>
      <c r="B1651" s="9" t="n">
        <v>1</v>
      </c>
      <c r="C1651" s="10" t="s">
        <v>1500</v>
      </c>
      <c r="D1651" s="10" t="s">
        <v>6694</v>
      </c>
      <c r="E1651" s="10" t="s">
        <v>1615</v>
      </c>
    </row>
    <row r="1652" customFormat="false" ht="25.5" hidden="false" customHeight="true" outlineLevel="0" collapsed="false">
      <c r="A1652" s="10" t="s">
        <v>7665</v>
      </c>
      <c r="B1652" s="9" t="n">
        <v>1</v>
      </c>
      <c r="C1652" s="10" t="s">
        <v>4949</v>
      </c>
      <c r="D1652" s="10" t="s">
        <v>6043</v>
      </c>
      <c r="E1652" s="10" t="s">
        <v>5044</v>
      </c>
    </row>
    <row r="1653" customFormat="false" ht="25.5" hidden="false" customHeight="true" outlineLevel="0" collapsed="false">
      <c r="A1653" s="10" t="s">
        <v>7666</v>
      </c>
      <c r="B1653" s="9" t="n">
        <v>1</v>
      </c>
      <c r="C1653" s="10" t="s">
        <v>4949</v>
      </c>
      <c r="D1653" s="10" t="s">
        <v>7115</v>
      </c>
      <c r="E1653" s="10" t="s">
        <v>5098</v>
      </c>
    </row>
    <row r="1654" customFormat="false" ht="25.5" hidden="false" customHeight="true" outlineLevel="0" collapsed="false">
      <c r="A1654" s="10" t="s">
        <v>7667</v>
      </c>
      <c r="B1654" s="9" t="n">
        <v>1</v>
      </c>
      <c r="C1654" s="10" t="s">
        <v>2713</v>
      </c>
      <c r="D1654" s="10" t="s">
        <v>6260</v>
      </c>
      <c r="E1654" s="10" t="s">
        <v>2783</v>
      </c>
    </row>
    <row r="1655" customFormat="false" ht="25.5" hidden="false" customHeight="true" outlineLevel="0" collapsed="false">
      <c r="A1655" s="10" t="s">
        <v>7668</v>
      </c>
      <c r="B1655" s="9" t="n">
        <v>1</v>
      </c>
      <c r="C1655" s="10" t="s">
        <v>59</v>
      </c>
      <c r="D1655" s="10" t="s">
        <v>6030</v>
      </c>
      <c r="E1655" s="10" t="s">
        <v>391</v>
      </c>
    </row>
    <row r="1656" customFormat="false" ht="25.5" hidden="false" customHeight="true" outlineLevel="0" collapsed="false">
      <c r="A1656" s="10" t="s">
        <v>7669</v>
      </c>
      <c r="B1656" s="9" t="n">
        <v>1</v>
      </c>
      <c r="C1656" s="10" t="s">
        <v>59</v>
      </c>
      <c r="D1656" s="10" t="s">
        <v>6555</v>
      </c>
      <c r="E1656" s="10" t="s">
        <v>652</v>
      </c>
    </row>
    <row r="1657" customFormat="false" ht="25.5" hidden="false" customHeight="true" outlineLevel="0" collapsed="false">
      <c r="A1657" s="10" t="s">
        <v>7670</v>
      </c>
      <c r="B1657" s="9" t="n">
        <v>1</v>
      </c>
      <c r="C1657" s="10" t="s">
        <v>2713</v>
      </c>
      <c r="D1657" s="10" t="s">
        <v>6352</v>
      </c>
      <c r="E1657" s="10" t="s">
        <v>3168</v>
      </c>
    </row>
    <row r="1658" customFormat="false" ht="25.5" hidden="false" customHeight="true" outlineLevel="0" collapsed="false">
      <c r="A1658" s="10" t="s">
        <v>7671</v>
      </c>
      <c r="B1658" s="9" t="n">
        <v>1</v>
      </c>
      <c r="C1658" s="10" t="s">
        <v>59</v>
      </c>
      <c r="D1658" s="10" t="s">
        <v>5907</v>
      </c>
      <c r="E1658" s="10" t="s">
        <v>512</v>
      </c>
    </row>
    <row r="1659" customFormat="false" ht="25.5" hidden="false" customHeight="true" outlineLevel="0" collapsed="false">
      <c r="A1659" s="10" t="s">
        <v>7672</v>
      </c>
      <c r="B1659" s="9" t="n">
        <v>1</v>
      </c>
      <c r="C1659" s="10" t="s">
        <v>3842</v>
      </c>
      <c r="D1659" s="10" t="s">
        <v>6258</v>
      </c>
      <c r="E1659" s="10" t="s">
        <v>4162</v>
      </c>
    </row>
    <row r="1660" customFormat="false" ht="25.5" hidden="false" customHeight="true" outlineLevel="0" collapsed="false">
      <c r="A1660" s="10" t="s">
        <v>7673</v>
      </c>
      <c r="B1660" s="9" t="n">
        <v>1</v>
      </c>
      <c r="C1660" s="10" t="s">
        <v>2140</v>
      </c>
      <c r="D1660" s="10" t="s">
        <v>7030</v>
      </c>
      <c r="E1660" s="10" t="s">
        <v>2608</v>
      </c>
    </row>
    <row r="1661" customFormat="false" ht="25.5" hidden="false" customHeight="true" outlineLevel="0" collapsed="false">
      <c r="A1661" s="10" t="s">
        <v>7674</v>
      </c>
      <c r="B1661" s="9" t="n">
        <v>1</v>
      </c>
      <c r="C1661" s="10" t="s">
        <v>2713</v>
      </c>
      <c r="D1661" s="10" t="s">
        <v>6125</v>
      </c>
      <c r="E1661" s="10" t="s">
        <v>3279</v>
      </c>
    </row>
    <row r="1662" customFormat="false" ht="25.5" hidden="false" customHeight="true" outlineLevel="0" collapsed="false">
      <c r="A1662" s="10" t="s">
        <v>7675</v>
      </c>
      <c r="B1662" s="9" t="n">
        <v>1</v>
      </c>
      <c r="C1662" s="10" t="s">
        <v>59</v>
      </c>
      <c r="D1662" s="10" t="s">
        <v>6148</v>
      </c>
      <c r="E1662" s="10" t="s">
        <v>759</v>
      </c>
    </row>
    <row r="1663" customFormat="false" ht="25.5" hidden="false" customHeight="true" outlineLevel="0" collapsed="false">
      <c r="A1663" s="10" t="s">
        <v>7676</v>
      </c>
      <c r="B1663" s="9" t="n">
        <v>1</v>
      </c>
      <c r="C1663" s="10" t="s">
        <v>59</v>
      </c>
      <c r="D1663" s="10" t="s">
        <v>6148</v>
      </c>
      <c r="E1663" s="10" t="s">
        <v>759</v>
      </c>
    </row>
    <row r="1664" customFormat="false" ht="25.5" hidden="false" customHeight="true" outlineLevel="0" collapsed="false">
      <c r="A1664" s="10" t="s">
        <v>7677</v>
      </c>
      <c r="B1664" s="9" t="n">
        <v>1</v>
      </c>
      <c r="C1664" s="10" t="s">
        <v>4949</v>
      </c>
      <c r="D1664" s="10" t="s">
        <v>5149</v>
      </c>
      <c r="E1664" s="10" t="s">
        <v>5140</v>
      </c>
    </row>
    <row r="1665" customFormat="false" ht="25.5" hidden="false" customHeight="true" outlineLevel="0" collapsed="false">
      <c r="A1665" s="10" t="s">
        <v>7678</v>
      </c>
      <c r="B1665" s="9" t="n">
        <v>1</v>
      </c>
      <c r="C1665" s="10" t="s">
        <v>4949</v>
      </c>
      <c r="D1665" s="10" t="s">
        <v>5149</v>
      </c>
      <c r="E1665" s="10" t="s">
        <v>5140</v>
      </c>
    </row>
    <row r="1666" customFormat="false" ht="25.5" hidden="false" customHeight="true" outlineLevel="0" collapsed="false">
      <c r="A1666" s="10" t="s">
        <v>7679</v>
      </c>
      <c r="B1666" s="9" t="n">
        <v>1</v>
      </c>
      <c r="C1666" s="10" t="s">
        <v>4949</v>
      </c>
      <c r="D1666" s="10" t="s">
        <v>5149</v>
      </c>
      <c r="E1666" s="10" t="s">
        <v>5140</v>
      </c>
    </row>
    <row r="1667" customFormat="false" ht="25.5" hidden="false" customHeight="true" outlineLevel="0" collapsed="false">
      <c r="A1667" s="10" t="s">
        <v>7680</v>
      </c>
      <c r="B1667" s="9" t="n">
        <v>1</v>
      </c>
      <c r="C1667" s="10" t="s">
        <v>59</v>
      </c>
      <c r="D1667" s="10" t="s">
        <v>6057</v>
      </c>
      <c r="E1667" s="10" t="s">
        <v>811</v>
      </c>
    </row>
    <row r="1668" customFormat="false" ht="25.5" hidden="false" customHeight="true" outlineLevel="0" collapsed="false">
      <c r="A1668" s="10" t="s">
        <v>7681</v>
      </c>
      <c r="B1668" s="9" t="n">
        <v>1</v>
      </c>
      <c r="C1668" s="10" t="s">
        <v>3842</v>
      </c>
      <c r="D1668" s="10" t="s">
        <v>6106</v>
      </c>
      <c r="E1668" s="10" t="s">
        <v>4099</v>
      </c>
    </row>
    <row r="1669" customFormat="false" ht="25.5" hidden="false" customHeight="true" outlineLevel="0" collapsed="false">
      <c r="A1669" s="10" t="s">
        <v>7682</v>
      </c>
      <c r="B1669" s="9" t="n">
        <v>1</v>
      </c>
      <c r="C1669" s="10" t="s">
        <v>837</v>
      </c>
      <c r="D1669" s="10" t="s">
        <v>6411</v>
      </c>
      <c r="E1669" s="10" t="s">
        <v>1473</v>
      </c>
    </row>
    <row r="1670" customFormat="false" ht="25.5" hidden="false" customHeight="true" outlineLevel="0" collapsed="false">
      <c r="A1670" s="10" t="s">
        <v>7683</v>
      </c>
      <c r="B1670" s="9" t="n">
        <v>1</v>
      </c>
      <c r="C1670" s="10" t="s">
        <v>2713</v>
      </c>
      <c r="D1670" s="10" t="s">
        <v>7191</v>
      </c>
      <c r="E1670" s="10" t="s">
        <v>2726</v>
      </c>
    </row>
    <row r="1671" customFormat="false" ht="25.5" hidden="false" customHeight="true" outlineLevel="0" collapsed="false">
      <c r="A1671" s="10" t="s">
        <v>7684</v>
      </c>
      <c r="B1671" s="9" t="n">
        <v>1</v>
      </c>
      <c r="C1671" s="10" t="s">
        <v>2713</v>
      </c>
      <c r="D1671" s="10" t="s">
        <v>6036</v>
      </c>
      <c r="E1671" s="10" t="s">
        <v>2867</v>
      </c>
    </row>
    <row r="1672" customFormat="false" ht="25.5" hidden="false" customHeight="true" outlineLevel="0" collapsed="false">
      <c r="A1672" s="10" t="s">
        <v>7685</v>
      </c>
      <c r="B1672" s="9" t="n">
        <v>1</v>
      </c>
      <c r="C1672" s="10" t="s">
        <v>2140</v>
      </c>
      <c r="D1672" s="10" t="s">
        <v>6810</v>
      </c>
      <c r="E1672" s="10" t="s">
        <v>2389</v>
      </c>
    </row>
    <row r="1673" customFormat="false" ht="25.5" hidden="false" customHeight="true" outlineLevel="0" collapsed="false">
      <c r="A1673" s="10" t="s">
        <v>7686</v>
      </c>
      <c r="B1673" s="9" t="n">
        <v>1</v>
      </c>
      <c r="C1673" s="10" t="s">
        <v>2713</v>
      </c>
      <c r="D1673" s="10" t="s">
        <v>6491</v>
      </c>
      <c r="E1673" s="10" t="s">
        <v>3093</v>
      </c>
    </row>
    <row r="1674" customFormat="false" ht="25.5" hidden="false" customHeight="true" outlineLevel="0" collapsed="false">
      <c r="A1674" s="10" t="s">
        <v>7687</v>
      </c>
      <c r="B1674" s="9" t="n">
        <v>1</v>
      </c>
      <c r="C1674" s="10" t="s">
        <v>59</v>
      </c>
      <c r="D1674" s="10" t="s">
        <v>5731</v>
      </c>
      <c r="E1674" s="10" t="s">
        <v>328</v>
      </c>
    </row>
    <row r="1675" customFormat="false" ht="25.5" hidden="false" customHeight="true" outlineLevel="0" collapsed="false">
      <c r="A1675" s="10" t="s">
        <v>7688</v>
      </c>
      <c r="B1675" s="9" t="n">
        <v>1</v>
      </c>
      <c r="C1675" s="10" t="s">
        <v>59</v>
      </c>
      <c r="D1675" s="10" t="s">
        <v>5858</v>
      </c>
      <c r="E1675" s="10" t="s">
        <v>404</v>
      </c>
    </row>
    <row r="1676" customFormat="false" ht="25.5" hidden="false" customHeight="true" outlineLevel="0" collapsed="false">
      <c r="A1676" s="10" t="s">
        <v>7689</v>
      </c>
      <c r="B1676" s="9" t="n">
        <v>1</v>
      </c>
      <c r="C1676" s="10" t="s">
        <v>2713</v>
      </c>
      <c r="D1676" s="10" t="s">
        <v>6036</v>
      </c>
      <c r="E1676" s="10" t="s">
        <v>2854</v>
      </c>
    </row>
    <row r="1677" customFormat="false" ht="25.5" hidden="false" customHeight="true" outlineLevel="0" collapsed="false">
      <c r="A1677" s="10" t="s">
        <v>7690</v>
      </c>
      <c r="B1677" s="9" t="n">
        <v>1</v>
      </c>
      <c r="C1677" s="10" t="s">
        <v>2713</v>
      </c>
      <c r="D1677" s="10" t="s">
        <v>6108</v>
      </c>
      <c r="E1677" s="10" t="s">
        <v>2762</v>
      </c>
    </row>
    <row r="1678" customFormat="false" ht="25.5" hidden="false" customHeight="true" outlineLevel="0" collapsed="false">
      <c r="A1678" s="10" t="s">
        <v>7691</v>
      </c>
      <c r="B1678" s="9" t="n">
        <v>1</v>
      </c>
      <c r="C1678" s="10" t="s">
        <v>837</v>
      </c>
      <c r="D1678" s="10" t="s">
        <v>5609</v>
      </c>
      <c r="E1678" s="10" t="s">
        <v>1395</v>
      </c>
    </row>
    <row r="1679" customFormat="false" ht="25.5" hidden="false" customHeight="true" outlineLevel="0" collapsed="false">
      <c r="A1679" s="10" t="s">
        <v>7692</v>
      </c>
      <c r="B1679" s="9" t="n">
        <v>1</v>
      </c>
      <c r="C1679" s="10" t="s">
        <v>837</v>
      </c>
      <c r="D1679" s="10" t="s">
        <v>5609</v>
      </c>
      <c r="E1679" s="10" t="s">
        <v>1395</v>
      </c>
    </row>
    <row r="1680" customFormat="false" ht="25.5" hidden="false" customHeight="true" outlineLevel="0" collapsed="false">
      <c r="A1680" s="10" t="s">
        <v>7693</v>
      </c>
      <c r="B1680" s="9" t="n">
        <v>1</v>
      </c>
      <c r="C1680" s="10" t="s">
        <v>59</v>
      </c>
      <c r="D1680" s="10" t="s">
        <v>6132</v>
      </c>
      <c r="E1680" s="10" t="s">
        <v>721</v>
      </c>
    </row>
    <row r="1681" customFormat="false" ht="25.5" hidden="false" customHeight="true" outlineLevel="0" collapsed="false">
      <c r="A1681" s="10" t="s">
        <v>7694</v>
      </c>
      <c r="B1681" s="9" t="n">
        <v>1</v>
      </c>
      <c r="C1681" s="10" t="s">
        <v>2713</v>
      </c>
      <c r="D1681" s="10" t="s">
        <v>6300</v>
      </c>
      <c r="E1681" s="10" t="s">
        <v>3254</v>
      </c>
    </row>
    <row r="1682" customFormat="false" ht="25.5" hidden="false" customHeight="true" outlineLevel="0" collapsed="false">
      <c r="A1682" s="10" t="s">
        <v>7695</v>
      </c>
      <c r="B1682" s="9" t="n">
        <v>1</v>
      </c>
      <c r="C1682" s="10" t="s">
        <v>2713</v>
      </c>
      <c r="D1682" s="10" t="s">
        <v>6108</v>
      </c>
      <c r="E1682" s="10" t="s">
        <v>2750</v>
      </c>
    </row>
    <row r="1683" customFormat="false" ht="25.5" hidden="false" customHeight="true" outlineLevel="0" collapsed="false">
      <c r="A1683" s="10" t="s">
        <v>7696</v>
      </c>
      <c r="B1683" s="9" t="n">
        <v>1</v>
      </c>
      <c r="C1683" s="10" t="s">
        <v>837</v>
      </c>
      <c r="D1683" s="10" t="s">
        <v>5609</v>
      </c>
      <c r="E1683" s="10" t="s">
        <v>1395</v>
      </c>
    </row>
    <row r="1684" customFormat="false" ht="25.5" hidden="false" customHeight="true" outlineLevel="0" collapsed="false">
      <c r="A1684" s="10" t="s">
        <v>7697</v>
      </c>
      <c r="B1684" s="9" t="n">
        <v>1</v>
      </c>
      <c r="C1684" s="10" t="s">
        <v>837</v>
      </c>
      <c r="D1684" s="10" t="s">
        <v>6317</v>
      </c>
      <c r="E1684" s="10" t="s">
        <v>1272</v>
      </c>
    </row>
    <row r="1685" customFormat="false" ht="25.5" hidden="false" customHeight="true" outlineLevel="0" collapsed="false">
      <c r="A1685" s="10" t="s">
        <v>7698</v>
      </c>
      <c r="B1685" s="9" t="n">
        <v>1</v>
      </c>
      <c r="C1685" s="10" t="s">
        <v>1500</v>
      </c>
      <c r="D1685" s="10" t="s">
        <v>7699</v>
      </c>
      <c r="E1685" s="10" t="s">
        <v>2000</v>
      </c>
    </row>
    <row r="1686" customFormat="false" ht="25.5" hidden="false" customHeight="true" outlineLevel="0" collapsed="false">
      <c r="A1686" s="10" t="s">
        <v>7700</v>
      </c>
      <c r="B1686" s="9" t="n">
        <v>1</v>
      </c>
      <c r="C1686" s="10" t="s">
        <v>1500</v>
      </c>
      <c r="D1686" s="10" t="s">
        <v>7699</v>
      </c>
      <c r="E1686" s="10" t="s">
        <v>2000</v>
      </c>
    </row>
    <row r="1687" customFormat="false" ht="25.5" hidden="false" customHeight="true" outlineLevel="0" collapsed="false">
      <c r="A1687" s="10" t="s">
        <v>7701</v>
      </c>
      <c r="B1687" s="9" t="n">
        <v>1</v>
      </c>
      <c r="C1687" s="10" t="s">
        <v>1500</v>
      </c>
      <c r="D1687" s="10" t="s">
        <v>7699</v>
      </c>
      <c r="E1687" s="10" t="s">
        <v>2000</v>
      </c>
    </row>
    <row r="1688" customFormat="false" ht="25.5" hidden="false" customHeight="true" outlineLevel="0" collapsed="false">
      <c r="A1688" s="10" t="s">
        <v>7702</v>
      </c>
      <c r="B1688" s="9" t="n">
        <v>1</v>
      </c>
      <c r="C1688" s="10" t="s">
        <v>837</v>
      </c>
      <c r="D1688" s="10" t="s">
        <v>6232</v>
      </c>
      <c r="E1688" s="10" t="s">
        <v>1162</v>
      </c>
    </row>
    <row r="1689" customFormat="false" ht="25.5" hidden="false" customHeight="true" outlineLevel="0" collapsed="false">
      <c r="A1689" s="10" t="s">
        <v>7703</v>
      </c>
      <c r="B1689" s="9" t="n">
        <v>1</v>
      </c>
      <c r="C1689" s="10" t="s">
        <v>1500</v>
      </c>
      <c r="D1689" s="10" t="s">
        <v>7699</v>
      </c>
      <c r="E1689" s="10" t="s">
        <v>2000</v>
      </c>
    </row>
    <row r="1690" customFormat="false" ht="25.5" hidden="false" customHeight="true" outlineLevel="0" collapsed="false">
      <c r="A1690" s="10" t="s">
        <v>7704</v>
      </c>
      <c r="B1690" s="9" t="n">
        <v>1</v>
      </c>
      <c r="C1690" s="10" t="s">
        <v>59</v>
      </c>
      <c r="D1690" s="10" t="s">
        <v>6179</v>
      </c>
      <c r="E1690" s="10" t="s">
        <v>573</v>
      </c>
    </row>
    <row r="1691" customFormat="false" ht="25.5" hidden="false" customHeight="true" outlineLevel="0" collapsed="false">
      <c r="A1691" s="10" t="s">
        <v>7705</v>
      </c>
      <c r="B1691" s="9" t="n">
        <v>1</v>
      </c>
      <c r="C1691" s="10" t="s">
        <v>2713</v>
      </c>
      <c r="D1691" s="10" t="s">
        <v>5870</v>
      </c>
      <c r="E1691" s="10" t="s">
        <v>2806</v>
      </c>
    </row>
    <row r="1692" customFormat="false" ht="25.5" hidden="false" customHeight="true" outlineLevel="0" collapsed="false">
      <c r="A1692" s="10" t="s">
        <v>7706</v>
      </c>
      <c r="B1692" s="9" t="n">
        <v>1</v>
      </c>
      <c r="C1692" s="10" t="s">
        <v>2713</v>
      </c>
      <c r="D1692" s="10" t="s">
        <v>5870</v>
      </c>
      <c r="E1692" s="10" t="s">
        <v>2806</v>
      </c>
    </row>
    <row r="1693" customFormat="false" ht="25.5" hidden="false" customHeight="true" outlineLevel="0" collapsed="false">
      <c r="A1693" s="10" t="s">
        <v>7707</v>
      </c>
      <c r="B1693" s="9" t="n">
        <v>1</v>
      </c>
      <c r="C1693" s="10" t="s">
        <v>3291</v>
      </c>
      <c r="D1693" s="10" t="s">
        <v>5993</v>
      </c>
      <c r="E1693" s="10" t="s">
        <v>3367</v>
      </c>
    </row>
    <row r="1694" customFormat="false" ht="25.5" hidden="false" customHeight="true" outlineLevel="0" collapsed="false">
      <c r="A1694" s="10" t="s">
        <v>7708</v>
      </c>
      <c r="B1694" s="9" t="n">
        <v>1</v>
      </c>
      <c r="C1694" s="10" t="s">
        <v>837</v>
      </c>
      <c r="D1694" s="10" t="s">
        <v>7201</v>
      </c>
      <c r="E1694" s="10" t="s">
        <v>863</v>
      </c>
    </row>
    <row r="1695" customFormat="false" ht="25.5" hidden="false" customHeight="true" outlineLevel="0" collapsed="false">
      <c r="A1695" s="10" t="s">
        <v>7709</v>
      </c>
      <c r="B1695" s="9" t="n">
        <v>1</v>
      </c>
      <c r="C1695" s="10" t="s">
        <v>837</v>
      </c>
      <c r="D1695" s="10" t="s">
        <v>7199</v>
      </c>
      <c r="E1695" s="10" t="s">
        <v>1008</v>
      </c>
    </row>
    <row r="1696" customFormat="false" ht="25.5" hidden="false" customHeight="true" outlineLevel="0" collapsed="false">
      <c r="A1696" s="10" t="s">
        <v>7710</v>
      </c>
      <c r="B1696" s="9" t="n">
        <v>1</v>
      </c>
      <c r="C1696" s="10" t="s">
        <v>837</v>
      </c>
      <c r="D1696" s="10" t="s">
        <v>7199</v>
      </c>
      <c r="E1696" s="10" t="s">
        <v>1008</v>
      </c>
    </row>
    <row r="1697" customFormat="false" ht="25.5" hidden="false" customHeight="true" outlineLevel="0" collapsed="false">
      <c r="A1697" s="10" t="s">
        <v>7711</v>
      </c>
      <c r="B1697" s="9" t="n">
        <v>1</v>
      </c>
      <c r="C1697" s="10" t="s">
        <v>59</v>
      </c>
      <c r="D1697" s="10" t="s">
        <v>5904</v>
      </c>
      <c r="E1697" s="10" t="s">
        <v>164</v>
      </c>
    </row>
    <row r="1698" customFormat="false" ht="25.5" hidden="false" customHeight="true" outlineLevel="0" collapsed="false">
      <c r="A1698" s="10" t="s">
        <v>7712</v>
      </c>
      <c r="B1698" s="9" t="n">
        <v>1</v>
      </c>
      <c r="C1698" s="10" t="s">
        <v>837</v>
      </c>
      <c r="D1698" s="10" t="s">
        <v>7199</v>
      </c>
      <c r="E1698" s="10" t="s">
        <v>1008</v>
      </c>
    </row>
    <row r="1699" customFormat="false" ht="25.5" hidden="false" customHeight="true" outlineLevel="0" collapsed="false">
      <c r="A1699" s="10" t="s">
        <v>7713</v>
      </c>
      <c r="B1699" s="9" t="n">
        <v>1</v>
      </c>
      <c r="C1699" s="10" t="s">
        <v>1500</v>
      </c>
      <c r="D1699" s="10" t="s">
        <v>7714</v>
      </c>
      <c r="E1699" s="10" t="s">
        <v>1743</v>
      </c>
    </row>
    <row r="1700" customFormat="false" ht="25.5" hidden="false" customHeight="true" outlineLevel="0" collapsed="false">
      <c r="A1700" s="10" t="s">
        <v>7715</v>
      </c>
      <c r="B1700" s="9" t="n">
        <v>1</v>
      </c>
      <c r="C1700" s="10" t="s">
        <v>59</v>
      </c>
      <c r="D1700" s="10" t="s">
        <v>5814</v>
      </c>
      <c r="E1700" s="10" t="s">
        <v>291</v>
      </c>
    </row>
    <row r="1701" customFormat="false" ht="25.5" hidden="false" customHeight="true" outlineLevel="0" collapsed="false">
      <c r="A1701" s="10" t="s">
        <v>7716</v>
      </c>
      <c r="B1701" s="9" t="n">
        <v>1</v>
      </c>
      <c r="C1701" s="10" t="s">
        <v>4203</v>
      </c>
      <c r="D1701" s="10" t="s">
        <v>4448</v>
      </c>
      <c r="E1701" s="10" t="s">
        <v>4441</v>
      </c>
    </row>
    <row r="1702" customFormat="false" ht="25.5" hidden="false" customHeight="true" outlineLevel="0" collapsed="false">
      <c r="A1702" s="10" t="s">
        <v>7717</v>
      </c>
      <c r="B1702" s="9" t="n">
        <v>1</v>
      </c>
      <c r="C1702" s="10" t="s">
        <v>837</v>
      </c>
      <c r="D1702" s="10" t="s">
        <v>6317</v>
      </c>
      <c r="E1702" s="10" t="s">
        <v>1272</v>
      </c>
    </row>
    <row r="1703" customFormat="false" ht="25.5" hidden="false" customHeight="true" outlineLevel="0" collapsed="false">
      <c r="A1703" s="10" t="s">
        <v>7718</v>
      </c>
      <c r="B1703" s="9" t="n">
        <v>1</v>
      </c>
      <c r="C1703" s="10" t="s">
        <v>3291</v>
      </c>
      <c r="D1703" s="10" t="s">
        <v>7339</v>
      </c>
      <c r="E1703" s="10" t="s">
        <v>3618</v>
      </c>
    </row>
    <row r="1704" customFormat="false" ht="25.5" hidden="false" customHeight="true" outlineLevel="0" collapsed="false">
      <c r="A1704" s="10" t="s">
        <v>7719</v>
      </c>
      <c r="B1704" s="9" t="n">
        <v>1</v>
      </c>
      <c r="C1704" s="10" t="s">
        <v>3291</v>
      </c>
      <c r="D1704" s="10" t="s">
        <v>7339</v>
      </c>
      <c r="E1704" s="10" t="s">
        <v>3618</v>
      </c>
    </row>
    <row r="1705" customFormat="false" ht="25.5" hidden="false" customHeight="true" outlineLevel="0" collapsed="false">
      <c r="A1705" s="10" t="s">
        <v>7720</v>
      </c>
      <c r="B1705" s="9" t="n">
        <v>1</v>
      </c>
      <c r="C1705" s="10" t="s">
        <v>3291</v>
      </c>
      <c r="D1705" s="10" t="s">
        <v>7339</v>
      </c>
      <c r="E1705" s="10" t="s">
        <v>3618</v>
      </c>
    </row>
    <row r="1706" customFormat="false" ht="25.5" hidden="false" customHeight="true" outlineLevel="0" collapsed="false">
      <c r="A1706" s="10" t="s">
        <v>7721</v>
      </c>
      <c r="B1706" s="9" t="n">
        <v>1</v>
      </c>
      <c r="C1706" s="10" t="s">
        <v>4949</v>
      </c>
      <c r="D1706" s="10" t="s">
        <v>5972</v>
      </c>
      <c r="E1706" s="10" t="s">
        <v>5112</v>
      </c>
    </row>
    <row r="1707" customFormat="false" ht="25.5" hidden="false" customHeight="true" outlineLevel="0" collapsed="false">
      <c r="A1707" s="10" t="s">
        <v>7722</v>
      </c>
      <c r="B1707" s="9" t="n">
        <v>1</v>
      </c>
      <c r="C1707" s="10" t="s">
        <v>4949</v>
      </c>
      <c r="D1707" s="10" t="s">
        <v>5972</v>
      </c>
      <c r="E1707" s="10" t="s">
        <v>5112</v>
      </c>
    </row>
    <row r="1708" customFormat="false" ht="25.5" hidden="false" customHeight="true" outlineLevel="0" collapsed="false">
      <c r="A1708" s="10" t="s">
        <v>7723</v>
      </c>
      <c r="B1708" s="9" t="n">
        <v>1</v>
      </c>
      <c r="C1708" s="10" t="s">
        <v>4949</v>
      </c>
      <c r="D1708" s="10" t="s">
        <v>6612</v>
      </c>
      <c r="E1708" s="10" t="s">
        <v>5274</v>
      </c>
    </row>
    <row r="1709" customFormat="false" ht="25.5" hidden="false" customHeight="true" outlineLevel="0" collapsed="false">
      <c r="A1709" s="10" t="s">
        <v>7724</v>
      </c>
      <c r="B1709" s="9" t="n">
        <v>1</v>
      </c>
      <c r="C1709" s="10" t="s">
        <v>2713</v>
      </c>
      <c r="D1709" s="10" t="s">
        <v>6125</v>
      </c>
      <c r="E1709" s="10" t="s">
        <v>3279</v>
      </c>
    </row>
    <row r="1710" customFormat="false" ht="25.5" hidden="false" customHeight="true" outlineLevel="0" collapsed="false">
      <c r="A1710" s="10" t="s">
        <v>7725</v>
      </c>
      <c r="B1710" s="9" t="n">
        <v>1</v>
      </c>
      <c r="C1710" s="10" t="s">
        <v>4949</v>
      </c>
      <c r="D1710" s="10" t="s">
        <v>6018</v>
      </c>
      <c r="E1710" s="10" t="s">
        <v>5017</v>
      </c>
    </row>
    <row r="1711" customFormat="false" ht="25.5" hidden="false" customHeight="true" outlineLevel="0" collapsed="false">
      <c r="A1711" s="10" t="s">
        <v>7726</v>
      </c>
      <c r="B1711" s="9" t="n">
        <v>1</v>
      </c>
      <c r="C1711" s="10" t="s">
        <v>3842</v>
      </c>
      <c r="D1711" s="10" t="s">
        <v>6963</v>
      </c>
      <c r="E1711" s="10" t="s">
        <v>4088</v>
      </c>
    </row>
    <row r="1712" customFormat="false" ht="25.5" hidden="false" customHeight="true" outlineLevel="0" collapsed="false">
      <c r="A1712" s="10" t="s">
        <v>7727</v>
      </c>
      <c r="B1712" s="9" t="n">
        <v>1</v>
      </c>
      <c r="C1712" s="10" t="s">
        <v>3842</v>
      </c>
      <c r="D1712" s="10" t="s">
        <v>6963</v>
      </c>
      <c r="E1712" s="10" t="s">
        <v>4088</v>
      </c>
    </row>
    <row r="1713" customFormat="false" ht="25.5" hidden="false" customHeight="true" outlineLevel="0" collapsed="false">
      <c r="A1713" s="10" t="s">
        <v>7728</v>
      </c>
      <c r="B1713" s="9" t="n">
        <v>1</v>
      </c>
      <c r="C1713" s="10" t="s">
        <v>3842</v>
      </c>
      <c r="D1713" s="10" t="s">
        <v>7729</v>
      </c>
      <c r="E1713" s="10" t="s">
        <v>4075</v>
      </c>
    </row>
    <row r="1714" customFormat="false" ht="25.5" hidden="false" customHeight="true" outlineLevel="0" collapsed="false">
      <c r="A1714" s="10" t="s">
        <v>7730</v>
      </c>
      <c r="B1714" s="9" t="n">
        <v>1</v>
      </c>
      <c r="C1714" s="10" t="s">
        <v>3842</v>
      </c>
      <c r="D1714" s="10" t="s">
        <v>7729</v>
      </c>
      <c r="E1714" s="10" t="s">
        <v>4075</v>
      </c>
    </row>
    <row r="1715" customFormat="false" ht="25.5" hidden="false" customHeight="true" outlineLevel="0" collapsed="false">
      <c r="A1715" s="10" t="s">
        <v>7731</v>
      </c>
      <c r="B1715" s="9" t="n">
        <v>1</v>
      </c>
      <c r="C1715" s="10" t="s">
        <v>1500</v>
      </c>
      <c r="D1715" s="10" t="s">
        <v>7229</v>
      </c>
      <c r="E1715" s="10" t="s">
        <v>1885</v>
      </c>
    </row>
    <row r="1716" customFormat="false" ht="25.5" hidden="false" customHeight="true" outlineLevel="0" collapsed="false">
      <c r="A1716" s="10" t="s">
        <v>7732</v>
      </c>
      <c r="B1716" s="9" t="n">
        <v>1</v>
      </c>
      <c r="C1716" s="10" t="s">
        <v>59</v>
      </c>
      <c r="D1716" s="10" t="s">
        <v>5907</v>
      </c>
      <c r="E1716" s="10" t="s">
        <v>150</v>
      </c>
    </row>
    <row r="1717" customFormat="false" ht="25.5" hidden="false" customHeight="true" outlineLevel="0" collapsed="false">
      <c r="A1717" s="10" t="s">
        <v>7733</v>
      </c>
      <c r="B1717" s="9" t="n">
        <v>1</v>
      </c>
      <c r="C1717" s="10" t="s">
        <v>3291</v>
      </c>
      <c r="D1717" s="10" t="s">
        <v>7391</v>
      </c>
      <c r="E1717" s="10" t="s">
        <v>3420</v>
      </c>
    </row>
    <row r="1718" customFormat="false" ht="25.5" hidden="false" customHeight="true" outlineLevel="0" collapsed="false">
      <c r="A1718" s="10" t="s">
        <v>7734</v>
      </c>
      <c r="B1718" s="9" t="n">
        <v>1</v>
      </c>
      <c r="C1718" s="10" t="s">
        <v>59</v>
      </c>
      <c r="D1718" s="10" t="s">
        <v>6057</v>
      </c>
      <c r="E1718" s="10" t="s">
        <v>811</v>
      </c>
    </row>
    <row r="1719" customFormat="false" ht="25.5" hidden="false" customHeight="true" outlineLevel="0" collapsed="false">
      <c r="A1719" s="10" t="s">
        <v>7735</v>
      </c>
      <c r="B1719" s="9" t="n">
        <v>1</v>
      </c>
      <c r="C1719" s="10" t="s">
        <v>59</v>
      </c>
      <c r="D1719" s="10" t="s">
        <v>6333</v>
      </c>
      <c r="E1719" s="10" t="s">
        <v>786</v>
      </c>
    </row>
    <row r="1720" customFormat="false" ht="25.5" hidden="false" customHeight="true" outlineLevel="0" collapsed="false">
      <c r="A1720" s="10" t="s">
        <v>7736</v>
      </c>
      <c r="B1720" s="9" t="n">
        <v>1</v>
      </c>
      <c r="C1720" s="10" t="s">
        <v>2140</v>
      </c>
      <c r="D1720" s="10" t="s">
        <v>6604</v>
      </c>
      <c r="E1720" s="10" t="s">
        <v>2516</v>
      </c>
    </row>
    <row r="1721" customFormat="false" ht="25.5" hidden="false" customHeight="true" outlineLevel="0" collapsed="false">
      <c r="A1721" s="10" t="s">
        <v>7737</v>
      </c>
      <c r="B1721" s="9" t="n">
        <v>1</v>
      </c>
      <c r="C1721" s="10" t="s">
        <v>2140</v>
      </c>
      <c r="D1721" s="10" t="s">
        <v>6604</v>
      </c>
      <c r="E1721" s="10" t="s">
        <v>2516</v>
      </c>
    </row>
    <row r="1722" customFormat="false" ht="25.5" hidden="false" customHeight="true" outlineLevel="0" collapsed="false">
      <c r="A1722" s="10" t="s">
        <v>7738</v>
      </c>
      <c r="B1722" s="9" t="n">
        <v>1</v>
      </c>
      <c r="C1722" s="10" t="s">
        <v>3842</v>
      </c>
      <c r="D1722" s="10" t="s">
        <v>7729</v>
      </c>
      <c r="E1722" s="10" t="s">
        <v>4075</v>
      </c>
    </row>
    <row r="1723" customFormat="false" ht="25.5" hidden="false" customHeight="true" outlineLevel="0" collapsed="false">
      <c r="A1723" s="10" t="s">
        <v>7739</v>
      </c>
      <c r="B1723" s="9" t="n">
        <v>1</v>
      </c>
      <c r="C1723" s="10" t="s">
        <v>59</v>
      </c>
      <c r="D1723" s="10" t="s">
        <v>6137</v>
      </c>
      <c r="E1723" s="10" t="s">
        <v>639</v>
      </c>
    </row>
    <row r="1724" customFormat="false" ht="25.5" hidden="false" customHeight="true" outlineLevel="0" collapsed="false">
      <c r="A1724" s="10" t="s">
        <v>7740</v>
      </c>
      <c r="B1724" s="9" t="n">
        <v>1</v>
      </c>
      <c r="C1724" s="10" t="s">
        <v>837</v>
      </c>
      <c r="D1724" s="10" t="s">
        <v>5605</v>
      </c>
      <c r="E1724" s="10" t="s">
        <v>1218</v>
      </c>
    </row>
    <row r="1725" customFormat="false" ht="25.5" hidden="false" customHeight="true" outlineLevel="0" collapsed="false">
      <c r="A1725" s="10" t="s">
        <v>7741</v>
      </c>
      <c r="B1725" s="9" t="n">
        <v>1</v>
      </c>
      <c r="C1725" s="10" t="s">
        <v>59</v>
      </c>
      <c r="D1725" s="10" t="s">
        <v>5904</v>
      </c>
      <c r="E1725" s="10" t="s">
        <v>164</v>
      </c>
    </row>
    <row r="1726" customFormat="false" ht="25.5" hidden="false" customHeight="true" outlineLevel="0" collapsed="false">
      <c r="A1726" s="10" t="s">
        <v>7742</v>
      </c>
      <c r="B1726" s="9" t="n">
        <v>1</v>
      </c>
      <c r="C1726" s="10" t="s">
        <v>837</v>
      </c>
      <c r="D1726" s="10" t="s">
        <v>5605</v>
      </c>
      <c r="E1726" s="10" t="s">
        <v>1218</v>
      </c>
    </row>
    <row r="1727" customFormat="false" ht="25.5" hidden="false" customHeight="true" outlineLevel="0" collapsed="false">
      <c r="A1727" s="10" t="s">
        <v>7743</v>
      </c>
      <c r="B1727" s="9" t="n">
        <v>1</v>
      </c>
      <c r="C1727" s="10" t="s">
        <v>3291</v>
      </c>
      <c r="D1727" s="10" t="s">
        <v>6049</v>
      </c>
      <c r="E1727" s="10" t="s">
        <v>3735</v>
      </c>
    </row>
    <row r="1728" customFormat="false" ht="25.5" hidden="false" customHeight="true" outlineLevel="0" collapsed="false">
      <c r="A1728" s="10" t="s">
        <v>7744</v>
      </c>
      <c r="B1728" s="9" t="n">
        <v>1</v>
      </c>
      <c r="C1728" s="10" t="s">
        <v>59</v>
      </c>
      <c r="D1728" s="10" t="s">
        <v>6137</v>
      </c>
      <c r="E1728" s="10" t="s">
        <v>639</v>
      </c>
    </row>
    <row r="1729" customFormat="false" ht="25.5" hidden="false" customHeight="true" outlineLevel="0" collapsed="false">
      <c r="A1729" s="10" t="s">
        <v>7745</v>
      </c>
      <c r="B1729" s="9" t="n">
        <v>1</v>
      </c>
      <c r="C1729" s="10" t="s">
        <v>59</v>
      </c>
      <c r="D1729" s="10" t="s">
        <v>7074</v>
      </c>
      <c r="E1729" s="10" t="s">
        <v>547</v>
      </c>
    </row>
    <row r="1730" customFormat="false" ht="25.5" hidden="false" customHeight="true" outlineLevel="0" collapsed="false">
      <c r="A1730" s="10" t="s">
        <v>7746</v>
      </c>
      <c r="B1730" s="9" t="n">
        <v>1</v>
      </c>
      <c r="C1730" s="10" t="s">
        <v>1500</v>
      </c>
      <c r="D1730" s="10" t="s">
        <v>6726</v>
      </c>
      <c r="E1730" s="10" t="s">
        <v>1526</v>
      </c>
    </row>
    <row r="1731" customFormat="false" ht="25.5" hidden="false" customHeight="true" outlineLevel="0" collapsed="false">
      <c r="A1731" s="10" t="s">
        <v>7747</v>
      </c>
      <c r="B1731" s="9" t="n">
        <v>1</v>
      </c>
      <c r="C1731" s="10" t="s">
        <v>1500</v>
      </c>
      <c r="D1731" s="10" t="s">
        <v>5890</v>
      </c>
      <c r="E1731" s="10" t="s">
        <v>2013</v>
      </c>
    </row>
    <row r="1732" customFormat="false" ht="25.5" hidden="false" customHeight="true" outlineLevel="0" collapsed="false">
      <c r="A1732" s="10" t="s">
        <v>7748</v>
      </c>
      <c r="B1732" s="9" t="n">
        <v>1</v>
      </c>
      <c r="C1732" s="10" t="s">
        <v>4949</v>
      </c>
      <c r="D1732" s="10" t="s">
        <v>6393</v>
      </c>
      <c r="E1732" s="10" t="s">
        <v>5154</v>
      </c>
    </row>
    <row r="1733" customFormat="false" ht="25.5" hidden="false" customHeight="true" outlineLevel="0" collapsed="false">
      <c r="A1733" s="10" t="s">
        <v>7749</v>
      </c>
      <c r="B1733" s="9" t="n">
        <v>1</v>
      </c>
      <c r="C1733" s="10" t="s">
        <v>837</v>
      </c>
      <c r="D1733" s="10" t="s">
        <v>6272</v>
      </c>
      <c r="E1733" s="10" t="s">
        <v>1086</v>
      </c>
    </row>
    <row r="1734" customFormat="false" ht="25.5" hidden="false" customHeight="true" outlineLevel="0" collapsed="false">
      <c r="A1734" s="10" t="s">
        <v>7750</v>
      </c>
      <c r="B1734" s="9" t="n">
        <v>1</v>
      </c>
      <c r="C1734" s="10" t="s">
        <v>3842</v>
      </c>
      <c r="D1734" s="10" t="s">
        <v>7258</v>
      </c>
      <c r="E1734" s="10" t="s">
        <v>3970</v>
      </c>
    </row>
    <row r="1735" customFormat="false" ht="25.5" hidden="false" customHeight="true" outlineLevel="0" collapsed="false">
      <c r="A1735" s="10" t="s">
        <v>7751</v>
      </c>
      <c r="B1735" s="9" t="n">
        <v>1</v>
      </c>
      <c r="C1735" s="10" t="s">
        <v>3842</v>
      </c>
      <c r="D1735" s="10" t="s">
        <v>7258</v>
      </c>
      <c r="E1735" s="10" t="s">
        <v>3970</v>
      </c>
    </row>
    <row r="1736" customFormat="false" ht="25.5" hidden="false" customHeight="true" outlineLevel="0" collapsed="false">
      <c r="A1736" s="10" t="s">
        <v>7752</v>
      </c>
      <c r="B1736" s="9" t="n">
        <v>1</v>
      </c>
      <c r="C1736" s="10" t="s">
        <v>3842</v>
      </c>
      <c r="D1736" s="10" t="s">
        <v>5690</v>
      </c>
      <c r="E1736" s="10" t="s">
        <v>4112</v>
      </c>
    </row>
    <row r="1737" customFormat="false" ht="25.5" hidden="false" customHeight="true" outlineLevel="0" collapsed="false">
      <c r="A1737" s="10" t="s">
        <v>7753</v>
      </c>
      <c r="B1737" s="9" t="n">
        <v>1</v>
      </c>
      <c r="C1737" s="10" t="s">
        <v>2140</v>
      </c>
      <c r="D1737" s="10" t="s">
        <v>7144</v>
      </c>
      <c r="E1737" s="10" t="s">
        <v>2595</v>
      </c>
    </row>
    <row r="1738" customFormat="false" ht="25.5" hidden="false" customHeight="true" outlineLevel="0" collapsed="false">
      <c r="A1738" s="10" t="s">
        <v>7754</v>
      </c>
      <c r="B1738" s="9" t="n">
        <v>1</v>
      </c>
      <c r="C1738" s="10" t="s">
        <v>1500</v>
      </c>
      <c r="D1738" s="10" t="s">
        <v>7018</v>
      </c>
      <c r="E1738" s="10" t="s">
        <v>1897</v>
      </c>
    </row>
    <row r="1739" customFormat="false" ht="25.5" hidden="false" customHeight="true" outlineLevel="0" collapsed="false">
      <c r="A1739" s="10" t="s">
        <v>7755</v>
      </c>
      <c r="B1739" s="9" t="n">
        <v>1</v>
      </c>
      <c r="C1739" s="10" t="s">
        <v>2140</v>
      </c>
      <c r="D1739" s="10" t="s">
        <v>7144</v>
      </c>
      <c r="E1739" s="10" t="s">
        <v>2595</v>
      </c>
    </row>
    <row r="1740" customFormat="false" ht="25.5" hidden="false" customHeight="true" outlineLevel="0" collapsed="false">
      <c r="A1740" s="10" t="s">
        <v>7756</v>
      </c>
      <c r="B1740" s="9" t="n">
        <v>1</v>
      </c>
      <c r="C1740" s="10" t="s">
        <v>2140</v>
      </c>
      <c r="D1740" s="10" t="s">
        <v>7144</v>
      </c>
      <c r="E1740" s="10" t="s">
        <v>2595</v>
      </c>
    </row>
    <row r="1741" customFormat="false" ht="25.5" hidden="false" customHeight="true" outlineLevel="0" collapsed="false">
      <c r="A1741" s="10" t="s">
        <v>7757</v>
      </c>
      <c r="B1741" s="9" t="n">
        <v>1</v>
      </c>
      <c r="C1741" s="10" t="s">
        <v>2140</v>
      </c>
      <c r="D1741" s="10" t="s">
        <v>6663</v>
      </c>
      <c r="E1741" s="10" t="s">
        <v>2339</v>
      </c>
    </row>
    <row r="1742" customFormat="false" ht="25.5" hidden="false" customHeight="true" outlineLevel="0" collapsed="false">
      <c r="A1742" s="10" t="s">
        <v>7758</v>
      </c>
      <c r="B1742" s="9" t="n">
        <v>1</v>
      </c>
      <c r="C1742" s="10" t="s">
        <v>2713</v>
      </c>
      <c r="D1742" s="10" t="s">
        <v>5870</v>
      </c>
      <c r="E1742" s="10" t="s">
        <v>2974</v>
      </c>
    </row>
    <row r="1743" customFormat="false" ht="25.5" hidden="false" customHeight="true" outlineLevel="0" collapsed="false">
      <c r="A1743" s="10" t="s">
        <v>7759</v>
      </c>
      <c r="B1743" s="9" t="n">
        <v>1</v>
      </c>
      <c r="C1743" s="10" t="s">
        <v>3291</v>
      </c>
      <c r="D1743" s="10" t="s">
        <v>6010</v>
      </c>
      <c r="E1743" s="10" t="s">
        <v>3304</v>
      </c>
    </row>
    <row r="1744" customFormat="false" ht="25.5" hidden="false" customHeight="true" outlineLevel="0" collapsed="false">
      <c r="A1744" s="10" t="s">
        <v>7760</v>
      </c>
      <c r="B1744" s="9" t="n">
        <v>1</v>
      </c>
      <c r="C1744" s="10" t="s">
        <v>59</v>
      </c>
      <c r="D1744" s="10" t="s">
        <v>5904</v>
      </c>
      <c r="E1744" s="10" t="s">
        <v>164</v>
      </c>
    </row>
    <row r="1745" customFormat="false" ht="25.5" hidden="false" customHeight="true" outlineLevel="0" collapsed="false">
      <c r="A1745" s="10" t="s">
        <v>7761</v>
      </c>
      <c r="B1745" s="9" t="n">
        <v>1</v>
      </c>
      <c r="C1745" s="10" t="s">
        <v>3291</v>
      </c>
      <c r="D1745" s="10" t="s">
        <v>7391</v>
      </c>
      <c r="E1745" s="10" t="s">
        <v>3420</v>
      </c>
    </row>
    <row r="1746" customFormat="false" ht="25.5" hidden="false" customHeight="true" outlineLevel="0" collapsed="false">
      <c r="A1746" s="10" t="s">
        <v>7762</v>
      </c>
      <c r="B1746" s="9" t="n">
        <v>1</v>
      </c>
      <c r="C1746" s="10" t="s">
        <v>59</v>
      </c>
      <c r="D1746" s="10" t="s">
        <v>5814</v>
      </c>
      <c r="E1746" s="10" t="s">
        <v>441</v>
      </c>
    </row>
    <row r="1747" customFormat="false" ht="25.5" hidden="false" customHeight="true" outlineLevel="0" collapsed="false">
      <c r="A1747" s="10" t="s">
        <v>7763</v>
      </c>
      <c r="B1747" s="9" t="n">
        <v>1</v>
      </c>
      <c r="C1747" s="10" t="s">
        <v>4582</v>
      </c>
      <c r="D1747" s="10" t="s">
        <v>5770</v>
      </c>
      <c r="E1747" s="10" t="s">
        <v>4924</v>
      </c>
    </row>
    <row r="1748" customFormat="false" ht="25.5" hidden="false" customHeight="true" outlineLevel="0" collapsed="false">
      <c r="A1748" s="10" t="s">
        <v>7764</v>
      </c>
      <c r="B1748" s="9" t="n">
        <v>1</v>
      </c>
      <c r="C1748" s="10" t="s">
        <v>837</v>
      </c>
      <c r="D1748" s="10" t="s">
        <v>6272</v>
      </c>
      <c r="E1748" s="10" t="s">
        <v>1086</v>
      </c>
    </row>
    <row r="1749" customFormat="false" ht="25.5" hidden="false" customHeight="true" outlineLevel="0" collapsed="false">
      <c r="A1749" s="10" t="s">
        <v>7765</v>
      </c>
      <c r="B1749" s="9" t="n">
        <v>1</v>
      </c>
      <c r="C1749" s="10" t="s">
        <v>4949</v>
      </c>
      <c r="D1749" s="10" t="s">
        <v>6235</v>
      </c>
      <c r="E1749" s="10" t="s">
        <v>5193</v>
      </c>
    </row>
    <row r="1750" customFormat="false" ht="25.5" hidden="false" customHeight="true" outlineLevel="0" collapsed="false">
      <c r="A1750" s="10" t="s">
        <v>7766</v>
      </c>
      <c r="B1750" s="9" t="n">
        <v>1</v>
      </c>
      <c r="C1750" s="10" t="s">
        <v>4949</v>
      </c>
      <c r="D1750" s="10" t="s">
        <v>6235</v>
      </c>
      <c r="E1750" s="10" t="s">
        <v>5193</v>
      </c>
    </row>
    <row r="1751" customFormat="false" ht="25.5" hidden="false" customHeight="true" outlineLevel="0" collapsed="false">
      <c r="A1751" s="10" t="s">
        <v>7767</v>
      </c>
      <c r="B1751" s="9" t="n">
        <v>1</v>
      </c>
      <c r="C1751" s="10" t="s">
        <v>4949</v>
      </c>
      <c r="D1751" s="10" t="s">
        <v>5149</v>
      </c>
      <c r="E1751" s="10" t="s">
        <v>5167</v>
      </c>
    </row>
    <row r="1752" customFormat="false" ht="25.5" hidden="false" customHeight="true" outlineLevel="0" collapsed="false">
      <c r="A1752" s="10" t="s">
        <v>7768</v>
      </c>
      <c r="B1752" s="9" t="n">
        <v>1</v>
      </c>
      <c r="C1752" s="10" t="s">
        <v>3291</v>
      </c>
      <c r="D1752" s="10" t="s">
        <v>5989</v>
      </c>
      <c r="E1752" s="10" t="s">
        <v>3460</v>
      </c>
    </row>
    <row r="1753" customFormat="false" ht="25.5" hidden="false" customHeight="true" outlineLevel="0" collapsed="false">
      <c r="A1753" s="10" t="s">
        <v>7769</v>
      </c>
      <c r="B1753" s="9" t="n">
        <v>1</v>
      </c>
      <c r="C1753" s="10" t="s">
        <v>3291</v>
      </c>
      <c r="D1753" s="10" t="s">
        <v>7339</v>
      </c>
      <c r="E1753" s="10" t="s">
        <v>3618</v>
      </c>
    </row>
    <row r="1754" customFormat="false" ht="25.5" hidden="false" customHeight="true" outlineLevel="0" collapsed="false">
      <c r="A1754" s="10" t="s">
        <v>7770</v>
      </c>
      <c r="B1754" s="9" t="n">
        <v>1</v>
      </c>
      <c r="C1754" s="10" t="s">
        <v>1500</v>
      </c>
      <c r="D1754" s="10" t="s">
        <v>6169</v>
      </c>
      <c r="E1754" s="10" t="s">
        <v>1848</v>
      </c>
    </row>
    <row r="1755" customFormat="false" ht="25.5" hidden="false" customHeight="true" outlineLevel="0" collapsed="false">
      <c r="A1755" s="10" t="s">
        <v>7771</v>
      </c>
      <c r="B1755" s="9" t="n">
        <v>1</v>
      </c>
      <c r="C1755" s="10" t="s">
        <v>837</v>
      </c>
      <c r="D1755" s="10" t="s">
        <v>6272</v>
      </c>
      <c r="E1755" s="10" t="s">
        <v>1086</v>
      </c>
    </row>
    <row r="1756" customFormat="false" ht="25.5" hidden="false" customHeight="true" outlineLevel="0" collapsed="false">
      <c r="A1756" s="10" t="s">
        <v>7772</v>
      </c>
      <c r="B1756" s="9" t="n">
        <v>1</v>
      </c>
      <c r="C1756" s="10" t="s">
        <v>1500</v>
      </c>
      <c r="D1756" s="10" t="s">
        <v>6272</v>
      </c>
      <c r="E1756" s="10" t="s">
        <v>1564</v>
      </c>
    </row>
    <row r="1757" customFormat="false" ht="25.5" hidden="false" customHeight="true" outlineLevel="0" collapsed="false">
      <c r="A1757" s="10" t="s">
        <v>7773</v>
      </c>
      <c r="B1757" s="9" t="n">
        <v>1</v>
      </c>
      <c r="C1757" s="10" t="s">
        <v>1500</v>
      </c>
      <c r="D1757" s="10" t="s">
        <v>6263</v>
      </c>
      <c r="E1757" s="10" t="s">
        <v>1988</v>
      </c>
    </row>
    <row r="1758" customFormat="false" ht="25.5" hidden="false" customHeight="true" outlineLevel="0" collapsed="false">
      <c r="A1758" s="10" t="s">
        <v>7774</v>
      </c>
      <c r="B1758" s="9" t="n">
        <v>1</v>
      </c>
      <c r="C1758" s="10" t="s">
        <v>59</v>
      </c>
      <c r="D1758" s="10" t="s">
        <v>5858</v>
      </c>
      <c r="E1758" s="10" t="s">
        <v>825</v>
      </c>
    </row>
    <row r="1759" customFormat="false" ht="25.5" hidden="false" customHeight="true" outlineLevel="0" collapsed="false">
      <c r="A1759" s="10" t="s">
        <v>7775</v>
      </c>
      <c r="B1759" s="9" t="n">
        <v>1</v>
      </c>
      <c r="C1759" s="10" t="s">
        <v>59</v>
      </c>
      <c r="D1759" s="10" t="s">
        <v>5858</v>
      </c>
      <c r="E1759" s="10" t="s">
        <v>825</v>
      </c>
    </row>
    <row r="1760" customFormat="false" ht="25.5" hidden="false" customHeight="true" outlineLevel="0" collapsed="false">
      <c r="A1760" s="10" t="s">
        <v>7776</v>
      </c>
      <c r="B1760" s="9" t="n">
        <v>1</v>
      </c>
      <c r="C1760" s="10" t="s">
        <v>59</v>
      </c>
      <c r="D1760" s="10" t="s">
        <v>235</v>
      </c>
      <c r="E1760" s="10" t="s">
        <v>535</v>
      </c>
    </row>
    <row r="1761" customFormat="false" ht="25.5" hidden="false" customHeight="true" outlineLevel="0" collapsed="false">
      <c r="A1761" s="10" t="s">
        <v>7777</v>
      </c>
      <c r="B1761" s="9" t="n">
        <v>1</v>
      </c>
      <c r="C1761" s="10" t="s">
        <v>2140</v>
      </c>
      <c r="D1761" s="10" t="s">
        <v>6750</v>
      </c>
      <c r="E1761" s="10" t="s">
        <v>2191</v>
      </c>
    </row>
    <row r="1762" customFormat="false" ht="25.5" hidden="false" customHeight="true" outlineLevel="0" collapsed="false">
      <c r="A1762" s="10" t="s">
        <v>7778</v>
      </c>
      <c r="B1762" s="9" t="n">
        <v>1</v>
      </c>
      <c r="C1762" s="10" t="s">
        <v>2140</v>
      </c>
      <c r="D1762" s="10" t="s">
        <v>6750</v>
      </c>
      <c r="E1762" s="10" t="s">
        <v>2191</v>
      </c>
    </row>
    <row r="1763" customFormat="false" ht="25.5" hidden="false" customHeight="true" outlineLevel="0" collapsed="false">
      <c r="A1763" s="10" t="s">
        <v>7779</v>
      </c>
      <c r="B1763" s="9" t="n">
        <v>1</v>
      </c>
      <c r="C1763" s="10" t="s">
        <v>4949</v>
      </c>
      <c r="D1763" s="10" t="s">
        <v>6043</v>
      </c>
      <c r="E1763" s="10" t="s">
        <v>5044</v>
      </c>
    </row>
    <row r="1764" customFormat="false" ht="25.5" hidden="false" customHeight="true" outlineLevel="0" collapsed="false">
      <c r="A1764" s="10" t="s">
        <v>7780</v>
      </c>
      <c r="B1764" s="9" t="n">
        <v>1</v>
      </c>
      <c r="C1764" s="10" t="s">
        <v>2140</v>
      </c>
      <c r="D1764" s="10" t="s">
        <v>6399</v>
      </c>
      <c r="E1764" s="10" t="s">
        <v>2544</v>
      </c>
    </row>
    <row r="1765" customFormat="false" ht="25.5" hidden="false" customHeight="true" outlineLevel="0" collapsed="false">
      <c r="A1765" s="10" t="s">
        <v>7781</v>
      </c>
      <c r="B1765" s="9" t="n">
        <v>1</v>
      </c>
      <c r="C1765" s="10" t="s">
        <v>2140</v>
      </c>
      <c r="D1765" s="10" t="s">
        <v>5598</v>
      </c>
      <c r="E1765" s="10" t="s">
        <v>2301</v>
      </c>
    </row>
    <row r="1766" customFormat="false" ht="25.5" hidden="false" customHeight="true" outlineLevel="0" collapsed="false">
      <c r="A1766" s="10" t="s">
        <v>7782</v>
      </c>
      <c r="B1766" s="9" t="n">
        <v>1</v>
      </c>
      <c r="C1766" s="10" t="s">
        <v>59</v>
      </c>
      <c r="D1766" s="10" t="s">
        <v>5814</v>
      </c>
      <c r="E1766" s="10" t="s">
        <v>291</v>
      </c>
    </row>
    <row r="1767" customFormat="false" ht="25.5" hidden="false" customHeight="true" outlineLevel="0" collapsed="false">
      <c r="A1767" s="10" t="s">
        <v>7783</v>
      </c>
      <c r="B1767" s="9" t="n">
        <v>1</v>
      </c>
      <c r="C1767" s="10" t="s">
        <v>59</v>
      </c>
      <c r="D1767" s="10" t="s">
        <v>5814</v>
      </c>
      <c r="E1767" s="10" t="s">
        <v>291</v>
      </c>
    </row>
    <row r="1768" customFormat="false" ht="25.5" hidden="false" customHeight="true" outlineLevel="0" collapsed="false">
      <c r="A1768" s="10" t="s">
        <v>7784</v>
      </c>
      <c r="B1768" s="9" t="n">
        <v>1</v>
      </c>
      <c r="C1768" s="10" t="s">
        <v>3291</v>
      </c>
      <c r="D1768" s="10" t="s">
        <v>6610</v>
      </c>
      <c r="E1768" s="10" t="s">
        <v>3787</v>
      </c>
    </row>
    <row r="1769" customFormat="false" ht="25.5" hidden="false" customHeight="true" outlineLevel="0" collapsed="false">
      <c r="A1769" s="10" t="s">
        <v>7785</v>
      </c>
      <c r="B1769" s="9" t="n">
        <v>1</v>
      </c>
      <c r="C1769" s="10" t="s">
        <v>4949</v>
      </c>
      <c r="D1769" s="10" t="s">
        <v>6612</v>
      </c>
      <c r="E1769" s="10" t="s">
        <v>5274</v>
      </c>
    </row>
    <row r="1770" customFormat="false" ht="25.5" hidden="false" customHeight="true" outlineLevel="0" collapsed="false">
      <c r="A1770" s="10" t="s">
        <v>7786</v>
      </c>
      <c r="B1770" s="9" t="n">
        <v>1</v>
      </c>
      <c r="C1770" s="10" t="s">
        <v>4949</v>
      </c>
      <c r="D1770" s="10" t="s">
        <v>7118</v>
      </c>
      <c r="E1770" s="10" t="s">
        <v>5288</v>
      </c>
    </row>
    <row r="1771" customFormat="false" ht="25.5" hidden="false" customHeight="true" outlineLevel="0" collapsed="false">
      <c r="A1771" s="10" t="s">
        <v>7787</v>
      </c>
      <c r="B1771" s="9" t="n">
        <v>1</v>
      </c>
      <c r="C1771" s="10" t="s">
        <v>3291</v>
      </c>
      <c r="D1771" s="10" t="s">
        <v>7106</v>
      </c>
      <c r="E1771" s="10" t="s">
        <v>3801</v>
      </c>
    </row>
    <row r="1772" customFormat="false" ht="25.5" hidden="false" customHeight="true" outlineLevel="0" collapsed="false">
      <c r="A1772" s="10" t="s">
        <v>7788</v>
      </c>
      <c r="B1772" s="9" t="n">
        <v>1</v>
      </c>
      <c r="C1772" s="10" t="s">
        <v>2140</v>
      </c>
      <c r="D1772" s="10" t="s">
        <v>6433</v>
      </c>
      <c r="E1772" s="10" t="s">
        <v>2481</v>
      </c>
    </row>
    <row r="1773" customFormat="false" ht="25.5" hidden="false" customHeight="true" outlineLevel="0" collapsed="false">
      <c r="A1773" s="10" t="s">
        <v>7789</v>
      </c>
      <c r="B1773" s="9" t="n">
        <v>1</v>
      </c>
      <c r="C1773" s="10" t="s">
        <v>59</v>
      </c>
      <c r="D1773" s="10" t="s">
        <v>5907</v>
      </c>
      <c r="E1773" s="10" t="s">
        <v>560</v>
      </c>
    </row>
    <row r="1774" customFormat="false" ht="25.5" hidden="false" customHeight="true" outlineLevel="0" collapsed="false">
      <c r="A1774" s="10" t="s">
        <v>7790</v>
      </c>
      <c r="B1774" s="9" t="n">
        <v>1</v>
      </c>
      <c r="C1774" s="10" t="s">
        <v>3291</v>
      </c>
      <c r="D1774" s="10" t="s">
        <v>6416</v>
      </c>
      <c r="E1774" s="10" t="s">
        <v>3696</v>
      </c>
    </row>
    <row r="1775" customFormat="false" ht="25.5" hidden="false" customHeight="true" outlineLevel="0" collapsed="false">
      <c r="A1775" s="10" t="s">
        <v>7791</v>
      </c>
      <c r="B1775" s="9" t="n">
        <v>1</v>
      </c>
      <c r="C1775" s="10" t="s">
        <v>837</v>
      </c>
      <c r="D1775" s="10" t="s">
        <v>7089</v>
      </c>
      <c r="E1775" s="10" t="s">
        <v>1232</v>
      </c>
    </row>
    <row r="1776" customFormat="false" ht="25.5" hidden="false" customHeight="true" outlineLevel="0" collapsed="false">
      <c r="A1776" s="10" t="s">
        <v>7792</v>
      </c>
      <c r="B1776" s="9" t="n">
        <v>1</v>
      </c>
      <c r="C1776" s="10" t="s">
        <v>4949</v>
      </c>
      <c r="D1776" s="10" t="s">
        <v>6418</v>
      </c>
      <c r="E1776" s="10" t="s">
        <v>5004</v>
      </c>
    </row>
    <row r="1777" customFormat="false" ht="25.5" hidden="false" customHeight="true" outlineLevel="0" collapsed="false">
      <c r="A1777" s="10" t="s">
        <v>7793</v>
      </c>
      <c r="B1777" s="9" t="n">
        <v>1</v>
      </c>
      <c r="C1777" s="10" t="s">
        <v>3291</v>
      </c>
      <c r="D1777" s="10" t="s">
        <v>5991</v>
      </c>
      <c r="E1777" s="10" t="s">
        <v>3341</v>
      </c>
    </row>
    <row r="1778" customFormat="false" ht="25.5" hidden="false" customHeight="true" outlineLevel="0" collapsed="false">
      <c r="A1778" s="10" t="s">
        <v>7794</v>
      </c>
      <c r="B1778" s="9" t="n">
        <v>1</v>
      </c>
      <c r="C1778" s="10" t="s">
        <v>837</v>
      </c>
      <c r="D1778" s="10" t="s">
        <v>5983</v>
      </c>
      <c r="E1778" s="10" t="s">
        <v>942</v>
      </c>
    </row>
    <row r="1779" customFormat="false" ht="25.5" hidden="false" customHeight="true" outlineLevel="0" collapsed="false">
      <c r="A1779" s="10" t="s">
        <v>7795</v>
      </c>
      <c r="B1779" s="9" t="n">
        <v>1</v>
      </c>
      <c r="C1779" s="10" t="s">
        <v>837</v>
      </c>
      <c r="D1779" s="10" t="s">
        <v>6013</v>
      </c>
      <c r="E1779" s="10" t="s">
        <v>1446</v>
      </c>
    </row>
    <row r="1780" customFormat="false" ht="25.5" hidden="false" customHeight="true" outlineLevel="0" collapsed="false">
      <c r="A1780" s="10" t="s">
        <v>7796</v>
      </c>
      <c r="B1780" s="9" t="n">
        <v>1</v>
      </c>
      <c r="C1780" s="10" t="s">
        <v>3842</v>
      </c>
      <c r="D1780" s="10" t="s">
        <v>6817</v>
      </c>
      <c r="E1780" s="10" t="s">
        <v>4150</v>
      </c>
    </row>
    <row r="1781" customFormat="false" ht="25.5" hidden="false" customHeight="true" outlineLevel="0" collapsed="false">
      <c r="A1781" s="10" t="s">
        <v>7797</v>
      </c>
      <c r="B1781" s="9" t="n">
        <v>1</v>
      </c>
      <c r="C1781" s="10" t="s">
        <v>837</v>
      </c>
      <c r="D1781" s="10" t="s">
        <v>6154</v>
      </c>
      <c r="E1781" s="10" t="s">
        <v>1135</v>
      </c>
    </row>
    <row r="1782" customFormat="false" ht="25.5" hidden="false" customHeight="true" outlineLevel="0" collapsed="false">
      <c r="A1782" s="10" t="s">
        <v>7798</v>
      </c>
      <c r="B1782" s="9" t="n">
        <v>1</v>
      </c>
      <c r="C1782" s="10" t="s">
        <v>837</v>
      </c>
      <c r="D1782" s="10" t="s">
        <v>6154</v>
      </c>
      <c r="E1782" s="10" t="s">
        <v>1135</v>
      </c>
    </row>
    <row r="1783" customFormat="false" ht="25.5" hidden="false" customHeight="true" outlineLevel="0" collapsed="false">
      <c r="A1783" s="10" t="s">
        <v>7799</v>
      </c>
      <c r="B1783" s="9" t="n">
        <v>1</v>
      </c>
      <c r="C1783" s="10" t="s">
        <v>59</v>
      </c>
      <c r="D1783" s="10" t="s">
        <v>6555</v>
      </c>
      <c r="E1783" s="10" t="s">
        <v>612</v>
      </c>
    </row>
    <row r="1784" customFormat="false" ht="25.5" hidden="false" customHeight="true" outlineLevel="0" collapsed="false">
      <c r="A1784" s="10" t="s">
        <v>7800</v>
      </c>
      <c r="B1784" s="9" t="n">
        <v>1</v>
      </c>
      <c r="C1784" s="10" t="s">
        <v>2140</v>
      </c>
      <c r="D1784" s="10" t="s">
        <v>2161</v>
      </c>
      <c r="E1784" s="10" t="s">
        <v>2241</v>
      </c>
    </row>
    <row r="1785" customFormat="false" ht="25.5" hidden="false" customHeight="true" outlineLevel="0" collapsed="false">
      <c r="A1785" s="10" t="s">
        <v>7801</v>
      </c>
      <c r="B1785" s="9" t="n">
        <v>1</v>
      </c>
      <c r="C1785" s="10" t="s">
        <v>2140</v>
      </c>
      <c r="D1785" s="10" t="s">
        <v>2161</v>
      </c>
      <c r="E1785" s="10" t="s">
        <v>2241</v>
      </c>
    </row>
    <row r="1786" customFormat="false" ht="25.5" hidden="false" customHeight="true" outlineLevel="0" collapsed="false">
      <c r="A1786" s="10" t="s">
        <v>7802</v>
      </c>
      <c r="B1786" s="9" t="n">
        <v>1</v>
      </c>
      <c r="C1786" s="10" t="s">
        <v>3291</v>
      </c>
      <c r="D1786" s="10" t="s">
        <v>6925</v>
      </c>
      <c r="E1786" s="10" t="s">
        <v>3553</v>
      </c>
    </row>
    <row r="1787" customFormat="false" ht="25.5" hidden="false" customHeight="true" outlineLevel="0" collapsed="false">
      <c r="A1787" s="10" t="s">
        <v>7803</v>
      </c>
      <c r="B1787" s="9" t="n">
        <v>1</v>
      </c>
      <c r="C1787" s="10" t="s">
        <v>2713</v>
      </c>
      <c r="D1787" s="10" t="s">
        <v>6764</v>
      </c>
      <c r="E1787" s="10" t="s">
        <v>2913</v>
      </c>
    </row>
    <row r="1788" customFormat="false" ht="25.5" hidden="false" customHeight="true" outlineLevel="0" collapsed="false">
      <c r="A1788" s="10" t="s">
        <v>7804</v>
      </c>
      <c r="B1788" s="9" t="n">
        <v>1</v>
      </c>
      <c r="C1788" s="10" t="s">
        <v>2140</v>
      </c>
      <c r="D1788" s="10" t="s">
        <v>5598</v>
      </c>
      <c r="E1788" s="10" t="s">
        <v>2301</v>
      </c>
    </row>
    <row r="1789" customFormat="false" ht="25.5" hidden="false" customHeight="true" outlineLevel="0" collapsed="false">
      <c r="A1789" s="10" t="s">
        <v>7805</v>
      </c>
      <c r="B1789" s="9" t="n">
        <v>1</v>
      </c>
      <c r="C1789" s="10" t="s">
        <v>2140</v>
      </c>
      <c r="D1789" s="10" t="s">
        <v>5598</v>
      </c>
      <c r="E1789" s="10" t="s">
        <v>2301</v>
      </c>
    </row>
    <row r="1790" customFormat="false" ht="25.5" hidden="false" customHeight="true" outlineLevel="0" collapsed="false">
      <c r="A1790" s="10" t="s">
        <v>7806</v>
      </c>
      <c r="B1790" s="9" t="n">
        <v>1</v>
      </c>
      <c r="C1790" s="10" t="s">
        <v>2140</v>
      </c>
      <c r="D1790" s="10" t="s">
        <v>5598</v>
      </c>
      <c r="E1790" s="10" t="s">
        <v>2301</v>
      </c>
    </row>
    <row r="1791" customFormat="false" ht="25.5" hidden="false" customHeight="true" outlineLevel="0" collapsed="false">
      <c r="A1791" s="10" t="s">
        <v>7807</v>
      </c>
      <c r="B1791" s="9" t="n">
        <v>1</v>
      </c>
      <c r="C1791" s="10" t="s">
        <v>3842</v>
      </c>
      <c r="D1791" s="10" t="s">
        <v>6632</v>
      </c>
      <c r="E1791" s="10" t="s">
        <v>4022</v>
      </c>
    </row>
    <row r="1792" customFormat="false" ht="25.5" hidden="false" customHeight="true" outlineLevel="0" collapsed="false">
      <c r="A1792" s="10" t="s">
        <v>7808</v>
      </c>
      <c r="B1792" s="9" t="n">
        <v>1</v>
      </c>
      <c r="C1792" s="10" t="s">
        <v>1500</v>
      </c>
      <c r="D1792" s="10" t="s">
        <v>6552</v>
      </c>
      <c r="E1792" s="10" t="s">
        <v>2052</v>
      </c>
    </row>
    <row r="1793" customFormat="false" ht="25.5" hidden="false" customHeight="true" outlineLevel="0" collapsed="false">
      <c r="A1793" s="10" t="s">
        <v>7809</v>
      </c>
      <c r="B1793" s="9" t="n">
        <v>1</v>
      </c>
      <c r="C1793" s="10" t="s">
        <v>837</v>
      </c>
      <c r="D1793" s="10" t="s">
        <v>6820</v>
      </c>
      <c r="E1793" s="10" t="s">
        <v>1486</v>
      </c>
    </row>
    <row r="1794" customFormat="false" ht="25.5" hidden="false" customHeight="true" outlineLevel="0" collapsed="false">
      <c r="A1794" s="10" t="s">
        <v>7810</v>
      </c>
      <c r="B1794" s="9" t="n">
        <v>1</v>
      </c>
      <c r="C1794" s="10" t="s">
        <v>837</v>
      </c>
      <c r="D1794" s="10" t="s">
        <v>6820</v>
      </c>
      <c r="E1794" s="10" t="s">
        <v>1486</v>
      </c>
    </row>
    <row r="1795" customFormat="false" ht="25.5" hidden="false" customHeight="true" outlineLevel="0" collapsed="false">
      <c r="A1795" s="10" t="s">
        <v>7811</v>
      </c>
      <c r="B1795" s="9" t="n">
        <v>1</v>
      </c>
      <c r="C1795" s="10" t="s">
        <v>2713</v>
      </c>
      <c r="D1795" s="10" t="s">
        <v>6108</v>
      </c>
      <c r="E1795" s="10" t="s">
        <v>2750</v>
      </c>
    </row>
    <row r="1796" customFormat="false" ht="25.5" hidden="false" customHeight="true" outlineLevel="0" collapsed="false">
      <c r="A1796" s="10" t="s">
        <v>7812</v>
      </c>
      <c r="B1796" s="9" t="n">
        <v>1</v>
      </c>
      <c r="C1796" s="10" t="s">
        <v>2713</v>
      </c>
      <c r="D1796" s="10" t="s">
        <v>6016</v>
      </c>
      <c r="E1796" s="10" t="s">
        <v>3230</v>
      </c>
    </row>
    <row r="1797" customFormat="false" ht="25.5" hidden="false" customHeight="true" outlineLevel="0" collapsed="false">
      <c r="A1797" s="10" t="s">
        <v>7813</v>
      </c>
      <c r="B1797" s="9" t="n">
        <v>1</v>
      </c>
      <c r="C1797" s="10" t="s">
        <v>4949</v>
      </c>
      <c r="D1797" s="10" t="s">
        <v>6396</v>
      </c>
      <c r="E1797" s="10" t="s">
        <v>5058</v>
      </c>
    </row>
    <row r="1798" customFormat="false" ht="25.5" hidden="false" customHeight="true" outlineLevel="0" collapsed="false">
      <c r="A1798" s="10" t="s">
        <v>7814</v>
      </c>
      <c r="B1798" s="9" t="n">
        <v>1</v>
      </c>
      <c r="C1798" s="10" t="s">
        <v>1500</v>
      </c>
      <c r="D1798" s="10" t="s">
        <v>7714</v>
      </c>
      <c r="E1798" s="10" t="s">
        <v>1743</v>
      </c>
    </row>
    <row r="1799" customFormat="false" ht="25.5" hidden="false" customHeight="true" outlineLevel="0" collapsed="false">
      <c r="A1799" s="10" t="s">
        <v>7815</v>
      </c>
      <c r="B1799" s="9" t="n">
        <v>1</v>
      </c>
      <c r="C1799" s="10" t="s">
        <v>3291</v>
      </c>
      <c r="D1799" s="10" t="s">
        <v>6832</v>
      </c>
      <c r="E1799" s="10" t="s">
        <v>3579</v>
      </c>
    </row>
    <row r="1800" customFormat="false" ht="25.5" hidden="false" customHeight="true" outlineLevel="0" collapsed="false">
      <c r="A1800" s="10" t="s">
        <v>7816</v>
      </c>
      <c r="B1800" s="9" t="n">
        <v>1</v>
      </c>
      <c r="C1800" s="10" t="s">
        <v>3291</v>
      </c>
      <c r="D1800" s="10" t="s">
        <v>6925</v>
      </c>
      <c r="E1800" s="10" t="s">
        <v>3553</v>
      </c>
    </row>
    <row r="1801" customFormat="false" ht="25.5" hidden="false" customHeight="true" outlineLevel="0" collapsed="false">
      <c r="A1801" s="10" t="s">
        <v>7817</v>
      </c>
      <c r="B1801" s="9" t="n">
        <v>1</v>
      </c>
      <c r="C1801" s="10" t="s">
        <v>3291</v>
      </c>
      <c r="D1801" s="10" t="s">
        <v>6224</v>
      </c>
      <c r="E1801" s="10" t="s">
        <v>3566</v>
      </c>
    </row>
    <row r="1802" customFormat="false" ht="25.5" hidden="false" customHeight="true" outlineLevel="0" collapsed="false">
      <c r="A1802" s="10" t="s">
        <v>7818</v>
      </c>
      <c r="B1802" s="9" t="n">
        <v>1</v>
      </c>
      <c r="C1802" s="10" t="s">
        <v>3291</v>
      </c>
      <c r="D1802" s="10" t="s">
        <v>6925</v>
      </c>
      <c r="E1802" s="10" t="s">
        <v>3553</v>
      </c>
    </row>
    <row r="1803" customFormat="false" ht="25.5" hidden="false" customHeight="true" outlineLevel="0" collapsed="false">
      <c r="A1803" s="10" t="s">
        <v>7819</v>
      </c>
      <c r="B1803" s="9" t="n">
        <v>1</v>
      </c>
      <c r="C1803" s="10" t="s">
        <v>2713</v>
      </c>
      <c r="D1803" s="10" t="s">
        <v>5576</v>
      </c>
      <c r="E1803" s="10" t="s">
        <v>2963</v>
      </c>
    </row>
    <row r="1804" customFormat="false" ht="25.5" hidden="false" customHeight="true" outlineLevel="0" collapsed="false">
      <c r="A1804" s="10" t="s">
        <v>7820</v>
      </c>
      <c r="B1804" s="9" t="n">
        <v>1</v>
      </c>
      <c r="C1804" s="10" t="s">
        <v>59</v>
      </c>
      <c r="D1804" s="10" t="s">
        <v>6555</v>
      </c>
      <c r="E1804" s="10" t="s">
        <v>652</v>
      </c>
    </row>
    <row r="1805" customFormat="false" ht="25.5" hidden="false" customHeight="true" outlineLevel="0" collapsed="false">
      <c r="A1805" s="10" t="s">
        <v>7821</v>
      </c>
      <c r="B1805" s="9" t="n">
        <v>1</v>
      </c>
      <c r="C1805" s="10" t="s">
        <v>59</v>
      </c>
      <c r="D1805" s="10" t="s">
        <v>6228</v>
      </c>
      <c r="E1805" s="10" t="s">
        <v>626</v>
      </c>
    </row>
    <row r="1806" customFormat="false" ht="25.5" hidden="false" customHeight="true" outlineLevel="0" collapsed="false">
      <c r="A1806" s="10" t="s">
        <v>7822</v>
      </c>
      <c r="B1806" s="9" t="n">
        <v>1</v>
      </c>
      <c r="C1806" s="10" t="s">
        <v>2140</v>
      </c>
      <c r="D1806" s="10" t="s">
        <v>6187</v>
      </c>
      <c r="E1806" s="10" t="s">
        <v>2180</v>
      </c>
    </row>
    <row r="1807" customFormat="false" ht="25.5" hidden="false" customHeight="true" outlineLevel="0" collapsed="false">
      <c r="A1807" s="10" t="s">
        <v>7823</v>
      </c>
      <c r="B1807" s="9" t="n">
        <v>1</v>
      </c>
      <c r="C1807" s="10" t="s">
        <v>2140</v>
      </c>
      <c r="D1807" s="10" t="s">
        <v>6187</v>
      </c>
      <c r="E1807" s="10" t="s">
        <v>2180</v>
      </c>
    </row>
    <row r="1808" customFormat="false" ht="25.5" hidden="false" customHeight="true" outlineLevel="0" collapsed="false">
      <c r="A1808" s="10" t="s">
        <v>7824</v>
      </c>
      <c r="B1808" s="9" t="n">
        <v>1</v>
      </c>
      <c r="C1808" s="10" t="s">
        <v>2140</v>
      </c>
      <c r="D1808" s="10" t="s">
        <v>6187</v>
      </c>
      <c r="E1808" s="10" t="s">
        <v>2180</v>
      </c>
    </row>
    <row r="1809" customFormat="false" ht="25.5" hidden="false" customHeight="true" outlineLevel="0" collapsed="false">
      <c r="A1809" s="10" t="s">
        <v>7825</v>
      </c>
      <c r="B1809" s="9" t="n">
        <v>1</v>
      </c>
      <c r="C1809" s="10" t="s">
        <v>2713</v>
      </c>
      <c r="D1809" s="10" t="s">
        <v>6228</v>
      </c>
      <c r="E1809" s="10" t="s">
        <v>3082</v>
      </c>
    </row>
    <row r="1810" customFormat="false" ht="25.5" hidden="false" customHeight="true" outlineLevel="0" collapsed="false">
      <c r="A1810" s="10" t="s">
        <v>7826</v>
      </c>
      <c r="B1810" s="9" t="n">
        <v>1</v>
      </c>
      <c r="C1810" s="10" t="s">
        <v>4203</v>
      </c>
      <c r="D1810" s="10" t="s">
        <v>6532</v>
      </c>
      <c r="E1810" s="10" t="s">
        <v>4541</v>
      </c>
    </row>
    <row r="1811" customFormat="false" ht="25.5" hidden="false" customHeight="true" outlineLevel="0" collapsed="false">
      <c r="A1811" s="10" t="s">
        <v>7827</v>
      </c>
      <c r="B1811" s="9" t="n">
        <v>1</v>
      </c>
      <c r="C1811" s="10" t="s">
        <v>4203</v>
      </c>
      <c r="D1811" s="10" t="s">
        <v>6537</v>
      </c>
      <c r="E1811" s="10" t="s">
        <v>4282</v>
      </c>
    </row>
    <row r="1812" customFormat="false" ht="25.5" hidden="false" customHeight="true" outlineLevel="0" collapsed="false">
      <c r="A1812" s="10" t="s">
        <v>7828</v>
      </c>
      <c r="B1812" s="9" t="n">
        <v>1</v>
      </c>
      <c r="C1812" s="10" t="s">
        <v>4949</v>
      </c>
      <c r="D1812" s="10" t="s">
        <v>6606</v>
      </c>
      <c r="E1812" s="10" t="s">
        <v>5207</v>
      </c>
    </row>
    <row r="1813" customFormat="false" ht="25.5" hidden="false" customHeight="true" outlineLevel="0" collapsed="false">
      <c r="A1813" s="10" t="s">
        <v>7829</v>
      </c>
      <c r="B1813" s="9" t="n">
        <v>1</v>
      </c>
      <c r="C1813" s="10" t="s">
        <v>3291</v>
      </c>
      <c r="D1813" s="10" t="s">
        <v>6832</v>
      </c>
      <c r="E1813" s="10" t="s">
        <v>3579</v>
      </c>
    </row>
    <row r="1814" customFormat="false" ht="25.5" hidden="false" customHeight="true" outlineLevel="0" collapsed="false">
      <c r="A1814" s="10" t="s">
        <v>7830</v>
      </c>
      <c r="B1814" s="9" t="n">
        <v>1</v>
      </c>
      <c r="C1814" s="10" t="s">
        <v>2140</v>
      </c>
      <c r="D1814" s="10" t="s">
        <v>6604</v>
      </c>
      <c r="E1814" s="10" t="s">
        <v>2516</v>
      </c>
    </row>
    <row r="1815" customFormat="false" ht="25.5" hidden="false" customHeight="true" outlineLevel="0" collapsed="false">
      <c r="A1815" s="10" t="s">
        <v>7831</v>
      </c>
      <c r="B1815" s="9" t="n">
        <v>1</v>
      </c>
      <c r="C1815" s="10" t="s">
        <v>2140</v>
      </c>
      <c r="D1815" s="10" t="s">
        <v>6194</v>
      </c>
      <c r="E1815" s="10" t="s">
        <v>2557</v>
      </c>
    </row>
    <row r="1816" customFormat="false" ht="25.5" hidden="false" customHeight="true" outlineLevel="0" collapsed="false">
      <c r="A1816" s="10" t="s">
        <v>7832</v>
      </c>
      <c r="B1816" s="9" t="n">
        <v>1</v>
      </c>
      <c r="C1816" s="10" t="s">
        <v>1500</v>
      </c>
      <c r="D1816" s="10" t="s">
        <v>6047</v>
      </c>
      <c r="E1816" s="10" t="s">
        <v>2112</v>
      </c>
    </row>
    <row r="1817" customFormat="false" ht="25.5" hidden="false" customHeight="true" outlineLevel="0" collapsed="false">
      <c r="A1817" s="10" t="s">
        <v>7833</v>
      </c>
      <c r="B1817" s="9" t="n">
        <v>1</v>
      </c>
      <c r="C1817" s="10" t="s">
        <v>4949</v>
      </c>
      <c r="D1817" s="10" t="s">
        <v>6237</v>
      </c>
      <c r="E1817" s="10" t="s">
        <v>4948</v>
      </c>
    </row>
    <row r="1818" customFormat="false" ht="25.5" hidden="false" customHeight="true" outlineLevel="0" collapsed="false">
      <c r="A1818" s="10" t="s">
        <v>7834</v>
      </c>
      <c r="B1818" s="9" t="n">
        <v>1</v>
      </c>
      <c r="C1818" s="10" t="s">
        <v>1500</v>
      </c>
      <c r="D1818" s="10" t="s">
        <v>6387</v>
      </c>
      <c r="E1818" s="10" t="s">
        <v>2089</v>
      </c>
    </row>
    <row r="1819" customFormat="false" ht="25.5" hidden="false" customHeight="true" outlineLevel="0" collapsed="false">
      <c r="A1819" s="10" t="s">
        <v>7835</v>
      </c>
      <c r="B1819" s="9" t="n">
        <v>1</v>
      </c>
      <c r="C1819" s="10" t="s">
        <v>1500</v>
      </c>
      <c r="D1819" s="10" t="s">
        <v>6230</v>
      </c>
      <c r="E1819" s="10" t="s">
        <v>1680</v>
      </c>
    </row>
    <row r="1820" customFormat="false" ht="25.5" hidden="false" customHeight="true" outlineLevel="0" collapsed="false">
      <c r="A1820" s="10" t="s">
        <v>7836</v>
      </c>
      <c r="B1820" s="9" t="n">
        <v>1</v>
      </c>
      <c r="C1820" s="10" t="s">
        <v>2713</v>
      </c>
      <c r="D1820" s="10" t="s">
        <v>6125</v>
      </c>
      <c r="E1820" s="10" t="s">
        <v>2924</v>
      </c>
    </row>
    <row r="1821" customFormat="false" ht="25.5" hidden="false" customHeight="true" outlineLevel="0" collapsed="false">
      <c r="A1821" s="10" t="s">
        <v>7837</v>
      </c>
      <c r="B1821" s="9" t="n">
        <v>1</v>
      </c>
      <c r="C1821" s="10" t="s">
        <v>4949</v>
      </c>
      <c r="D1821" s="10" t="s">
        <v>5614</v>
      </c>
      <c r="E1821" s="10" t="s">
        <v>4977</v>
      </c>
    </row>
    <row r="1822" customFormat="false" ht="25.5" hidden="false" customHeight="true" outlineLevel="0" collapsed="false">
      <c r="A1822" s="10" t="s">
        <v>7838</v>
      </c>
      <c r="B1822" s="9" t="n">
        <v>1</v>
      </c>
      <c r="C1822" s="10" t="s">
        <v>4949</v>
      </c>
      <c r="D1822" s="10" t="s">
        <v>6612</v>
      </c>
      <c r="E1822" s="10" t="s">
        <v>5274</v>
      </c>
    </row>
    <row r="1823" customFormat="false" ht="25.5" hidden="false" customHeight="true" outlineLevel="0" collapsed="false">
      <c r="A1823" s="10" t="s">
        <v>7839</v>
      </c>
      <c r="B1823" s="9" t="n">
        <v>1</v>
      </c>
      <c r="C1823" s="10" t="s">
        <v>4949</v>
      </c>
      <c r="D1823" s="10" t="s">
        <v>6141</v>
      </c>
      <c r="E1823" s="10" t="s">
        <v>4990</v>
      </c>
    </row>
    <row r="1824" customFormat="false" ht="25.5" hidden="false" customHeight="true" outlineLevel="0" collapsed="false">
      <c r="A1824" s="10" t="s">
        <v>7840</v>
      </c>
      <c r="B1824" s="9" t="n">
        <v>1</v>
      </c>
      <c r="C1824" s="10" t="s">
        <v>837</v>
      </c>
      <c r="D1824" s="10" t="s">
        <v>5614</v>
      </c>
      <c r="E1824" s="10" t="s">
        <v>1460</v>
      </c>
    </row>
    <row r="1825" customFormat="false" ht="25.5" hidden="false" customHeight="true" outlineLevel="0" collapsed="false">
      <c r="A1825" s="10" t="s">
        <v>7841</v>
      </c>
      <c r="B1825" s="9" t="n">
        <v>1</v>
      </c>
      <c r="C1825" s="10" t="s">
        <v>4949</v>
      </c>
      <c r="D1825" s="10" t="s">
        <v>6237</v>
      </c>
      <c r="E1825" s="10" t="s">
        <v>4948</v>
      </c>
    </row>
    <row r="1826" customFormat="false" ht="25.5" hidden="false" customHeight="true" outlineLevel="0" collapsed="false">
      <c r="A1826" s="10" t="s">
        <v>7842</v>
      </c>
      <c r="B1826" s="9" t="n">
        <v>1</v>
      </c>
      <c r="C1826" s="10" t="s">
        <v>1500</v>
      </c>
      <c r="D1826" s="10" t="s">
        <v>6982</v>
      </c>
      <c r="E1826" s="10" t="s">
        <v>1693</v>
      </c>
    </row>
    <row r="1827" customFormat="false" ht="25.5" hidden="false" customHeight="true" outlineLevel="0" collapsed="false">
      <c r="A1827" s="10" t="s">
        <v>7843</v>
      </c>
      <c r="B1827" s="9" t="n">
        <v>1</v>
      </c>
      <c r="C1827" s="10" t="s">
        <v>837</v>
      </c>
      <c r="D1827" s="10" t="s">
        <v>6530</v>
      </c>
      <c r="E1827" s="10" t="s">
        <v>1148</v>
      </c>
    </row>
    <row r="1828" customFormat="false" ht="25.5" hidden="false" customHeight="true" outlineLevel="0" collapsed="false">
      <c r="A1828" s="10" t="s">
        <v>7844</v>
      </c>
      <c r="B1828" s="9" t="n">
        <v>1</v>
      </c>
      <c r="C1828" s="10" t="s">
        <v>59</v>
      </c>
      <c r="D1828" s="10" t="s">
        <v>5858</v>
      </c>
      <c r="E1828" s="10" t="s">
        <v>825</v>
      </c>
    </row>
    <row r="1829" customFormat="false" ht="25.5" hidden="false" customHeight="true" outlineLevel="0" collapsed="false">
      <c r="A1829" s="10" t="s">
        <v>7845</v>
      </c>
      <c r="B1829" s="9" t="n">
        <v>1</v>
      </c>
      <c r="C1829" s="10" t="s">
        <v>59</v>
      </c>
      <c r="D1829" s="10" t="s">
        <v>5907</v>
      </c>
      <c r="E1829" s="10" t="s">
        <v>560</v>
      </c>
    </row>
    <row r="1830" customFormat="false" ht="25.5" hidden="false" customHeight="true" outlineLevel="0" collapsed="false">
      <c r="A1830" s="10" t="s">
        <v>7846</v>
      </c>
      <c r="B1830" s="9" t="n">
        <v>1</v>
      </c>
      <c r="C1830" s="10" t="s">
        <v>4949</v>
      </c>
      <c r="D1830" s="10" t="s">
        <v>6197</v>
      </c>
      <c r="E1830" s="10" t="s">
        <v>5260</v>
      </c>
    </row>
    <row r="1831" customFormat="false" ht="25.5" hidden="false" customHeight="true" outlineLevel="0" collapsed="false">
      <c r="A1831" s="10" t="s">
        <v>7847</v>
      </c>
      <c r="B1831" s="9" t="n">
        <v>1</v>
      </c>
      <c r="C1831" s="10" t="s">
        <v>2140</v>
      </c>
      <c r="D1831" s="10" t="s">
        <v>6201</v>
      </c>
      <c r="E1831" s="10" t="s">
        <v>2325</v>
      </c>
    </row>
    <row r="1832" customFormat="false" ht="25.5" hidden="false" customHeight="true" outlineLevel="0" collapsed="false">
      <c r="A1832" s="10" t="s">
        <v>7848</v>
      </c>
      <c r="B1832" s="9" t="n">
        <v>1</v>
      </c>
      <c r="C1832" s="10" t="s">
        <v>59</v>
      </c>
      <c r="D1832" s="10" t="s">
        <v>5686</v>
      </c>
      <c r="E1832" s="10" t="s">
        <v>341</v>
      </c>
    </row>
    <row r="1833" customFormat="false" ht="25.5" hidden="false" customHeight="true" outlineLevel="0" collapsed="false">
      <c r="A1833" s="10" t="s">
        <v>7849</v>
      </c>
      <c r="B1833" s="9" t="n">
        <v>1</v>
      </c>
      <c r="C1833" s="10" t="s">
        <v>59</v>
      </c>
      <c r="D1833" s="10" t="s">
        <v>5686</v>
      </c>
      <c r="E1833" s="10" t="s">
        <v>341</v>
      </c>
    </row>
    <row r="1834" customFormat="false" ht="25.5" hidden="false" customHeight="true" outlineLevel="0" collapsed="false">
      <c r="A1834" s="10" t="s">
        <v>7850</v>
      </c>
      <c r="B1834" s="9" t="n">
        <v>1</v>
      </c>
      <c r="C1834" s="10" t="s">
        <v>2140</v>
      </c>
      <c r="D1834" s="10" t="s">
        <v>5598</v>
      </c>
      <c r="E1834" s="10" t="s">
        <v>2276</v>
      </c>
    </row>
    <row r="1835" customFormat="false" ht="25.5" hidden="false" customHeight="true" outlineLevel="0" collapsed="false">
      <c r="A1835" s="10" t="s">
        <v>7851</v>
      </c>
      <c r="B1835" s="9" t="n">
        <v>1</v>
      </c>
      <c r="C1835" s="10" t="s">
        <v>2140</v>
      </c>
      <c r="D1835" s="10" t="s">
        <v>5598</v>
      </c>
      <c r="E1835" s="10" t="s">
        <v>2276</v>
      </c>
    </row>
    <row r="1836" customFormat="false" ht="25.5" hidden="false" customHeight="true" outlineLevel="0" collapsed="false">
      <c r="A1836" s="10" t="s">
        <v>7852</v>
      </c>
      <c r="B1836" s="9" t="n">
        <v>1</v>
      </c>
      <c r="C1836" s="10" t="s">
        <v>59</v>
      </c>
      <c r="D1836" s="10" t="s">
        <v>5814</v>
      </c>
      <c r="E1836" s="10" t="s">
        <v>417</v>
      </c>
    </row>
    <row r="1837" customFormat="false" ht="25.5" hidden="false" customHeight="true" outlineLevel="0" collapsed="false">
      <c r="A1837" s="10" t="s">
        <v>7853</v>
      </c>
      <c r="B1837" s="9" t="n">
        <v>1</v>
      </c>
      <c r="C1837" s="10" t="s">
        <v>3291</v>
      </c>
      <c r="D1837" s="10" t="s">
        <v>6104</v>
      </c>
      <c r="E1837" s="10" t="s">
        <v>3446</v>
      </c>
    </row>
    <row r="1838" customFormat="false" ht="25.5" hidden="false" customHeight="true" outlineLevel="0" collapsed="false">
      <c r="A1838" s="10" t="s">
        <v>7854</v>
      </c>
      <c r="B1838" s="9" t="n">
        <v>1</v>
      </c>
      <c r="C1838" s="10" t="s">
        <v>59</v>
      </c>
      <c r="D1838" s="10" t="s">
        <v>5907</v>
      </c>
      <c r="E1838" s="10" t="s">
        <v>560</v>
      </c>
    </row>
    <row r="1839" customFormat="false" ht="25.5" hidden="false" customHeight="true" outlineLevel="0" collapsed="false">
      <c r="A1839" s="10" t="s">
        <v>7855</v>
      </c>
      <c r="B1839" s="9" t="n">
        <v>1</v>
      </c>
      <c r="C1839" s="10" t="s">
        <v>3291</v>
      </c>
      <c r="D1839" s="10" t="s">
        <v>7525</v>
      </c>
      <c r="E1839" s="10" t="s">
        <v>3513</v>
      </c>
    </row>
    <row r="1840" customFormat="false" ht="25.5" hidden="false" customHeight="true" outlineLevel="0" collapsed="false">
      <c r="A1840" s="10" t="s">
        <v>7856</v>
      </c>
      <c r="B1840" s="9" t="n">
        <v>1</v>
      </c>
      <c r="C1840" s="10" t="s">
        <v>3291</v>
      </c>
      <c r="D1840" s="10" t="s">
        <v>7525</v>
      </c>
      <c r="E1840" s="10" t="s">
        <v>3513</v>
      </c>
    </row>
    <row r="1841" customFormat="false" ht="25.5" hidden="false" customHeight="true" outlineLevel="0" collapsed="false">
      <c r="A1841" s="10" t="s">
        <v>7857</v>
      </c>
      <c r="B1841" s="9" t="n">
        <v>1</v>
      </c>
      <c r="C1841" s="10" t="s">
        <v>59</v>
      </c>
      <c r="D1841" s="10" t="s">
        <v>6555</v>
      </c>
      <c r="E1841" s="10" t="s">
        <v>612</v>
      </c>
    </row>
    <row r="1842" customFormat="false" ht="25.5" hidden="false" customHeight="true" outlineLevel="0" collapsed="false">
      <c r="A1842" s="10" t="s">
        <v>7858</v>
      </c>
      <c r="B1842" s="9" t="n">
        <v>1</v>
      </c>
      <c r="C1842" s="10" t="s">
        <v>59</v>
      </c>
      <c r="D1842" s="10" t="s">
        <v>235</v>
      </c>
      <c r="E1842" s="10" t="s">
        <v>453</v>
      </c>
    </row>
    <row r="1843" customFormat="false" ht="25.5" hidden="false" customHeight="true" outlineLevel="0" collapsed="false">
      <c r="A1843" s="10" t="s">
        <v>7859</v>
      </c>
      <c r="B1843" s="9" t="n">
        <v>1</v>
      </c>
      <c r="C1843" s="10" t="s">
        <v>2140</v>
      </c>
      <c r="D1843" s="10" t="s">
        <v>5598</v>
      </c>
      <c r="E1843" s="10" t="s">
        <v>2166</v>
      </c>
    </row>
    <row r="1844" customFormat="false" ht="25.5" hidden="false" customHeight="true" outlineLevel="0" collapsed="false">
      <c r="A1844" s="10" t="s">
        <v>7860</v>
      </c>
      <c r="B1844" s="9" t="n">
        <v>1</v>
      </c>
      <c r="C1844" s="10" t="s">
        <v>1500</v>
      </c>
      <c r="D1844" s="10" t="s">
        <v>7018</v>
      </c>
      <c r="E1844" s="10" t="s">
        <v>1897</v>
      </c>
    </row>
    <row r="1845" customFormat="false" ht="25.5" hidden="false" customHeight="true" outlineLevel="0" collapsed="false">
      <c r="A1845" s="10" t="s">
        <v>7861</v>
      </c>
      <c r="B1845" s="9" t="n">
        <v>1</v>
      </c>
      <c r="C1845" s="10" t="s">
        <v>3291</v>
      </c>
      <c r="D1845" s="10" t="s">
        <v>7085</v>
      </c>
      <c r="E1845" s="10" t="s">
        <v>3657</v>
      </c>
    </row>
    <row r="1846" customFormat="false" ht="25.5" hidden="false" customHeight="true" outlineLevel="0" collapsed="false">
      <c r="A1846" s="10" t="s">
        <v>7862</v>
      </c>
      <c r="B1846" s="9" t="n">
        <v>1</v>
      </c>
      <c r="C1846" s="10" t="s">
        <v>1500</v>
      </c>
      <c r="D1846" s="10" t="s">
        <v>6091</v>
      </c>
      <c r="E1846" s="10" t="s">
        <v>1859</v>
      </c>
    </row>
    <row r="1847" customFormat="false" ht="25.5" hidden="false" customHeight="true" outlineLevel="0" collapsed="false">
      <c r="A1847" s="10" t="s">
        <v>7863</v>
      </c>
      <c r="B1847" s="9" t="n">
        <v>1</v>
      </c>
      <c r="C1847" s="10" t="s">
        <v>59</v>
      </c>
      <c r="D1847" s="10" t="s">
        <v>5979</v>
      </c>
      <c r="E1847" s="10" t="s">
        <v>708</v>
      </c>
    </row>
    <row r="1848" customFormat="false" ht="25.5" hidden="false" customHeight="true" outlineLevel="0" collapsed="false">
      <c r="A1848" s="10" t="s">
        <v>7864</v>
      </c>
      <c r="B1848" s="9" t="n">
        <v>1</v>
      </c>
      <c r="C1848" s="10" t="s">
        <v>59</v>
      </c>
      <c r="D1848" s="10" t="s">
        <v>7865</v>
      </c>
      <c r="E1848" s="10" t="s">
        <v>176</v>
      </c>
    </row>
    <row r="1849" customFormat="false" ht="25.5" hidden="false" customHeight="true" outlineLevel="0" collapsed="false">
      <c r="A1849" s="10" t="s">
        <v>7866</v>
      </c>
      <c r="B1849" s="9" t="n">
        <v>1</v>
      </c>
      <c r="C1849" s="10" t="s">
        <v>1500</v>
      </c>
      <c r="D1849" s="10" t="s">
        <v>6085</v>
      </c>
      <c r="E1849" s="10" t="s">
        <v>1811</v>
      </c>
    </row>
    <row r="1850" customFormat="false" ht="25.5" hidden="false" customHeight="true" outlineLevel="0" collapsed="false">
      <c r="A1850" s="10" t="s">
        <v>7867</v>
      </c>
      <c r="B1850" s="9" t="n">
        <v>1</v>
      </c>
      <c r="C1850" s="10" t="s">
        <v>2713</v>
      </c>
      <c r="D1850" s="10" t="s">
        <v>5576</v>
      </c>
      <c r="E1850" s="10" t="s">
        <v>2963</v>
      </c>
    </row>
    <row r="1851" customFormat="false" ht="25.5" hidden="false" customHeight="true" outlineLevel="0" collapsed="false">
      <c r="A1851" s="10" t="s">
        <v>7868</v>
      </c>
      <c r="B1851" s="9" t="n">
        <v>1</v>
      </c>
      <c r="C1851" s="10" t="s">
        <v>4203</v>
      </c>
      <c r="D1851" s="10" t="s">
        <v>6673</v>
      </c>
      <c r="E1851" s="10" t="s">
        <v>4405</v>
      </c>
    </row>
    <row r="1852" customFormat="false" ht="25.5" hidden="false" customHeight="true" outlineLevel="0" collapsed="false">
      <c r="A1852" s="10" t="s">
        <v>7869</v>
      </c>
      <c r="B1852" s="9" t="n">
        <v>1</v>
      </c>
      <c r="C1852" s="10" t="s">
        <v>2140</v>
      </c>
      <c r="D1852" s="10" t="s">
        <v>6643</v>
      </c>
      <c r="E1852" s="10" t="s">
        <v>2442</v>
      </c>
    </row>
    <row r="1853" customFormat="false" ht="25.5" hidden="false" customHeight="true" outlineLevel="0" collapsed="false">
      <c r="A1853" s="10" t="s">
        <v>7870</v>
      </c>
      <c r="B1853" s="9" t="n">
        <v>1</v>
      </c>
      <c r="C1853" s="10" t="s">
        <v>4582</v>
      </c>
      <c r="D1853" s="10" t="s">
        <v>6581</v>
      </c>
      <c r="E1853" s="10" t="s">
        <v>4936</v>
      </c>
    </row>
    <row r="1854" customFormat="false" ht="25.5" hidden="false" customHeight="true" outlineLevel="0" collapsed="false">
      <c r="A1854" s="10" t="s">
        <v>7871</v>
      </c>
      <c r="B1854" s="9" t="n">
        <v>1</v>
      </c>
      <c r="C1854" s="10" t="s">
        <v>4582</v>
      </c>
      <c r="D1854" s="10" t="s">
        <v>6581</v>
      </c>
      <c r="E1854" s="10" t="s">
        <v>4936</v>
      </c>
    </row>
    <row r="1855" customFormat="false" ht="25.5" hidden="false" customHeight="true" outlineLevel="0" collapsed="false">
      <c r="A1855" s="10" t="s">
        <v>7872</v>
      </c>
      <c r="B1855" s="9" t="n">
        <v>1</v>
      </c>
      <c r="C1855" s="10" t="s">
        <v>4582</v>
      </c>
      <c r="D1855" s="10" t="s">
        <v>6581</v>
      </c>
      <c r="E1855" s="10" t="s">
        <v>4936</v>
      </c>
    </row>
    <row r="1856" customFormat="false" ht="25.5" hidden="false" customHeight="true" outlineLevel="0" collapsed="false">
      <c r="A1856" s="10" t="s">
        <v>7873</v>
      </c>
      <c r="B1856" s="9" t="n">
        <v>1</v>
      </c>
      <c r="C1856" s="10" t="s">
        <v>59</v>
      </c>
      <c r="D1856" s="10" t="s">
        <v>6555</v>
      </c>
      <c r="E1856" s="10" t="s">
        <v>652</v>
      </c>
    </row>
    <row r="1857" customFormat="false" ht="25.5" hidden="false" customHeight="true" outlineLevel="0" collapsed="false">
      <c r="A1857" s="10" t="s">
        <v>7874</v>
      </c>
      <c r="B1857" s="9" t="n">
        <v>1</v>
      </c>
      <c r="C1857" s="10" t="s">
        <v>837</v>
      </c>
      <c r="D1857" s="10" t="s">
        <v>5614</v>
      </c>
      <c r="E1857" s="10" t="s">
        <v>1460</v>
      </c>
    </row>
    <row r="1858" customFormat="false" ht="25.5" hidden="false" customHeight="true" outlineLevel="0" collapsed="false">
      <c r="A1858" s="10" t="s">
        <v>7875</v>
      </c>
      <c r="B1858" s="9" t="n">
        <v>1</v>
      </c>
      <c r="C1858" s="10" t="s">
        <v>2713</v>
      </c>
      <c r="D1858" s="10" t="s">
        <v>6491</v>
      </c>
      <c r="E1858" s="10" t="s">
        <v>3093</v>
      </c>
    </row>
    <row r="1859" customFormat="false" ht="25.5" hidden="false" customHeight="true" outlineLevel="0" collapsed="false">
      <c r="A1859" s="10" t="s">
        <v>7876</v>
      </c>
      <c r="B1859" s="9" t="n">
        <v>1</v>
      </c>
      <c r="C1859" s="10" t="s">
        <v>1500</v>
      </c>
      <c r="D1859" s="10" t="s">
        <v>6169</v>
      </c>
      <c r="E1859" s="10" t="s">
        <v>1848</v>
      </c>
    </row>
    <row r="1860" customFormat="false" ht="25.5" hidden="false" customHeight="true" outlineLevel="0" collapsed="false">
      <c r="A1860" s="10" t="s">
        <v>7877</v>
      </c>
      <c r="B1860" s="9" t="n">
        <v>1</v>
      </c>
      <c r="C1860" s="10" t="s">
        <v>1500</v>
      </c>
      <c r="D1860" s="10" t="s">
        <v>6130</v>
      </c>
      <c r="E1860" s="10" t="s">
        <v>1872</v>
      </c>
    </row>
    <row r="1861" customFormat="false" ht="25.5" hidden="false" customHeight="true" outlineLevel="0" collapsed="false">
      <c r="A1861" s="10" t="s">
        <v>7878</v>
      </c>
      <c r="B1861" s="9" t="n">
        <v>1</v>
      </c>
      <c r="C1861" s="10" t="s">
        <v>1500</v>
      </c>
      <c r="D1861" s="10" t="s">
        <v>6130</v>
      </c>
      <c r="E1861" s="10" t="s">
        <v>1872</v>
      </c>
    </row>
    <row r="1862" customFormat="false" ht="25.5" hidden="false" customHeight="true" outlineLevel="0" collapsed="false">
      <c r="A1862" s="10" t="s">
        <v>7879</v>
      </c>
      <c r="B1862" s="9" t="n">
        <v>1</v>
      </c>
      <c r="C1862" s="10" t="s">
        <v>2713</v>
      </c>
      <c r="D1862" s="10" t="s">
        <v>7046</v>
      </c>
      <c r="E1862" s="10" t="s">
        <v>3143</v>
      </c>
    </row>
    <row r="1863" customFormat="false" ht="25.5" hidden="false" customHeight="true" outlineLevel="0" collapsed="false">
      <c r="A1863" s="10" t="s">
        <v>7880</v>
      </c>
      <c r="B1863" s="9" t="n">
        <v>1</v>
      </c>
      <c r="C1863" s="10" t="s">
        <v>837</v>
      </c>
      <c r="D1863" s="10" t="s">
        <v>6218</v>
      </c>
      <c r="E1863" s="10" t="s">
        <v>981</v>
      </c>
    </row>
    <row r="1864" customFormat="false" ht="25.5" hidden="false" customHeight="true" outlineLevel="0" collapsed="false">
      <c r="A1864" s="10" t="s">
        <v>7881</v>
      </c>
      <c r="B1864" s="9" t="n">
        <v>1</v>
      </c>
      <c r="C1864" s="10" t="s">
        <v>2713</v>
      </c>
      <c r="D1864" s="10" t="s">
        <v>6228</v>
      </c>
      <c r="E1864" s="10" t="s">
        <v>3082</v>
      </c>
    </row>
    <row r="1865" customFormat="false" ht="25.5" hidden="false" customHeight="true" outlineLevel="0" collapsed="false">
      <c r="A1865" s="10" t="s">
        <v>7882</v>
      </c>
      <c r="B1865" s="9" t="n">
        <v>1</v>
      </c>
      <c r="C1865" s="10" t="s">
        <v>4203</v>
      </c>
      <c r="D1865" s="10" t="s">
        <v>6643</v>
      </c>
      <c r="E1865" s="10" t="s">
        <v>4416</v>
      </c>
    </row>
    <row r="1866" customFormat="false" ht="25.5" hidden="false" customHeight="true" outlineLevel="0" collapsed="false">
      <c r="A1866" s="10" t="s">
        <v>7883</v>
      </c>
      <c r="B1866" s="9" t="n">
        <v>1</v>
      </c>
      <c r="C1866" s="10" t="s">
        <v>2713</v>
      </c>
      <c r="D1866" s="10" t="s">
        <v>5979</v>
      </c>
      <c r="E1866" s="10" t="s">
        <v>3156</v>
      </c>
    </row>
    <row r="1867" customFormat="false" ht="25.5" hidden="false" customHeight="true" outlineLevel="0" collapsed="false">
      <c r="A1867" s="10" t="s">
        <v>7884</v>
      </c>
      <c r="B1867" s="9" t="n">
        <v>1</v>
      </c>
      <c r="C1867" s="10" t="s">
        <v>2713</v>
      </c>
      <c r="D1867" s="10" t="s">
        <v>5979</v>
      </c>
      <c r="E1867" s="10" t="s">
        <v>3156</v>
      </c>
    </row>
    <row r="1868" customFormat="false" ht="25.5" hidden="false" customHeight="true" outlineLevel="0" collapsed="false">
      <c r="A1868" s="10" t="s">
        <v>7885</v>
      </c>
      <c r="B1868" s="9" t="n">
        <v>1</v>
      </c>
      <c r="C1868" s="10" t="s">
        <v>2713</v>
      </c>
      <c r="D1868" s="10" t="s">
        <v>6239</v>
      </c>
      <c r="E1868" s="10" t="s">
        <v>3180</v>
      </c>
    </row>
    <row r="1869" customFormat="false" ht="25.5" hidden="false" customHeight="true" outlineLevel="0" collapsed="false">
      <c r="A1869" s="10" t="s">
        <v>7886</v>
      </c>
      <c r="B1869" s="9" t="n">
        <v>1</v>
      </c>
      <c r="C1869" s="10" t="s">
        <v>3842</v>
      </c>
      <c r="D1869" s="10" t="s">
        <v>6006</v>
      </c>
      <c r="E1869" s="10" t="s">
        <v>3956</v>
      </c>
    </row>
    <row r="1870" customFormat="false" ht="25.5" hidden="false" customHeight="true" outlineLevel="0" collapsed="false">
      <c r="A1870" s="10" t="s">
        <v>7887</v>
      </c>
      <c r="B1870" s="9" t="n">
        <v>1</v>
      </c>
      <c r="C1870" s="10" t="s">
        <v>4949</v>
      </c>
      <c r="D1870" s="10" t="s">
        <v>6254</v>
      </c>
      <c r="E1870" s="10" t="s">
        <v>5247</v>
      </c>
    </row>
    <row r="1871" customFormat="false" ht="25.5" hidden="false" customHeight="true" outlineLevel="0" collapsed="false">
      <c r="A1871" s="10" t="s">
        <v>7888</v>
      </c>
      <c r="B1871" s="9" t="n">
        <v>1</v>
      </c>
      <c r="C1871" s="10" t="s">
        <v>4582</v>
      </c>
      <c r="D1871" s="10" t="s">
        <v>5966</v>
      </c>
      <c r="E1871" s="10" t="s">
        <v>4620</v>
      </c>
    </row>
    <row r="1872" customFormat="false" ht="25.5" hidden="false" customHeight="true" outlineLevel="0" collapsed="false">
      <c r="A1872" s="10" t="s">
        <v>7889</v>
      </c>
      <c r="B1872" s="9" t="n">
        <v>1</v>
      </c>
      <c r="C1872" s="10" t="s">
        <v>2140</v>
      </c>
      <c r="D1872" s="10" t="s">
        <v>5707</v>
      </c>
      <c r="E1872" s="10" t="s">
        <v>2430</v>
      </c>
    </row>
    <row r="1873" customFormat="false" ht="25.5" hidden="false" customHeight="true" outlineLevel="0" collapsed="false">
      <c r="A1873" s="10" t="s">
        <v>7890</v>
      </c>
      <c r="B1873" s="9" t="n">
        <v>1</v>
      </c>
      <c r="C1873" s="10" t="s">
        <v>1500</v>
      </c>
      <c r="D1873" s="10" t="s">
        <v>6442</v>
      </c>
      <c r="E1873" s="10" t="s">
        <v>1653</v>
      </c>
    </row>
    <row r="1874" customFormat="false" ht="25.5" hidden="false" customHeight="true" outlineLevel="0" collapsed="false">
      <c r="A1874" s="10" t="s">
        <v>7891</v>
      </c>
      <c r="B1874" s="9" t="n">
        <v>1</v>
      </c>
      <c r="C1874" s="10" t="s">
        <v>1500</v>
      </c>
      <c r="D1874" s="10" t="s">
        <v>6444</v>
      </c>
      <c r="E1874" s="10" t="s">
        <v>1910</v>
      </c>
    </row>
    <row r="1875" customFormat="false" ht="25.5" hidden="false" customHeight="true" outlineLevel="0" collapsed="false">
      <c r="A1875" s="10" t="s">
        <v>7892</v>
      </c>
      <c r="B1875" s="9" t="n">
        <v>1</v>
      </c>
      <c r="C1875" s="10" t="s">
        <v>4582</v>
      </c>
      <c r="D1875" s="10" t="s">
        <v>6453</v>
      </c>
      <c r="E1875" s="10" t="s">
        <v>4608</v>
      </c>
    </row>
    <row r="1876" customFormat="false" ht="25.5" hidden="false" customHeight="true" outlineLevel="0" collapsed="false">
      <c r="A1876" s="10" t="s">
        <v>7893</v>
      </c>
      <c r="B1876" s="9" t="n">
        <v>1</v>
      </c>
      <c r="C1876" s="10" t="s">
        <v>2140</v>
      </c>
      <c r="D1876" s="10" t="s">
        <v>7349</v>
      </c>
      <c r="E1876" s="10" t="s">
        <v>2287</v>
      </c>
    </row>
    <row r="1877" customFormat="false" ht="25.5" hidden="false" customHeight="true" outlineLevel="0" collapsed="false">
      <c r="A1877" s="10" t="s">
        <v>7894</v>
      </c>
      <c r="B1877" s="9" t="n">
        <v>1</v>
      </c>
      <c r="C1877" s="10" t="s">
        <v>4582</v>
      </c>
      <c r="D1877" s="10" t="s">
        <v>7619</v>
      </c>
      <c r="E1877" s="10" t="s">
        <v>4884</v>
      </c>
    </row>
    <row r="1878" customFormat="false" ht="25.5" hidden="false" customHeight="true" outlineLevel="0" collapsed="false">
      <c r="A1878" s="10" t="s">
        <v>7895</v>
      </c>
      <c r="B1878" s="9" t="n">
        <v>1</v>
      </c>
      <c r="C1878" s="10" t="s">
        <v>2140</v>
      </c>
      <c r="D1878" s="10" t="s">
        <v>7349</v>
      </c>
      <c r="E1878" s="10" t="s">
        <v>2287</v>
      </c>
    </row>
    <row r="1879" customFormat="false" ht="25.5" hidden="false" customHeight="true" outlineLevel="0" collapsed="false">
      <c r="A1879" s="10" t="s">
        <v>7896</v>
      </c>
      <c r="B1879" s="9" t="n">
        <v>1</v>
      </c>
      <c r="C1879" s="10" t="s">
        <v>1500</v>
      </c>
      <c r="D1879" s="10" t="s">
        <v>6896</v>
      </c>
      <c r="E1879" s="10" t="s">
        <v>2064</v>
      </c>
    </row>
    <row r="1880" customFormat="false" ht="25.5" hidden="false" customHeight="true" outlineLevel="0" collapsed="false">
      <c r="A1880" s="10" t="s">
        <v>7897</v>
      </c>
      <c r="B1880" s="9" t="n">
        <v>1</v>
      </c>
      <c r="C1880" s="10" t="s">
        <v>2140</v>
      </c>
      <c r="D1880" s="10" t="s">
        <v>5707</v>
      </c>
      <c r="E1880" s="10" t="s">
        <v>2430</v>
      </c>
    </row>
    <row r="1881" customFormat="false" ht="25.5" hidden="false" customHeight="true" outlineLevel="0" collapsed="false">
      <c r="A1881" s="10" t="s">
        <v>7898</v>
      </c>
      <c r="B1881" s="9" t="n">
        <v>1</v>
      </c>
      <c r="C1881" s="10" t="s">
        <v>1500</v>
      </c>
      <c r="D1881" s="10" t="s">
        <v>6896</v>
      </c>
      <c r="E1881" s="10" t="s">
        <v>2064</v>
      </c>
    </row>
    <row r="1882" customFormat="false" ht="25.5" hidden="false" customHeight="true" outlineLevel="0" collapsed="false">
      <c r="A1882" s="10" t="s">
        <v>7899</v>
      </c>
      <c r="B1882" s="9" t="n">
        <v>1</v>
      </c>
      <c r="C1882" s="10" t="s">
        <v>2140</v>
      </c>
      <c r="D1882" s="10" t="s">
        <v>5598</v>
      </c>
      <c r="E1882" s="10" t="s">
        <v>2700</v>
      </c>
    </row>
    <row r="1883" customFormat="false" ht="25.5" hidden="false" customHeight="true" outlineLevel="0" collapsed="false">
      <c r="A1883" s="10" t="s">
        <v>7900</v>
      </c>
      <c r="B1883" s="9" t="n">
        <v>1</v>
      </c>
      <c r="C1883" s="10" t="s">
        <v>1500</v>
      </c>
      <c r="D1883" s="10" t="s">
        <v>6705</v>
      </c>
      <c r="E1883" s="10" t="s">
        <v>2126</v>
      </c>
    </row>
    <row r="1884" customFormat="false" ht="25.5" hidden="false" customHeight="true" outlineLevel="0" collapsed="false">
      <c r="A1884" s="10" t="s">
        <v>7901</v>
      </c>
      <c r="B1884" s="9" t="n">
        <v>1</v>
      </c>
      <c r="C1884" s="10" t="s">
        <v>4582</v>
      </c>
      <c r="D1884" s="10" t="s">
        <v>6453</v>
      </c>
      <c r="E1884" s="10" t="s">
        <v>4594</v>
      </c>
    </row>
    <row r="1885" customFormat="false" ht="25.5" hidden="false" customHeight="true" outlineLevel="0" collapsed="false">
      <c r="A1885" s="10" t="s">
        <v>7902</v>
      </c>
      <c r="B1885" s="9" t="n">
        <v>1</v>
      </c>
      <c r="C1885" s="10" t="s">
        <v>4582</v>
      </c>
      <c r="D1885" s="10" t="s">
        <v>6453</v>
      </c>
      <c r="E1885" s="10" t="s">
        <v>4594</v>
      </c>
    </row>
    <row r="1886" customFormat="false" ht="25.5" hidden="false" customHeight="true" outlineLevel="0" collapsed="false">
      <c r="A1886" s="10" t="s">
        <v>7903</v>
      </c>
      <c r="B1886" s="9" t="n">
        <v>1</v>
      </c>
      <c r="C1886" s="10" t="s">
        <v>4203</v>
      </c>
      <c r="D1886" s="10" t="s">
        <v>6534</v>
      </c>
      <c r="E1886" s="10" t="s">
        <v>4202</v>
      </c>
    </row>
    <row r="1887" customFormat="false" ht="25.5" hidden="false" customHeight="true" outlineLevel="0" collapsed="false">
      <c r="A1887" s="10" t="s">
        <v>7904</v>
      </c>
      <c r="B1887" s="9" t="n">
        <v>1</v>
      </c>
      <c r="C1887" s="10" t="s">
        <v>4582</v>
      </c>
      <c r="D1887" s="10" t="s">
        <v>6638</v>
      </c>
      <c r="E1887" s="10" t="s">
        <v>4740</v>
      </c>
    </row>
    <row r="1888" customFormat="false" ht="25.5" hidden="false" customHeight="true" outlineLevel="0" collapsed="false">
      <c r="A1888" s="10" t="s">
        <v>7905</v>
      </c>
      <c r="B1888" s="9" t="n">
        <v>1</v>
      </c>
      <c r="C1888" s="10" t="s">
        <v>2140</v>
      </c>
      <c r="D1888" s="10" t="s">
        <v>5707</v>
      </c>
      <c r="E1888" s="10" t="s">
        <v>2430</v>
      </c>
    </row>
    <row r="1889" customFormat="false" ht="25.5" hidden="false" customHeight="true" outlineLevel="0" collapsed="false">
      <c r="A1889" s="10" t="s">
        <v>7906</v>
      </c>
      <c r="B1889" s="9" t="n">
        <v>1</v>
      </c>
      <c r="C1889" s="10" t="s">
        <v>4582</v>
      </c>
      <c r="D1889" s="10" t="s">
        <v>7907</v>
      </c>
      <c r="E1889" s="10" t="s">
        <v>4898</v>
      </c>
    </row>
    <row r="1890" customFormat="false" ht="25.5" hidden="false" customHeight="true" outlineLevel="0" collapsed="false">
      <c r="A1890" s="10" t="s">
        <v>7908</v>
      </c>
      <c r="B1890" s="9" t="n">
        <v>1</v>
      </c>
      <c r="C1890" s="10" t="s">
        <v>1500</v>
      </c>
      <c r="D1890" s="10" t="s">
        <v>6544</v>
      </c>
      <c r="E1890" s="10" t="s">
        <v>1756</v>
      </c>
    </row>
    <row r="1891" customFormat="false" ht="25.5" hidden="false" customHeight="true" outlineLevel="0" collapsed="false">
      <c r="A1891" s="10" t="s">
        <v>7909</v>
      </c>
      <c r="B1891" s="9" t="n">
        <v>1</v>
      </c>
      <c r="C1891" s="10" t="s">
        <v>1500</v>
      </c>
      <c r="D1891" s="10" t="s">
        <v>5910</v>
      </c>
      <c r="E1891" s="10" t="s">
        <v>1627</v>
      </c>
    </row>
    <row r="1892" customFormat="false" ht="25.5" hidden="false" customHeight="true" outlineLevel="0" collapsed="false">
      <c r="A1892" s="10" t="s">
        <v>7910</v>
      </c>
      <c r="B1892" s="9" t="n">
        <v>1</v>
      </c>
      <c r="C1892" s="10" t="s">
        <v>1500</v>
      </c>
      <c r="D1892" s="10" t="s">
        <v>6230</v>
      </c>
      <c r="E1892" s="10" t="s">
        <v>1680</v>
      </c>
    </row>
    <row r="1893" customFormat="false" ht="25.5" hidden="false" customHeight="true" outlineLevel="0" collapsed="false">
      <c r="A1893" s="10" t="s">
        <v>7911</v>
      </c>
      <c r="B1893" s="9" t="n">
        <v>1</v>
      </c>
      <c r="C1893" s="10" t="s">
        <v>1500</v>
      </c>
      <c r="D1893" s="10" t="s">
        <v>5910</v>
      </c>
      <c r="E1893" s="10" t="s">
        <v>1627</v>
      </c>
    </row>
    <row r="1894" customFormat="false" ht="25.5" hidden="false" customHeight="true" outlineLevel="0" collapsed="false">
      <c r="A1894" s="10" t="s">
        <v>7912</v>
      </c>
      <c r="B1894" s="9" t="n">
        <v>1</v>
      </c>
      <c r="C1894" s="10" t="s">
        <v>1500</v>
      </c>
      <c r="D1894" s="10" t="s">
        <v>5910</v>
      </c>
      <c r="E1894" s="10" t="s">
        <v>1627</v>
      </c>
    </row>
    <row r="1895" customFormat="false" ht="25.5" hidden="false" customHeight="true" outlineLevel="0" collapsed="false">
      <c r="A1895" s="10" t="s">
        <v>7913</v>
      </c>
      <c r="B1895" s="9" t="n">
        <v>1</v>
      </c>
      <c r="C1895" s="10" t="s">
        <v>1500</v>
      </c>
      <c r="D1895" s="10" t="s">
        <v>5910</v>
      </c>
      <c r="E1895" s="10" t="s">
        <v>1627</v>
      </c>
    </row>
    <row r="1896" customFormat="false" ht="25.5" hidden="false" customHeight="true" outlineLevel="0" collapsed="false">
      <c r="A1896" s="10" t="s">
        <v>7914</v>
      </c>
      <c r="B1896" s="9" t="n">
        <v>1</v>
      </c>
      <c r="C1896" s="10" t="s">
        <v>4582</v>
      </c>
      <c r="D1896" s="10" t="s">
        <v>6638</v>
      </c>
      <c r="E1896" s="10" t="s">
        <v>4740</v>
      </c>
    </row>
    <row r="1897" customFormat="false" ht="25.5" hidden="false" customHeight="true" outlineLevel="0" collapsed="false">
      <c r="A1897" s="10" t="s">
        <v>7915</v>
      </c>
      <c r="B1897" s="9" t="n">
        <v>1</v>
      </c>
      <c r="C1897" s="10" t="s">
        <v>837</v>
      </c>
      <c r="D1897" s="10" t="s">
        <v>6232</v>
      </c>
      <c r="E1897" s="10" t="s">
        <v>1162</v>
      </c>
    </row>
    <row r="1898" customFormat="false" ht="25.5" hidden="false" customHeight="true" outlineLevel="0" collapsed="false">
      <c r="A1898" s="10" t="s">
        <v>7916</v>
      </c>
      <c r="B1898" s="9" t="n">
        <v>1</v>
      </c>
      <c r="C1898" s="10" t="s">
        <v>1500</v>
      </c>
      <c r="D1898" s="10" t="s">
        <v>7147</v>
      </c>
      <c r="E1898" s="10" t="s">
        <v>1730</v>
      </c>
    </row>
    <row r="1899" customFormat="false" ht="25.5" hidden="false" customHeight="true" outlineLevel="0" collapsed="false">
      <c r="A1899" s="10" t="s">
        <v>7917</v>
      </c>
      <c r="B1899" s="9" t="n">
        <v>1</v>
      </c>
      <c r="C1899" s="10" t="s">
        <v>1500</v>
      </c>
      <c r="D1899" s="10" t="s">
        <v>7147</v>
      </c>
      <c r="E1899" s="10" t="s">
        <v>1730</v>
      </c>
    </row>
    <row r="1900" customFormat="false" ht="25.5" hidden="false" customHeight="true" outlineLevel="0" collapsed="false">
      <c r="A1900" s="10" t="s">
        <v>7918</v>
      </c>
      <c r="B1900" s="9" t="n">
        <v>1</v>
      </c>
      <c r="C1900" s="10" t="s">
        <v>1500</v>
      </c>
      <c r="D1900" s="10" t="s">
        <v>6315</v>
      </c>
      <c r="E1900" s="10" t="s">
        <v>1770</v>
      </c>
    </row>
    <row r="1901" customFormat="false" ht="25.5" hidden="false" customHeight="true" outlineLevel="0" collapsed="false">
      <c r="A1901" s="10" t="s">
        <v>7919</v>
      </c>
      <c r="B1901" s="9" t="n">
        <v>1</v>
      </c>
      <c r="C1901" s="10" t="s">
        <v>3842</v>
      </c>
      <c r="D1901" s="10" t="s">
        <v>6287</v>
      </c>
      <c r="E1901" s="10" t="s">
        <v>3944</v>
      </c>
    </row>
    <row r="1902" customFormat="false" ht="25.5" hidden="false" customHeight="true" outlineLevel="0" collapsed="false">
      <c r="A1902" s="10" t="s">
        <v>7920</v>
      </c>
      <c r="B1902" s="9" t="n">
        <v>1</v>
      </c>
      <c r="C1902" s="10" t="s">
        <v>3842</v>
      </c>
      <c r="D1902" s="10" t="s">
        <v>5981</v>
      </c>
      <c r="E1902" s="10" t="s">
        <v>4049</v>
      </c>
    </row>
    <row r="1903" customFormat="false" ht="25.5" hidden="false" customHeight="true" outlineLevel="0" collapsed="false">
      <c r="A1903" s="10" t="s">
        <v>7921</v>
      </c>
      <c r="B1903" s="9" t="n">
        <v>1</v>
      </c>
      <c r="C1903" s="10" t="s">
        <v>837</v>
      </c>
      <c r="D1903" s="10" t="s">
        <v>5609</v>
      </c>
      <c r="E1903" s="10" t="s">
        <v>1395</v>
      </c>
    </row>
    <row r="1904" customFormat="false" ht="25.5" hidden="false" customHeight="true" outlineLevel="0" collapsed="false">
      <c r="A1904" s="10" t="s">
        <v>7922</v>
      </c>
      <c r="B1904" s="9" t="n">
        <v>1</v>
      </c>
      <c r="C1904" s="10" t="s">
        <v>3291</v>
      </c>
      <c r="D1904" s="10" t="s">
        <v>7923</v>
      </c>
      <c r="E1904" s="10" t="s">
        <v>3605</v>
      </c>
    </row>
    <row r="1905" customFormat="false" ht="25.5" hidden="false" customHeight="true" outlineLevel="0" collapsed="false">
      <c r="A1905" s="10" t="s">
        <v>7924</v>
      </c>
      <c r="B1905" s="9" t="n">
        <v>1</v>
      </c>
      <c r="C1905" s="10" t="s">
        <v>837</v>
      </c>
      <c r="D1905" s="10" t="s">
        <v>7072</v>
      </c>
      <c r="E1905" s="10" t="s">
        <v>1432</v>
      </c>
    </row>
    <row r="1906" customFormat="false" ht="25.5" hidden="false" customHeight="true" outlineLevel="0" collapsed="false">
      <c r="A1906" s="10" t="s">
        <v>7925</v>
      </c>
      <c r="B1906" s="9" t="n">
        <v>1</v>
      </c>
      <c r="C1906" s="10" t="s">
        <v>837</v>
      </c>
      <c r="D1906" s="10" t="s">
        <v>6655</v>
      </c>
      <c r="E1906" s="10" t="s">
        <v>1354</v>
      </c>
    </row>
    <row r="1907" customFormat="false" ht="25.5" hidden="false" customHeight="true" outlineLevel="0" collapsed="false">
      <c r="A1907" s="10" t="s">
        <v>7926</v>
      </c>
      <c r="B1907" s="9" t="n">
        <v>1</v>
      </c>
      <c r="C1907" s="10" t="s">
        <v>1500</v>
      </c>
      <c r="D1907" s="10" t="s">
        <v>6088</v>
      </c>
      <c r="E1907" s="10" t="s">
        <v>1551</v>
      </c>
    </row>
    <row r="1908" customFormat="false" ht="25.5" hidden="false" customHeight="true" outlineLevel="0" collapsed="false">
      <c r="A1908" s="10" t="s">
        <v>7927</v>
      </c>
      <c r="B1908" s="9" t="n">
        <v>1</v>
      </c>
      <c r="C1908" s="10" t="s">
        <v>4582</v>
      </c>
      <c r="D1908" s="10" t="s">
        <v>6514</v>
      </c>
      <c r="E1908" s="10" t="s">
        <v>4870</v>
      </c>
    </row>
    <row r="1909" customFormat="false" ht="25.5" hidden="false" customHeight="true" outlineLevel="0" collapsed="false">
      <c r="A1909" s="10" t="s">
        <v>7928</v>
      </c>
      <c r="B1909" s="9" t="n">
        <v>1</v>
      </c>
      <c r="C1909" s="10" t="s">
        <v>4949</v>
      </c>
      <c r="D1909" s="10" t="s">
        <v>6612</v>
      </c>
      <c r="E1909" s="10" t="s">
        <v>5274</v>
      </c>
    </row>
    <row r="1910" customFormat="false" ht="25.5" hidden="false" customHeight="true" outlineLevel="0" collapsed="false">
      <c r="A1910" s="10" t="s">
        <v>7929</v>
      </c>
      <c r="B1910" s="9" t="n">
        <v>1</v>
      </c>
      <c r="C1910" s="10" t="s">
        <v>2140</v>
      </c>
      <c r="D1910" s="10" t="s">
        <v>6810</v>
      </c>
      <c r="E1910" s="10" t="s">
        <v>2389</v>
      </c>
    </row>
    <row r="1911" customFormat="false" ht="25.5" hidden="false" customHeight="true" outlineLevel="0" collapsed="false">
      <c r="A1911" s="10" t="s">
        <v>7930</v>
      </c>
      <c r="B1911" s="9" t="n">
        <v>1</v>
      </c>
      <c r="C1911" s="10" t="s">
        <v>4582</v>
      </c>
      <c r="D1911" s="10" t="s">
        <v>7931</v>
      </c>
      <c r="E1911" s="10" t="s">
        <v>4648</v>
      </c>
    </row>
    <row r="1912" customFormat="false" ht="25.5" hidden="false" customHeight="true" outlineLevel="0" collapsed="false">
      <c r="A1912" s="10" t="s">
        <v>7932</v>
      </c>
      <c r="B1912" s="9" t="n">
        <v>1</v>
      </c>
      <c r="C1912" s="10" t="s">
        <v>4582</v>
      </c>
      <c r="D1912" s="10" t="s">
        <v>7931</v>
      </c>
      <c r="E1912" s="10" t="s">
        <v>4648</v>
      </c>
    </row>
    <row r="1913" customFormat="false" ht="25.5" hidden="false" customHeight="true" outlineLevel="0" collapsed="false">
      <c r="A1913" s="10" t="s">
        <v>7933</v>
      </c>
      <c r="B1913" s="9" t="n">
        <v>1</v>
      </c>
      <c r="C1913" s="10" t="s">
        <v>4582</v>
      </c>
      <c r="D1913" s="10" t="s">
        <v>7931</v>
      </c>
      <c r="E1913" s="10" t="s">
        <v>4648</v>
      </c>
    </row>
    <row r="1914" customFormat="false" ht="25.5" hidden="false" customHeight="true" outlineLevel="0" collapsed="false">
      <c r="A1914" s="10" t="s">
        <v>7934</v>
      </c>
      <c r="B1914" s="9" t="n">
        <v>1</v>
      </c>
      <c r="C1914" s="10" t="s">
        <v>1500</v>
      </c>
      <c r="D1914" s="10" t="s">
        <v>6896</v>
      </c>
      <c r="E1914" s="10" t="s">
        <v>2064</v>
      </c>
    </row>
    <row r="1915" customFormat="false" ht="25.5" hidden="false" customHeight="true" outlineLevel="0" collapsed="false">
      <c r="A1915" s="10" t="s">
        <v>7935</v>
      </c>
      <c r="B1915" s="9" t="n">
        <v>1</v>
      </c>
      <c r="C1915" s="10" t="s">
        <v>4582</v>
      </c>
      <c r="D1915" s="10" t="s">
        <v>7931</v>
      </c>
      <c r="E1915" s="10" t="s">
        <v>4648</v>
      </c>
    </row>
    <row r="1916" customFormat="false" ht="25.5" hidden="false" customHeight="true" outlineLevel="0" collapsed="false">
      <c r="A1916" s="10" t="s">
        <v>7936</v>
      </c>
      <c r="B1916" s="9" t="n">
        <v>1</v>
      </c>
      <c r="C1916" s="10" t="s">
        <v>4582</v>
      </c>
      <c r="D1916" s="10" t="s">
        <v>7931</v>
      </c>
      <c r="E1916" s="10" t="s">
        <v>4648</v>
      </c>
    </row>
    <row r="1917" customFormat="false" ht="25.5" hidden="false" customHeight="true" outlineLevel="0" collapsed="false">
      <c r="A1917" s="10" t="s">
        <v>7937</v>
      </c>
      <c r="B1917" s="9" t="n">
        <v>1</v>
      </c>
      <c r="C1917" s="10" t="s">
        <v>4203</v>
      </c>
      <c r="D1917" s="10" t="s">
        <v>6171</v>
      </c>
      <c r="E1917" s="10" t="s">
        <v>4353</v>
      </c>
    </row>
    <row r="1918" customFormat="false" ht="25.5" hidden="false" customHeight="true" outlineLevel="0" collapsed="false">
      <c r="A1918" s="10" t="s">
        <v>7938</v>
      </c>
      <c r="B1918" s="9" t="n">
        <v>1</v>
      </c>
      <c r="C1918" s="10" t="s">
        <v>4203</v>
      </c>
      <c r="D1918" s="10" t="s">
        <v>6537</v>
      </c>
      <c r="E1918" s="10" t="s">
        <v>4282</v>
      </c>
    </row>
    <row r="1919" customFormat="false" ht="25.5" hidden="false" customHeight="true" outlineLevel="0" collapsed="false">
      <c r="A1919" s="10" t="s">
        <v>7939</v>
      </c>
      <c r="B1919" s="9" t="n">
        <v>1</v>
      </c>
      <c r="C1919" s="10" t="s">
        <v>4203</v>
      </c>
      <c r="D1919" s="10" t="s">
        <v>6537</v>
      </c>
      <c r="E1919" s="10" t="s">
        <v>4282</v>
      </c>
    </row>
    <row r="1920" customFormat="false" ht="25.5" hidden="false" customHeight="true" outlineLevel="0" collapsed="false">
      <c r="A1920" s="10" t="s">
        <v>7940</v>
      </c>
      <c r="B1920" s="9" t="n">
        <v>1</v>
      </c>
      <c r="C1920" s="10" t="s">
        <v>4203</v>
      </c>
      <c r="D1920" s="10" t="s">
        <v>6537</v>
      </c>
      <c r="E1920" s="10" t="s">
        <v>4282</v>
      </c>
    </row>
    <row r="1921" customFormat="false" ht="25.5" hidden="false" customHeight="true" outlineLevel="0" collapsed="false">
      <c r="A1921" s="10" t="s">
        <v>7941</v>
      </c>
      <c r="B1921" s="9" t="n">
        <v>1</v>
      </c>
      <c r="C1921" s="10" t="s">
        <v>4203</v>
      </c>
      <c r="D1921" s="10" t="s">
        <v>6756</v>
      </c>
      <c r="E1921" s="10" t="s">
        <v>4367</v>
      </c>
    </row>
    <row r="1922" customFormat="false" ht="25.5" hidden="false" customHeight="true" outlineLevel="0" collapsed="false">
      <c r="A1922" s="10" t="s">
        <v>7942</v>
      </c>
      <c r="B1922" s="9" t="n">
        <v>1</v>
      </c>
      <c r="C1922" s="10" t="s">
        <v>4203</v>
      </c>
      <c r="D1922" s="10" t="s">
        <v>6171</v>
      </c>
      <c r="E1922" s="10" t="s">
        <v>4353</v>
      </c>
    </row>
    <row r="1923" customFormat="false" ht="25.5" hidden="false" customHeight="true" outlineLevel="0" collapsed="false">
      <c r="A1923" s="10" t="s">
        <v>7943</v>
      </c>
      <c r="B1923" s="9" t="n">
        <v>1</v>
      </c>
      <c r="C1923" s="10" t="s">
        <v>4203</v>
      </c>
      <c r="D1923" s="10" t="s">
        <v>6756</v>
      </c>
      <c r="E1923" s="10" t="s">
        <v>4367</v>
      </c>
    </row>
    <row r="1924" customFormat="false" ht="25.5" hidden="false" customHeight="true" outlineLevel="0" collapsed="false">
      <c r="A1924" s="10" t="s">
        <v>7944</v>
      </c>
      <c r="B1924" s="9" t="n">
        <v>1</v>
      </c>
      <c r="C1924" s="10" t="s">
        <v>4203</v>
      </c>
      <c r="D1924" s="10" t="s">
        <v>6756</v>
      </c>
      <c r="E1924" s="10" t="s">
        <v>4367</v>
      </c>
    </row>
    <row r="1925" customFormat="false" ht="25.5" hidden="false" customHeight="true" outlineLevel="0" collapsed="false">
      <c r="A1925" s="10" t="s">
        <v>7945</v>
      </c>
      <c r="B1925" s="9" t="n">
        <v>1</v>
      </c>
      <c r="C1925" s="10" t="s">
        <v>4203</v>
      </c>
      <c r="D1925" s="10" t="s">
        <v>6171</v>
      </c>
      <c r="E1925" s="10" t="s">
        <v>4353</v>
      </c>
    </row>
    <row r="1926" customFormat="false" ht="25.5" hidden="false" customHeight="true" outlineLevel="0" collapsed="false">
      <c r="A1926" s="10" t="s">
        <v>7946</v>
      </c>
      <c r="B1926" s="9" t="n">
        <v>1</v>
      </c>
      <c r="C1926" s="10" t="s">
        <v>4949</v>
      </c>
      <c r="D1926" s="10" t="s">
        <v>5242</v>
      </c>
      <c r="E1926" s="10" t="s">
        <v>5233</v>
      </c>
    </row>
    <row r="1927" customFormat="false" ht="25.5" hidden="false" customHeight="true" outlineLevel="0" collapsed="false">
      <c r="A1927" s="10" t="s">
        <v>7947</v>
      </c>
      <c r="B1927" s="9" t="n">
        <v>1</v>
      </c>
      <c r="C1927" s="10" t="s">
        <v>2140</v>
      </c>
      <c r="D1927" s="10" t="s">
        <v>5598</v>
      </c>
      <c r="E1927" s="10" t="s">
        <v>2266</v>
      </c>
    </row>
    <row r="1928" customFormat="false" ht="25.5" hidden="false" customHeight="true" outlineLevel="0" collapsed="false">
      <c r="A1928" s="10" t="s">
        <v>7948</v>
      </c>
      <c r="B1928" s="9" t="n">
        <v>1</v>
      </c>
      <c r="C1928" s="10" t="s">
        <v>4949</v>
      </c>
      <c r="D1928" s="10" t="s">
        <v>7118</v>
      </c>
      <c r="E1928" s="10" t="s">
        <v>5288</v>
      </c>
    </row>
    <row r="1929" customFormat="false" ht="25.5" hidden="false" customHeight="true" outlineLevel="0" collapsed="false">
      <c r="A1929" s="10" t="s">
        <v>7949</v>
      </c>
      <c r="B1929" s="9" t="n">
        <v>1</v>
      </c>
      <c r="C1929" s="10" t="s">
        <v>4203</v>
      </c>
      <c r="D1929" s="10" t="s">
        <v>6522</v>
      </c>
      <c r="E1929" s="10" t="s">
        <v>4517</v>
      </c>
    </row>
    <row r="1930" customFormat="false" ht="25.5" hidden="false" customHeight="true" outlineLevel="0" collapsed="false">
      <c r="A1930" s="10" t="s">
        <v>7950</v>
      </c>
      <c r="B1930" s="9" t="n">
        <v>1</v>
      </c>
      <c r="C1930" s="10" t="s">
        <v>4203</v>
      </c>
      <c r="D1930" s="10" t="s">
        <v>6416</v>
      </c>
      <c r="E1930" s="10" t="s">
        <v>4529</v>
      </c>
    </row>
    <row r="1931" customFormat="false" ht="25.5" hidden="false" customHeight="true" outlineLevel="0" collapsed="false">
      <c r="A1931" s="10" t="s">
        <v>7951</v>
      </c>
      <c r="B1931" s="9" t="n">
        <v>1</v>
      </c>
      <c r="C1931" s="10" t="s">
        <v>4203</v>
      </c>
      <c r="D1931" s="10" t="s">
        <v>6416</v>
      </c>
      <c r="E1931" s="10" t="s">
        <v>4505</v>
      </c>
    </row>
    <row r="1932" customFormat="false" ht="25.5" hidden="false" customHeight="true" outlineLevel="0" collapsed="false">
      <c r="A1932" s="10" t="s">
        <v>7952</v>
      </c>
      <c r="B1932" s="9" t="n">
        <v>1</v>
      </c>
      <c r="C1932" s="10" t="s">
        <v>4203</v>
      </c>
      <c r="D1932" s="10" t="s">
        <v>6416</v>
      </c>
      <c r="E1932" s="10" t="s">
        <v>4505</v>
      </c>
    </row>
    <row r="1933" customFormat="false" ht="25.5" hidden="false" customHeight="true" outlineLevel="0" collapsed="false">
      <c r="A1933" s="10" t="s">
        <v>7953</v>
      </c>
      <c r="B1933" s="9" t="n">
        <v>1</v>
      </c>
      <c r="C1933" s="10" t="s">
        <v>4203</v>
      </c>
      <c r="D1933" s="10" t="s">
        <v>6416</v>
      </c>
      <c r="E1933" s="10" t="s">
        <v>4505</v>
      </c>
    </row>
    <row r="1934" customFormat="false" ht="25.5" hidden="false" customHeight="true" outlineLevel="0" collapsed="false">
      <c r="A1934" s="10" t="s">
        <v>7954</v>
      </c>
      <c r="B1934" s="9" t="n">
        <v>1</v>
      </c>
      <c r="C1934" s="10" t="s">
        <v>4203</v>
      </c>
      <c r="D1934" s="10" t="s">
        <v>6416</v>
      </c>
      <c r="E1934" s="10" t="s">
        <v>4505</v>
      </c>
    </row>
    <row r="1935" customFormat="false" ht="25.5" hidden="false" customHeight="true" outlineLevel="0" collapsed="false">
      <c r="A1935" s="10" t="s">
        <v>7955</v>
      </c>
      <c r="B1935" s="9" t="n">
        <v>1</v>
      </c>
      <c r="C1935" s="10" t="s">
        <v>4949</v>
      </c>
      <c r="D1935" s="10" t="s">
        <v>6235</v>
      </c>
      <c r="E1935" s="10" t="s">
        <v>5193</v>
      </c>
    </row>
    <row r="1936" customFormat="false" ht="25.5" hidden="false" customHeight="true" outlineLevel="0" collapsed="false">
      <c r="A1936" s="10" t="s">
        <v>7956</v>
      </c>
      <c r="B1936" s="9" t="n">
        <v>1</v>
      </c>
      <c r="C1936" s="10" t="s">
        <v>3291</v>
      </c>
      <c r="D1936" s="10" t="s">
        <v>7461</v>
      </c>
      <c r="E1936" s="10" t="s">
        <v>3380</v>
      </c>
    </row>
    <row r="1937" customFormat="false" ht="25.5" hidden="false" customHeight="true" outlineLevel="0" collapsed="false">
      <c r="A1937" s="10" t="s">
        <v>7957</v>
      </c>
      <c r="B1937" s="9" t="n">
        <v>1</v>
      </c>
      <c r="C1937" s="10" t="s">
        <v>3291</v>
      </c>
      <c r="D1937" s="10" t="s">
        <v>7461</v>
      </c>
      <c r="E1937" s="10" t="s">
        <v>3380</v>
      </c>
    </row>
    <row r="1938" customFormat="false" ht="25.5" hidden="false" customHeight="true" outlineLevel="0" collapsed="false">
      <c r="A1938" s="10" t="s">
        <v>7958</v>
      </c>
      <c r="B1938" s="9" t="n">
        <v>1</v>
      </c>
      <c r="C1938" s="10" t="s">
        <v>2140</v>
      </c>
      <c r="D1938" s="10" t="s">
        <v>2578</v>
      </c>
      <c r="E1938" s="10" t="s">
        <v>2569</v>
      </c>
    </row>
    <row r="1939" customFormat="false" ht="25.5" hidden="false" customHeight="true" outlineLevel="0" collapsed="false">
      <c r="A1939" s="10" t="s">
        <v>7959</v>
      </c>
      <c r="B1939" s="9" t="n">
        <v>1</v>
      </c>
      <c r="C1939" s="10" t="s">
        <v>4203</v>
      </c>
      <c r="D1939" s="10" t="s">
        <v>6801</v>
      </c>
      <c r="E1939" s="10" t="s">
        <v>4453</v>
      </c>
    </row>
    <row r="1940" customFormat="false" ht="25.5" hidden="false" customHeight="true" outlineLevel="0" collapsed="false">
      <c r="A1940" s="10" t="s">
        <v>7960</v>
      </c>
      <c r="B1940" s="9" t="n">
        <v>1</v>
      </c>
      <c r="C1940" s="10" t="s">
        <v>4949</v>
      </c>
      <c r="D1940" s="10" t="s">
        <v>5149</v>
      </c>
      <c r="E1940" s="10" t="s">
        <v>5180</v>
      </c>
    </row>
    <row r="1941" customFormat="false" ht="25.5" hidden="false" customHeight="true" outlineLevel="0" collapsed="false">
      <c r="A1941" s="10" t="s">
        <v>7961</v>
      </c>
      <c r="B1941" s="9" t="n">
        <v>1</v>
      </c>
      <c r="C1941" s="10" t="s">
        <v>59</v>
      </c>
      <c r="D1941" s="10" t="s">
        <v>235</v>
      </c>
      <c r="E1941" s="10" t="s">
        <v>501</v>
      </c>
    </row>
    <row r="1942" customFormat="false" ht="25.5" hidden="false" customHeight="true" outlineLevel="0" collapsed="false">
      <c r="A1942" s="10" t="s">
        <v>7962</v>
      </c>
      <c r="B1942" s="9" t="n">
        <v>1</v>
      </c>
      <c r="C1942" s="10" t="s">
        <v>4203</v>
      </c>
      <c r="D1942" s="10" t="s">
        <v>7169</v>
      </c>
      <c r="E1942" s="10" t="s">
        <v>4567</v>
      </c>
    </row>
    <row r="1943" customFormat="false" ht="25.5" hidden="false" customHeight="true" outlineLevel="0" collapsed="false">
      <c r="A1943" s="10" t="s">
        <v>7963</v>
      </c>
      <c r="B1943" s="9" t="n">
        <v>1</v>
      </c>
      <c r="C1943" s="10" t="s">
        <v>4949</v>
      </c>
      <c r="D1943" s="10" t="s">
        <v>6043</v>
      </c>
      <c r="E1943" s="10" t="s">
        <v>5044</v>
      </c>
    </row>
    <row r="1944" customFormat="false" ht="25.5" hidden="false" customHeight="true" outlineLevel="0" collapsed="false">
      <c r="A1944" s="10" t="s">
        <v>7964</v>
      </c>
      <c r="B1944" s="9" t="n">
        <v>1</v>
      </c>
      <c r="C1944" s="10" t="s">
        <v>4949</v>
      </c>
      <c r="D1944" s="10" t="s">
        <v>5149</v>
      </c>
      <c r="E1944" s="10" t="s">
        <v>5180</v>
      </c>
    </row>
    <row r="1945" customFormat="false" ht="25.5" hidden="false" customHeight="true" outlineLevel="0" collapsed="false">
      <c r="A1945" s="10" t="s">
        <v>7965</v>
      </c>
      <c r="B1945" s="9" t="n">
        <v>1</v>
      </c>
      <c r="C1945" s="10" t="s">
        <v>59</v>
      </c>
      <c r="D1945" s="10" t="s">
        <v>6244</v>
      </c>
      <c r="E1945" s="10" t="s">
        <v>682</v>
      </c>
    </row>
    <row r="1946" customFormat="false" ht="25.5" hidden="false" customHeight="true" outlineLevel="0" collapsed="false">
      <c r="A1946" s="10" t="s">
        <v>7966</v>
      </c>
      <c r="B1946" s="9" t="n">
        <v>1</v>
      </c>
      <c r="C1946" s="10" t="s">
        <v>4203</v>
      </c>
      <c r="D1946" s="10" t="s">
        <v>6801</v>
      </c>
      <c r="E1946" s="10" t="s">
        <v>4453</v>
      </c>
    </row>
    <row r="1947" customFormat="false" ht="25.5" hidden="false" customHeight="true" outlineLevel="0" collapsed="false">
      <c r="A1947" s="10" t="s">
        <v>7967</v>
      </c>
      <c r="B1947" s="9" t="n">
        <v>1</v>
      </c>
      <c r="C1947" s="10" t="s">
        <v>1500</v>
      </c>
      <c r="D1947" s="10" t="s">
        <v>6824</v>
      </c>
      <c r="E1947" s="10" t="s">
        <v>1666</v>
      </c>
    </row>
    <row r="1948" customFormat="false" ht="25.5" hidden="false" customHeight="true" outlineLevel="0" collapsed="false">
      <c r="A1948" s="10" t="s">
        <v>7968</v>
      </c>
      <c r="B1948" s="9" t="n">
        <v>1</v>
      </c>
      <c r="C1948" s="10" t="s">
        <v>59</v>
      </c>
      <c r="D1948" s="10" t="s">
        <v>6072</v>
      </c>
      <c r="E1948" s="10" t="s">
        <v>600</v>
      </c>
    </row>
    <row r="1949" customFormat="false" ht="25.5" hidden="false" customHeight="true" outlineLevel="0" collapsed="false">
      <c r="A1949" s="10" t="s">
        <v>7969</v>
      </c>
      <c r="B1949" s="9" t="n">
        <v>1</v>
      </c>
      <c r="C1949" s="10" t="s">
        <v>2140</v>
      </c>
      <c r="D1949" s="10" t="s">
        <v>6175</v>
      </c>
      <c r="E1949" s="10" t="s">
        <v>2229</v>
      </c>
    </row>
    <row r="1950" customFormat="false" ht="25.5" hidden="false" customHeight="true" outlineLevel="0" collapsed="false">
      <c r="A1950" s="10" t="s">
        <v>7970</v>
      </c>
      <c r="B1950" s="9" t="n">
        <v>1</v>
      </c>
      <c r="C1950" s="10" t="s">
        <v>2140</v>
      </c>
      <c r="D1950" s="10" t="s">
        <v>6175</v>
      </c>
      <c r="E1950" s="10" t="s">
        <v>2229</v>
      </c>
    </row>
    <row r="1951" customFormat="false" ht="25.5" hidden="false" customHeight="true" outlineLevel="0" collapsed="false">
      <c r="A1951" s="10" t="s">
        <v>7971</v>
      </c>
      <c r="B1951" s="9" t="n">
        <v>1</v>
      </c>
      <c r="C1951" s="10" t="s">
        <v>4203</v>
      </c>
      <c r="D1951" s="10" t="s">
        <v>6416</v>
      </c>
      <c r="E1951" s="10" t="s">
        <v>4529</v>
      </c>
    </row>
    <row r="1952" customFormat="false" ht="25.5" hidden="false" customHeight="true" outlineLevel="0" collapsed="false">
      <c r="A1952" s="10" t="s">
        <v>7972</v>
      </c>
      <c r="B1952" s="9" t="n">
        <v>1</v>
      </c>
      <c r="C1952" s="10" t="s">
        <v>4203</v>
      </c>
      <c r="D1952" s="10" t="s">
        <v>6416</v>
      </c>
      <c r="E1952" s="10" t="s">
        <v>4529</v>
      </c>
    </row>
    <row r="1953" customFormat="false" ht="25.5" hidden="false" customHeight="true" outlineLevel="0" collapsed="false">
      <c r="A1953" s="10" t="s">
        <v>7973</v>
      </c>
      <c r="B1953" s="9" t="n">
        <v>1</v>
      </c>
      <c r="C1953" s="10" t="s">
        <v>4203</v>
      </c>
      <c r="D1953" s="10" t="s">
        <v>6416</v>
      </c>
      <c r="E1953" s="10" t="s">
        <v>4529</v>
      </c>
    </row>
    <row r="1954" customFormat="false" ht="25.5" hidden="false" customHeight="true" outlineLevel="0" collapsed="false">
      <c r="A1954" s="10" t="s">
        <v>7974</v>
      </c>
      <c r="B1954" s="9" t="n">
        <v>1</v>
      </c>
      <c r="C1954" s="10" t="s">
        <v>3291</v>
      </c>
      <c r="D1954" s="10" t="s">
        <v>7461</v>
      </c>
      <c r="E1954" s="10" t="s">
        <v>3380</v>
      </c>
    </row>
    <row r="1955" customFormat="false" ht="25.5" hidden="false" customHeight="true" outlineLevel="0" collapsed="false">
      <c r="A1955" s="10" t="s">
        <v>7975</v>
      </c>
      <c r="B1955" s="9" t="n">
        <v>1</v>
      </c>
      <c r="C1955" s="10" t="s">
        <v>4203</v>
      </c>
      <c r="D1955" s="10" t="s">
        <v>6534</v>
      </c>
      <c r="E1955" s="10" t="s">
        <v>4295</v>
      </c>
    </row>
    <row r="1956" customFormat="false" ht="25.5" hidden="false" customHeight="true" outlineLevel="0" collapsed="false">
      <c r="A1956" s="10" t="s">
        <v>7976</v>
      </c>
      <c r="B1956" s="9" t="n">
        <v>1</v>
      </c>
      <c r="C1956" s="10" t="s">
        <v>4203</v>
      </c>
      <c r="D1956" s="10" t="s">
        <v>6534</v>
      </c>
      <c r="E1956" s="10" t="s">
        <v>4295</v>
      </c>
    </row>
    <row r="1957" customFormat="false" ht="25.5" hidden="false" customHeight="true" outlineLevel="0" collapsed="false">
      <c r="A1957" s="10" t="s">
        <v>7977</v>
      </c>
      <c r="B1957" s="9" t="n">
        <v>1</v>
      </c>
      <c r="C1957" s="10" t="s">
        <v>4203</v>
      </c>
      <c r="D1957" s="10" t="s">
        <v>6534</v>
      </c>
      <c r="E1957" s="10" t="s">
        <v>4295</v>
      </c>
    </row>
    <row r="1958" customFormat="false" ht="25.5" hidden="false" customHeight="true" outlineLevel="0" collapsed="false">
      <c r="A1958" s="10" t="s">
        <v>7978</v>
      </c>
      <c r="B1958" s="9" t="n">
        <v>1</v>
      </c>
      <c r="C1958" s="10" t="s">
        <v>2140</v>
      </c>
      <c r="D1958" s="10" t="s">
        <v>5690</v>
      </c>
      <c r="E1958" s="10" t="s">
        <v>2621</v>
      </c>
    </row>
    <row r="1959" customFormat="false" ht="25.5" hidden="false" customHeight="true" outlineLevel="0" collapsed="false">
      <c r="A1959" s="10" t="s">
        <v>7979</v>
      </c>
      <c r="B1959" s="9" t="n">
        <v>1</v>
      </c>
      <c r="C1959" s="10" t="s">
        <v>2713</v>
      </c>
      <c r="D1959" s="10" t="s">
        <v>6228</v>
      </c>
      <c r="E1959" s="10" t="s">
        <v>3082</v>
      </c>
    </row>
    <row r="1960" customFormat="false" ht="25.5" hidden="false" customHeight="true" outlineLevel="0" collapsed="false">
      <c r="A1960" s="10" t="s">
        <v>7980</v>
      </c>
      <c r="B1960" s="9" t="n">
        <v>1</v>
      </c>
      <c r="C1960" s="10" t="s">
        <v>2713</v>
      </c>
      <c r="D1960" s="10" t="s">
        <v>5870</v>
      </c>
      <c r="E1960" s="10" t="s">
        <v>2974</v>
      </c>
    </row>
    <row r="1961" customFormat="false" ht="25.5" hidden="false" customHeight="true" outlineLevel="0" collapsed="false">
      <c r="A1961" s="10" t="s">
        <v>7981</v>
      </c>
      <c r="B1961" s="9" t="n">
        <v>1</v>
      </c>
      <c r="C1961" s="10" t="s">
        <v>3291</v>
      </c>
      <c r="D1961" s="10" t="s">
        <v>7647</v>
      </c>
      <c r="E1961" s="10" t="s">
        <v>3540</v>
      </c>
    </row>
    <row r="1962" customFormat="false" ht="25.5" hidden="false" customHeight="true" outlineLevel="0" collapsed="false">
      <c r="A1962" s="10" t="s">
        <v>7982</v>
      </c>
      <c r="B1962" s="9" t="n">
        <v>1</v>
      </c>
      <c r="C1962" s="10" t="s">
        <v>837</v>
      </c>
      <c r="D1962" s="10" t="s">
        <v>5987</v>
      </c>
      <c r="E1962" s="10" t="s">
        <v>1286</v>
      </c>
    </row>
    <row r="1963" customFormat="false" ht="25.5" hidden="false" customHeight="true" outlineLevel="0" collapsed="false">
      <c r="A1963" s="10" t="s">
        <v>7983</v>
      </c>
      <c r="B1963" s="9" t="n">
        <v>1</v>
      </c>
      <c r="C1963" s="10" t="s">
        <v>2713</v>
      </c>
      <c r="D1963" s="10" t="s">
        <v>5870</v>
      </c>
      <c r="E1963" s="10" t="s">
        <v>2974</v>
      </c>
    </row>
    <row r="1964" customFormat="false" ht="25.5" hidden="false" customHeight="true" outlineLevel="0" collapsed="false">
      <c r="A1964" s="10" t="s">
        <v>7984</v>
      </c>
      <c r="B1964" s="9" t="n">
        <v>1</v>
      </c>
      <c r="C1964" s="10" t="s">
        <v>837</v>
      </c>
      <c r="D1964" s="10" t="s">
        <v>5987</v>
      </c>
      <c r="E1964" s="10" t="s">
        <v>1286</v>
      </c>
    </row>
    <row r="1965" customFormat="false" ht="25.5" hidden="false" customHeight="true" outlineLevel="0" collapsed="false">
      <c r="A1965" s="10" t="s">
        <v>7985</v>
      </c>
      <c r="B1965" s="9" t="n">
        <v>1</v>
      </c>
      <c r="C1965" s="10" t="s">
        <v>3291</v>
      </c>
      <c r="D1965" s="10" t="s">
        <v>6342</v>
      </c>
      <c r="E1965" s="10" t="s">
        <v>3592</v>
      </c>
    </row>
    <row r="1966" customFormat="false" ht="25.5" hidden="false" customHeight="true" outlineLevel="0" collapsed="false">
      <c r="A1966" s="10" t="s">
        <v>7986</v>
      </c>
      <c r="B1966" s="9" t="n">
        <v>1</v>
      </c>
      <c r="C1966" s="10" t="s">
        <v>1500</v>
      </c>
      <c r="D1966" s="10" t="s">
        <v>6265</v>
      </c>
      <c r="E1966" s="10" t="s">
        <v>1975</v>
      </c>
    </row>
    <row r="1967" customFormat="false" ht="25.5" hidden="false" customHeight="true" outlineLevel="0" collapsed="false">
      <c r="A1967" s="10" t="s">
        <v>7987</v>
      </c>
      <c r="B1967" s="9" t="n">
        <v>1</v>
      </c>
      <c r="C1967" s="10" t="s">
        <v>1500</v>
      </c>
      <c r="D1967" s="10" t="s">
        <v>7699</v>
      </c>
      <c r="E1967" s="10" t="s">
        <v>2000</v>
      </c>
    </row>
    <row r="1968" customFormat="false" ht="25.5" hidden="false" customHeight="true" outlineLevel="0" collapsed="false">
      <c r="A1968" s="10" t="s">
        <v>7988</v>
      </c>
      <c r="B1968" s="9" t="n">
        <v>1</v>
      </c>
      <c r="C1968" s="10" t="s">
        <v>3291</v>
      </c>
      <c r="D1968" s="10" t="s">
        <v>6416</v>
      </c>
      <c r="E1968" s="10" t="s">
        <v>3696</v>
      </c>
    </row>
    <row r="1969" customFormat="false" ht="25.5" hidden="false" customHeight="true" outlineLevel="0" collapsed="false">
      <c r="A1969" s="10" t="s">
        <v>7989</v>
      </c>
      <c r="B1969" s="9" t="n">
        <v>1</v>
      </c>
      <c r="C1969" s="10" t="s">
        <v>4203</v>
      </c>
      <c r="D1969" s="10" t="s">
        <v>6416</v>
      </c>
      <c r="E1969" s="10" t="s">
        <v>4505</v>
      </c>
    </row>
    <row r="1970" customFormat="false" ht="25.5" hidden="false" customHeight="true" outlineLevel="0" collapsed="false">
      <c r="A1970" s="10" t="s">
        <v>7990</v>
      </c>
      <c r="B1970" s="9" t="n">
        <v>1</v>
      </c>
      <c r="C1970" s="10" t="s">
        <v>59</v>
      </c>
      <c r="D1970" s="10" t="s">
        <v>5814</v>
      </c>
      <c r="E1970" s="10" t="s">
        <v>240</v>
      </c>
    </row>
    <row r="1971" customFormat="false" ht="25.5" hidden="false" customHeight="true" outlineLevel="0" collapsed="false">
      <c r="A1971" s="10" t="s">
        <v>7991</v>
      </c>
      <c r="B1971" s="9" t="n">
        <v>1</v>
      </c>
      <c r="C1971" s="10" t="s">
        <v>2140</v>
      </c>
      <c r="D1971" s="10" t="s">
        <v>6194</v>
      </c>
      <c r="E1971" s="10" t="s">
        <v>2557</v>
      </c>
    </row>
    <row r="1972" customFormat="false" ht="25.5" hidden="false" customHeight="true" outlineLevel="0" collapsed="false">
      <c r="A1972" s="10" t="s">
        <v>7992</v>
      </c>
      <c r="B1972" s="9" t="n">
        <v>1</v>
      </c>
      <c r="C1972" s="10" t="s">
        <v>59</v>
      </c>
      <c r="D1972" s="10" t="s">
        <v>5814</v>
      </c>
      <c r="E1972" s="10" t="s">
        <v>417</v>
      </c>
    </row>
    <row r="1973" customFormat="false" ht="25.5" hidden="false" customHeight="true" outlineLevel="0" collapsed="false">
      <c r="A1973" s="10" t="s">
        <v>7993</v>
      </c>
      <c r="B1973" s="9" t="n">
        <v>1</v>
      </c>
      <c r="C1973" s="10" t="s">
        <v>3291</v>
      </c>
      <c r="D1973" s="10" t="s">
        <v>5989</v>
      </c>
      <c r="E1973" s="10" t="s">
        <v>3460</v>
      </c>
    </row>
    <row r="1974" customFormat="false" ht="25.5" hidden="false" customHeight="true" outlineLevel="0" collapsed="false">
      <c r="A1974" s="10" t="s">
        <v>7994</v>
      </c>
      <c r="B1974" s="9" t="n">
        <v>1</v>
      </c>
      <c r="C1974" s="10" t="s">
        <v>3291</v>
      </c>
      <c r="D1974" s="10" t="s">
        <v>6718</v>
      </c>
      <c r="E1974" s="10" t="s">
        <v>3828</v>
      </c>
    </row>
    <row r="1975" customFormat="false" ht="25.5" hidden="false" customHeight="true" outlineLevel="0" collapsed="false">
      <c r="A1975" s="10" t="s">
        <v>7995</v>
      </c>
      <c r="B1975" s="9" t="n">
        <v>1</v>
      </c>
      <c r="C1975" s="10" t="s">
        <v>3291</v>
      </c>
      <c r="D1975" s="10" t="s">
        <v>6718</v>
      </c>
      <c r="E1975" s="10" t="s">
        <v>3828</v>
      </c>
    </row>
    <row r="1976" customFormat="false" ht="25.5" hidden="false" customHeight="true" outlineLevel="0" collapsed="false">
      <c r="A1976" s="10" t="s">
        <v>7996</v>
      </c>
      <c r="B1976" s="9" t="n">
        <v>1</v>
      </c>
      <c r="C1976" s="10" t="s">
        <v>3291</v>
      </c>
      <c r="D1976" s="10" t="s">
        <v>6710</v>
      </c>
      <c r="E1976" s="10" t="s">
        <v>3393</v>
      </c>
    </row>
    <row r="1977" customFormat="false" ht="25.5" hidden="false" customHeight="true" outlineLevel="0" collapsed="false">
      <c r="A1977" s="10" t="s">
        <v>7997</v>
      </c>
      <c r="B1977" s="9" t="n">
        <v>1</v>
      </c>
      <c r="C1977" s="10" t="s">
        <v>59</v>
      </c>
      <c r="D1977" s="10" t="s">
        <v>6057</v>
      </c>
      <c r="E1977" s="10" t="s">
        <v>811</v>
      </c>
    </row>
    <row r="1978" customFormat="false" ht="25.5" hidden="false" customHeight="true" outlineLevel="0" collapsed="false">
      <c r="A1978" s="10" t="s">
        <v>7998</v>
      </c>
      <c r="B1978" s="9" t="n">
        <v>1</v>
      </c>
      <c r="C1978" s="10" t="s">
        <v>3291</v>
      </c>
      <c r="D1978" s="10" t="s">
        <v>6710</v>
      </c>
      <c r="E1978" s="10" t="s">
        <v>3393</v>
      </c>
    </row>
    <row r="1979" customFormat="false" ht="25.5" hidden="false" customHeight="true" outlineLevel="0" collapsed="false">
      <c r="A1979" s="10" t="s">
        <v>7999</v>
      </c>
      <c r="B1979" s="9" t="n">
        <v>1</v>
      </c>
      <c r="C1979" s="10" t="s">
        <v>837</v>
      </c>
      <c r="D1979" s="10" t="s">
        <v>6405</v>
      </c>
      <c r="E1979" s="10" t="s">
        <v>876</v>
      </c>
    </row>
    <row r="1980" customFormat="false" ht="25.5" hidden="false" customHeight="true" outlineLevel="0" collapsed="false">
      <c r="A1980" s="10" t="s">
        <v>8000</v>
      </c>
      <c r="B1980" s="9" t="n">
        <v>1</v>
      </c>
      <c r="C1980" s="10" t="s">
        <v>1500</v>
      </c>
      <c r="D1980" s="10" t="s">
        <v>6001</v>
      </c>
      <c r="E1980" s="10" t="s">
        <v>1924</v>
      </c>
    </row>
    <row r="1981" customFormat="false" ht="25.5" hidden="false" customHeight="true" outlineLevel="0" collapsed="false">
      <c r="A1981" s="10" t="s">
        <v>8001</v>
      </c>
      <c r="B1981" s="9" t="n">
        <v>1</v>
      </c>
      <c r="C1981" s="10" t="s">
        <v>2140</v>
      </c>
      <c r="D1981" s="10" t="s">
        <v>6187</v>
      </c>
      <c r="E1981" s="10" t="s">
        <v>2217</v>
      </c>
    </row>
    <row r="1982" customFormat="false" ht="25.5" hidden="false" customHeight="true" outlineLevel="0" collapsed="false">
      <c r="A1982" s="10" t="s">
        <v>8002</v>
      </c>
      <c r="B1982" s="9" t="n">
        <v>1</v>
      </c>
      <c r="C1982" s="10" t="s">
        <v>2140</v>
      </c>
      <c r="D1982" s="10" t="s">
        <v>6187</v>
      </c>
      <c r="E1982" s="10" t="s">
        <v>2217</v>
      </c>
    </row>
    <row r="1983" customFormat="false" ht="25.5" hidden="false" customHeight="true" outlineLevel="0" collapsed="false">
      <c r="A1983" s="10" t="s">
        <v>8003</v>
      </c>
      <c r="B1983" s="9" t="n">
        <v>1</v>
      </c>
      <c r="C1983" s="10" t="s">
        <v>2140</v>
      </c>
      <c r="D1983" s="10" t="s">
        <v>6187</v>
      </c>
      <c r="E1983" s="10" t="s">
        <v>2217</v>
      </c>
    </row>
    <row r="1984" customFormat="false" ht="25.5" hidden="false" customHeight="true" outlineLevel="0" collapsed="false">
      <c r="A1984" s="10" t="s">
        <v>8004</v>
      </c>
      <c r="B1984" s="9" t="n">
        <v>1</v>
      </c>
      <c r="C1984" s="10" t="s">
        <v>2140</v>
      </c>
      <c r="D1984" s="10" t="s">
        <v>6365</v>
      </c>
      <c r="E1984" s="10" t="s">
        <v>2203</v>
      </c>
    </row>
    <row r="1985" customFormat="false" ht="25.5" hidden="false" customHeight="true" outlineLevel="0" collapsed="false">
      <c r="A1985" s="10" t="s">
        <v>8005</v>
      </c>
      <c r="B1985" s="9" t="n">
        <v>1</v>
      </c>
      <c r="C1985" s="10" t="s">
        <v>2140</v>
      </c>
      <c r="D1985" s="10" t="s">
        <v>6365</v>
      </c>
      <c r="E1985" s="10" t="s">
        <v>2203</v>
      </c>
    </row>
    <row r="1986" customFormat="false" ht="25.5" hidden="false" customHeight="true" outlineLevel="0" collapsed="false">
      <c r="A1986" s="10" t="s">
        <v>8006</v>
      </c>
      <c r="B1986" s="9" t="n">
        <v>1</v>
      </c>
      <c r="C1986" s="10" t="s">
        <v>3291</v>
      </c>
      <c r="D1986" s="10" t="s">
        <v>5752</v>
      </c>
      <c r="E1986" s="10" t="s">
        <v>3645</v>
      </c>
    </row>
    <row r="1987" customFormat="false" ht="25.5" hidden="false" customHeight="true" outlineLevel="0" collapsed="false">
      <c r="A1987" s="10" t="s">
        <v>8007</v>
      </c>
      <c r="B1987" s="9" t="n">
        <v>1</v>
      </c>
      <c r="C1987" s="10" t="s">
        <v>4949</v>
      </c>
      <c r="D1987" s="10" t="s">
        <v>6197</v>
      </c>
      <c r="E1987" s="10" t="s">
        <v>5260</v>
      </c>
    </row>
    <row r="1988" customFormat="false" ht="25.5" hidden="false" customHeight="true" outlineLevel="0" collapsed="false">
      <c r="A1988" s="10" t="s">
        <v>8008</v>
      </c>
      <c r="B1988" s="9" t="n">
        <v>1</v>
      </c>
      <c r="C1988" s="10" t="s">
        <v>3291</v>
      </c>
      <c r="D1988" s="10" t="s">
        <v>6435</v>
      </c>
      <c r="E1988" s="10" t="s">
        <v>3670</v>
      </c>
    </row>
    <row r="1989" customFormat="false" ht="25.5" hidden="false" customHeight="true" outlineLevel="0" collapsed="false">
      <c r="A1989" s="10" t="s">
        <v>8009</v>
      </c>
      <c r="B1989" s="9" t="n">
        <v>1</v>
      </c>
      <c r="C1989" s="10" t="s">
        <v>4203</v>
      </c>
      <c r="D1989" s="10" t="s">
        <v>6786</v>
      </c>
      <c r="E1989" s="10" t="s">
        <v>4378</v>
      </c>
    </row>
    <row r="1990" customFormat="false" ht="25.5" hidden="false" customHeight="true" outlineLevel="0" collapsed="false">
      <c r="A1990" s="10" t="s">
        <v>8010</v>
      </c>
      <c r="B1990" s="9" t="n">
        <v>1</v>
      </c>
      <c r="C1990" s="10" t="s">
        <v>1500</v>
      </c>
      <c r="D1990" s="10" t="s">
        <v>6220</v>
      </c>
      <c r="E1990" s="10" t="s">
        <v>1825</v>
      </c>
    </row>
    <row r="1991" customFormat="false" ht="25.5" hidden="false" customHeight="true" outlineLevel="0" collapsed="false">
      <c r="A1991" s="10" t="s">
        <v>8011</v>
      </c>
      <c r="B1991" s="9" t="n">
        <v>1</v>
      </c>
      <c r="C1991" s="10" t="s">
        <v>837</v>
      </c>
      <c r="D1991" s="10" t="s">
        <v>6212</v>
      </c>
      <c r="E1991" s="10" t="s">
        <v>995</v>
      </c>
    </row>
    <row r="1992" customFormat="false" ht="25.5" hidden="false" customHeight="true" outlineLevel="0" collapsed="false">
      <c r="A1992" s="10" t="s">
        <v>8012</v>
      </c>
      <c r="B1992" s="9" t="n">
        <v>1</v>
      </c>
      <c r="C1992" s="10" t="s">
        <v>1500</v>
      </c>
      <c r="D1992" s="10" t="s">
        <v>6824</v>
      </c>
      <c r="E1992" s="10" t="s">
        <v>1666</v>
      </c>
    </row>
    <row r="1993" customFormat="false" ht="25.5" hidden="false" customHeight="true" outlineLevel="0" collapsed="false">
      <c r="A1993" s="10" t="s">
        <v>8013</v>
      </c>
      <c r="B1993" s="9" t="n">
        <v>1</v>
      </c>
      <c r="C1993" s="10" t="s">
        <v>1500</v>
      </c>
      <c r="D1993" s="10" t="s">
        <v>6619</v>
      </c>
      <c r="E1993" s="10" t="s">
        <v>1784</v>
      </c>
    </row>
    <row r="1994" customFormat="false" ht="25.5" hidden="false" customHeight="true" outlineLevel="0" collapsed="false">
      <c r="A1994" s="10" t="s">
        <v>8014</v>
      </c>
      <c r="B1994" s="9" t="n">
        <v>1</v>
      </c>
      <c r="C1994" s="10" t="s">
        <v>1500</v>
      </c>
      <c r="D1994" s="10" t="s">
        <v>6824</v>
      </c>
      <c r="E1994" s="10" t="s">
        <v>1666</v>
      </c>
    </row>
    <row r="1995" customFormat="false" ht="25.5" hidden="false" customHeight="true" outlineLevel="0" collapsed="false">
      <c r="A1995" s="10" t="s">
        <v>8015</v>
      </c>
      <c r="B1995" s="9" t="n">
        <v>1</v>
      </c>
      <c r="C1995" s="10" t="s">
        <v>1500</v>
      </c>
      <c r="D1995" s="10" t="s">
        <v>6619</v>
      </c>
      <c r="E1995" s="10" t="s">
        <v>1784</v>
      </c>
    </row>
    <row r="1996" customFormat="false" ht="25.5" hidden="false" customHeight="true" outlineLevel="0" collapsed="false">
      <c r="A1996" s="10" t="s">
        <v>8016</v>
      </c>
      <c r="B1996" s="9" t="n">
        <v>1</v>
      </c>
      <c r="C1996" s="10" t="s">
        <v>1500</v>
      </c>
      <c r="D1996" s="10" t="s">
        <v>6120</v>
      </c>
      <c r="E1996" s="10" t="s">
        <v>1937</v>
      </c>
    </row>
    <row r="1997" customFormat="false" ht="25.5" hidden="false" customHeight="true" outlineLevel="0" collapsed="false">
      <c r="A1997" s="10" t="s">
        <v>8017</v>
      </c>
      <c r="B1997" s="9" t="n">
        <v>1</v>
      </c>
      <c r="C1997" s="10" t="s">
        <v>1500</v>
      </c>
      <c r="D1997" s="10" t="s">
        <v>6120</v>
      </c>
      <c r="E1997" s="10" t="s">
        <v>1937</v>
      </c>
    </row>
    <row r="1998" customFormat="false" ht="25.5" hidden="false" customHeight="true" outlineLevel="0" collapsed="false">
      <c r="A1998" s="10" t="s">
        <v>8018</v>
      </c>
      <c r="B1998" s="9" t="n">
        <v>1</v>
      </c>
      <c r="C1998" s="10" t="s">
        <v>4582</v>
      </c>
      <c r="D1998" s="10" t="s">
        <v>7619</v>
      </c>
      <c r="E1998" s="10" t="s">
        <v>4884</v>
      </c>
    </row>
    <row r="1999" customFormat="false" ht="25.5" hidden="false" customHeight="true" outlineLevel="0" collapsed="false">
      <c r="A1999" s="10" t="s">
        <v>8019</v>
      </c>
      <c r="B1999" s="9" t="n">
        <v>1</v>
      </c>
      <c r="C1999" s="10" t="s">
        <v>4582</v>
      </c>
      <c r="D1999" s="10" t="s">
        <v>7619</v>
      </c>
      <c r="E1999" s="10" t="s">
        <v>4884</v>
      </c>
    </row>
    <row r="2000" customFormat="false" ht="25.5" hidden="false" customHeight="true" outlineLevel="0" collapsed="false">
      <c r="A2000" s="10" t="s">
        <v>8020</v>
      </c>
      <c r="B2000" s="9" t="n">
        <v>1</v>
      </c>
      <c r="C2000" s="10" t="s">
        <v>4949</v>
      </c>
      <c r="D2000" s="10" t="s">
        <v>6413</v>
      </c>
      <c r="E2000" s="10" t="s">
        <v>5071</v>
      </c>
    </row>
    <row r="2001" customFormat="false" ht="25.5" hidden="false" customHeight="true" outlineLevel="0" collapsed="false">
      <c r="A2001" s="10" t="s">
        <v>8021</v>
      </c>
      <c r="B2001" s="9" t="n">
        <v>1</v>
      </c>
      <c r="C2001" s="10" t="s">
        <v>2713</v>
      </c>
      <c r="D2001" s="10" t="s">
        <v>6082</v>
      </c>
      <c r="E2001" s="10" t="s">
        <v>2937</v>
      </c>
    </row>
    <row r="2002" customFormat="false" ht="25.5" hidden="false" customHeight="true" outlineLevel="0" collapsed="false">
      <c r="A2002" s="10" t="s">
        <v>8022</v>
      </c>
      <c r="B2002" s="9" t="n">
        <v>1</v>
      </c>
      <c r="C2002" s="10" t="s">
        <v>1500</v>
      </c>
      <c r="D2002" s="10" t="s">
        <v>7147</v>
      </c>
      <c r="E2002" s="10" t="s">
        <v>1730</v>
      </c>
    </row>
    <row r="2003" customFormat="false" ht="25.5" hidden="false" customHeight="true" outlineLevel="0" collapsed="false">
      <c r="A2003" s="10" t="s">
        <v>8023</v>
      </c>
      <c r="B2003" s="9" t="n">
        <v>1</v>
      </c>
      <c r="C2003" s="10" t="s">
        <v>2713</v>
      </c>
      <c r="D2003" s="10" t="s">
        <v>6150</v>
      </c>
      <c r="E2003" s="10" t="s">
        <v>2879</v>
      </c>
    </row>
    <row r="2004" customFormat="false" ht="25.5" hidden="false" customHeight="true" outlineLevel="0" collapsed="false">
      <c r="A2004" s="10" t="s">
        <v>8024</v>
      </c>
      <c r="B2004" s="9" t="n">
        <v>1</v>
      </c>
      <c r="C2004" s="10" t="s">
        <v>59</v>
      </c>
      <c r="D2004" s="10" t="s">
        <v>5699</v>
      </c>
      <c r="E2004" s="10" t="s">
        <v>429</v>
      </c>
    </row>
    <row r="2005" customFormat="false" ht="25.5" hidden="false" customHeight="true" outlineLevel="0" collapsed="false">
      <c r="A2005" s="10" t="s">
        <v>8025</v>
      </c>
      <c r="B2005" s="9" t="n">
        <v>1</v>
      </c>
      <c r="C2005" s="10" t="s">
        <v>59</v>
      </c>
      <c r="D2005" s="10" t="s">
        <v>5699</v>
      </c>
      <c r="E2005" s="10" t="s">
        <v>429</v>
      </c>
    </row>
    <row r="2006" customFormat="false" ht="25.5" hidden="false" customHeight="true" outlineLevel="0" collapsed="false">
      <c r="A2006" s="10" t="s">
        <v>8026</v>
      </c>
      <c r="B2006" s="9" t="n">
        <v>1</v>
      </c>
      <c r="C2006" s="10" t="s">
        <v>2713</v>
      </c>
      <c r="D2006" s="10" t="s">
        <v>6539</v>
      </c>
      <c r="E2006" s="10" t="s">
        <v>2737</v>
      </c>
    </row>
    <row r="2007" customFormat="false" ht="25.5" hidden="false" customHeight="true" outlineLevel="0" collapsed="false">
      <c r="A2007" s="10" t="s">
        <v>8027</v>
      </c>
      <c r="B2007" s="9" t="n">
        <v>1</v>
      </c>
      <c r="C2007" s="10" t="s">
        <v>2713</v>
      </c>
      <c r="D2007" s="10" t="s">
        <v>7262</v>
      </c>
      <c r="E2007" s="10" t="s">
        <v>2901</v>
      </c>
    </row>
    <row r="2008" customFormat="false" ht="25.5" hidden="false" customHeight="true" outlineLevel="0" collapsed="false">
      <c r="A2008" s="10" t="s">
        <v>8028</v>
      </c>
      <c r="B2008" s="9" t="n">
        <v>1</v>
      </c>
      <c r="C2008" s="10" t="s">
        <v>2713</v>
      </c>
      <c r="D2008" s="10" t="s">
        <v>6539</v>
      </c>
      <c r="E2008" s="10" t="s">
        <v>2737</v>
      </c>
    </row>
    <row r="2009" customFormat="false" ht="25.5" hidden="false" customHeight="true" outlineLevel="0" collapsed="false">
      <c r="A2009" s="10" t="s">
        <v>8029</v>
      </c>
      <c r="B2009" s="9" t="n">
        <v>1</v>
      </c>
      <c r="C2009" s="10" t="s">
        <v>837</v>
      </c>
      <c r="D2009" s="10" t="s">
        <v>7452</v>
      </c>
      <c r="E2009" s="10" t="s">
        <v>1191</v>
      </c>
    </row>
    <row r="2010" customFormat="false" ht="25.5" hidden="false" customHeight="true" outlineLevel="0" collapsed="false">
      <c r="A2010" s="10" t="s">
        <v>8030</v>
      </c>
      <c r="B2010" s="9" t="n">
        <v>1</v>
      </c>
      <c r="C2010" s="10" t="s">
        <v>3842</v>
      </c>
      <c r="D2010" s="10" t="s">
        <v>5690</v>
      </c>
      <c r="E2010" s="10" t="s">
        <v>4112</v>
      </c>
    </row>
    <row r="2011" customFormat="false" ht="25.5" hidden="false" customHeight="true" outlineLevel="0" collapsed="false">
      <c r="A2011" s="10" t="s">
        <v>8031</v>
      </c>
      <c r="B2011" s="9" t="n">
        <v>1</v>
      </c>
      <c r="C2011" s="10" t="s">
        <v>2713</v>
      </c>
      <c r="D2011" s="10" t="s">
        <v>6352</v>
      </c>
      <c r="E2011" s="10" t="s">
        <v>3168</v>
      </c>
    </row>
    <row r="2012" customFormat="false" ht="25.5" hidden="false" customHeight="true" outlineLevel="0" collapsed="false">
      <c r="A2012" s="10" t="s">
        <v>8032</v>
      </c>
      <c r="B2012" s="9" t="n">
        <v>1</v>
      </c>
      <c r="C2012" s="10" t="s">
        <v>837</v>
      </c>
      <c r="D2012" s="10" t="s">
        <v>5734</v>
      </c>
      <c r="E2012" s="10" t="s">
        <v>1313</v>
      </c>
    </row>
    <row r="2013" customFormat="false" ht="25.5" hidden="false" customHeight="true" outlineLevel="0" collapsed="false">
      <c r="A2013" s="10" t="s">
        <v>8033</v>
      </c>
      <c r="B2013" s="9" t="n">
        <v>1</v>
      </c>
      <c r="C2013" s="10" t="s">
        <v>2713</v>
      </c>
      <c r="D2013" s="10" t="s">
        <v>6036</v>
      </c>
      <c r="E2013" s="10" t="s">
        <v>2854</v>
      </c>
    </row>
    <row r="2014" customFormat="false" ht="25.5" hidden="false" customHeight="true" outlineLevel="0" collapsed="false">
      <c r="A2014" s="10" t="s">
        <v>8034</v>
      </c>
      <c r="B2014" s="9" t="n">
        <v>1</v>
      </c>
      <c r="C2014" s="10" t="s">
        <v>2713</v>
      </c>
      <c r="D2014" s="10" t="s">
        <v>6072</v>
      </c>
      <c r="E2014" s="10" t="s">
        <v>2891</v>
      </c>
    </row>
    <row r="2015" customFormat="false" ht="25.5" hidden="false" customHeight="true" outlineLevel="0" collapsed="false">
      <c r="A2015" s="10" t="s">
        <v>8035</v>
      </c>
      <c r="B2015" s="9" t="n">
        <v>1</v>
      </c>
      <c r="C2015" s="10" t="s">
        <v>2713</v>
      </c>
      <c r="D2015" s="10" t="s">
        <v>3032</v>
      </c>
      <c r="E2015" s="10" t="s">
        <v>3046</v>
      </c>
    </row>
    <row r="2016" customFormat="false" ht="25.5" hidden="false" customHeight="true" outlineLevel="0" collapsed="false">
      <c r="A2016" s="10" t="s">
        <v>8036</v>
      </c>
      <c r="B2016" s="9" t="n">
        <v>1</v>
      </c>
      <c r="C2016" s="10" t="s">
        <v>59</v>
      </c>
      <c r="D2016" s="10" t="s">
        <v>235</v>
      </c>
      <c r="E2016" s="10" t="s">
        <v>478</v>
      </c>
    </row>
    <row r="2017" customFormat="false" ht="25.5" hidden="false" customHeight="true" outlineLevel="0" collapsed="false">
      <c r="A2017" s="10" t="s">
        <v>8037</v>
      </c>
      <c r="B2017" s="9" t="n">
        <v>1</v>
      </c>
      <c r="C2017" s="10" t="s">
        <v>837</v>
      </c>
      <c r="D2017" s="10" t="s">
        <v>5609</v>
      </c>
      <c r="E2017" s="10" t="s">
        <v>1395</v>
      </c>
    </row>
    <row r="2018" customFormat="false" ht="25.5" hidden="false" customHeight="true" outlineLevel="0" collapsed="false">
      <c r="A2018" s="10" t="s">
        <v>8038</v>
      </c>
      <c r="B2018" s="9" t="n">
        <v>1</v>
      </c>
      <c r="C2018" s="10" t="s">
        <v>2713</v>
      </c>
      <c r="D2018" s="10" t="s">
        <v>6283</v>
      </c>
      <c r="E2018" s="10" t="s">
        <v>3266</v>
      </c>
    </row>
    <row r="2019" customFormat="false" ht="25.5" hidden="false" customHeight="true" outlineLevel="0" collapsed="false">
      <c r="A2019" s="10" t="s">
        <v>8039</v>
      </c>
      <c r="B2019" s="9" t="n">
        <v>1</v>
      </c>
      <c r="C2019" s="10" t="s">
        <v>2713</v>
      </c>
      <c r="D2019" s="10" t="s">
        <v>6036</v>
      </c>
      <c r="E2019" s="10" t="s">
        <v>2867</v>
      </c>
    </row>
    <row r="2020" customFormat="false" ht="25.5" hidden="false" customHeight="true" outlineLevel="0" collapsed="false">
      <c r="A2020" s="10" t="s">
        <v>8040</v>
      </c>
      <c r="B2020" s="9" t="n">
        <v>1</v>
      </c>
      <c r="C2020" s="10" t="s">
        <v>2713</v>
      </c>
      <c r="D2020" s="10" t="s">
        <v>6036</v>
      </c>
      <c r="E2020" s="10" t="s">
        <v>2867</v>
      </c>
    </row>
    <row r="2021" customFormat="false" ht="25.5" hidden="false" customHeight="true" outlineLevel="0" collapsed="false">
      <c r="A2021" s="10" t="s">
        <v>8041</v>
      </c>
      <c r="B2021" s="9" t="n">
        <v>1</v>
      </c>
      <c r="C2021" s="10" t="s">
        <v>3291</v>
      </c>
      <c r="D2021" s="10" t="s">
        <v>7391</v>
      </c>
      <c r="E2021" s="10" t="s">
        <v>3420</v>
      </c>
    </row>
    <row r="2022" customFormat="false" ht="25.5" hidden="false" customHeight="true" outlineLevel="0" collapsed="false">
      <c r="A2022" s="10" t="s">
        <v>8042</v>
      </c>
      <c r="B2022" s="9" t="n">
        <v>1</v>
      </c>
      <c r="C2022" s="10" t="s">
        <v>2140</v>
      </c>
      <c r="D2022" s="10" t="s">
        <v>6365</v>
      </c>
      <c r="E2022" s="10" t="s">
        <v>2353</v>
      </c>
    </row>
    <row r="2023" customFormat="false" ht="25.5" hidden="false" customHeight="true" outlineLevel="0" collapsed="false">
      <c r="A2023" s="10" t="s">
        <v>8043</v>
      </c>
      <c r="B2023" s="9" t="n">
        <v>1</v>
      </c>
      <c r="C2023" s="10" t="s">
        <v>2140</v>
      </c>
      <c r="D2023" s="10" t="s">
        <v>7538</v>
      </c>
      <c r="E2023" s="10" t="s">
        <v>2648</v>
      </c>
    </row>
    <row r="2024" customFormat="false" ht="25.5" hidden="false" customHeight="true" outlineLevel="0" collapsed="false">
      <c r="A2024" s="10" t="s">
        <v>8044</v>
      </c>
      <c r="B2024" s="9" t="n">
        <v>1</v>
      </c>
      <c r="C2024" s="10" t="s">
        <v>3291</v>
      </c>
      <c r="D2024" s="10" t="s">
        <v>6224</v>
      </c>
      <c r="E2024" s="10" t="s">
        <v>3566</v>
      </c>
    </row>
    <row r="2025" customFormat="false" ht="25.5" hidden="false" customHeight="true" outlineLevel="0" collapsed="false">
      <c r="A2025" s="10" t="s">
        <v>8045</v>
      </c>
      <c r="B2025" s="9" t="n">
        <v>1</v>
      </c>
      <c r="C2025" s="10" t="s">
        <v>2713</v>
      </c>
      <c r="D2025" s="10" t="s">
        <v>6491</v>
      </c>
      <c r="E2025" s="10" t="s">
        <v>3093</v>
      </c>
    </row>
    <row r="2026" customFormat="false" ht="25.5" hidden="false" customHeight="true" outlineLevel="0" collapsed="false">
      <c r="A2026" s="10" t="s">
        <v>8046</v>
      </c>
      <c r="B2026" s="9" t="n">
        <v>1</v>
      </c>
      <c r="C2026" s="10" t="s">
        <v>837</v>
      </c>
      <c r="D2026" s="10" t="s">
        <v>6080</v>
      </c>
      <c r="E2026" s="10" t="s">
        <v>1340</v>
      </c>
    </row>
    <row r="2027" customFormat="false" ht="25.5" hidden="false" customHeight="true" outlineLevel="0" collapsed="false">
      <c r="A2027" s="10" t="s">
        <v>8047</v>
      </c>
      <c r="B2027" s="9" t="n">
        <v>1</v>
      </c>
      <c r="C2027" s="10" t="s">
        <v>59</v>
      </c>
      <c r="D2027" s="10" t="s">
        <v>6028</v>
      </c>
      <c r="E2027" s="10" t="s">
        <v>773</v>
      </c>
    </row>
    <row r="2028" customFormat="false" ht="25.5" hidden="false" customHeight="true" outlineLevel="0" collapsed="false">
      <c r="A2028" s="10" t="s">
        <v>8048</v>
      </c>
      <c r="B2028" s="9" t="n">
        <v>1</v>
      </c>
      <c r="C2028" s="10" t="s">
        <v>837</v>
      </c>
      <c r="D2028" s="10" t="s">
        <v>6655</v>
      </c>
      <c r="E2028" s="10" t="s">
        <v>1354</v>
      </c>
    </row>
    <row r="2029" customFormat="false" ht="25.5" hidden="false" customHeight="true" outlineLevel="0" collapsed="false">
      <c r="A2029" s="10" t="s">
        <v>8049</v>
      </c>
      <c r="B2029" s="9" t="n">
        <v>1</v>
      </c>
      <c r="C2029" s="10" t="s">
        <v>837</v>
      </c>
      <c r="D2029" s="10" t="s">
        <v>6655</v>
      </c>
      <c r="E2029" s="10" t="s">
        <v>1354</v>
      </c>
    </row>
    <row r="2030" customFormat="false" ht="25.5" hidden="false" customHeight="true" outlineLevel="0" collapsed="false">
      <c r="A2030" s="10" t="s">
        <v>8050</v>
      </c>
      <c r="B2030" s="9" t="n">
        <v>1</v>
      </c>
      <c r="C2030" s="10" t="s">
        <v>2713</v>
      </c>
      <c r="D2030" s="10" t="s">
        <v>6082</v>
      </c>
      <c r="E2030" s="10" t="s">
        <v>2937</v>
      </c>
    </row>
    <row r="2031" customFormat="false" ht="25.5" hidden="false" customHeight="true" outlineLevel="0" collapsed="false">
      <c r="A2031" s="10" t="s">
        <v>8051</v>
      </c>
      <c r="B2031" s="9" t="n">
        <v>1</v>
      </c>
      <c r="C2031" s="10" t="s">
        <v>837</v>
      </c>
      <c r="D2031" s="10" t="s">
        <v>6655</v>
      </c>
      <c r="E2031" s="10" t="s">
        <v>1354</v>
      </c>
    </row>
    <row r="2032" customFormat="false" ht="25.5" hidden="false" customHeight="true" outlineLevel="0" collapsed="false">
      <c r="A2032" s="10" t="s">
        <v>8052</v>
      </c>
      <c r="B2032" s="9" t="n">
        <v>1</v>
      </c>
      <c r="C2032" s="10" t="s">
        <v>837</v>
      </c>
      <c r="D2032" s="10" t="s">
        <v>6655</v>
      </c>
      <c r="E2032" s="10" t="s">
        <v>1354</v>
      </c>
    </row>
    <row r="2033" customFormat="false" ht="25.5" hidden="false" customHeight="true" outlineLevel="0" collapsed="false">
      <c r="A2033" s="10" t="s">
        <v>8053</v>
      </c>
      <c r="B2033" s="9" t="n">
        <v>1</v>
      </c>
      <c r="C2033" s="10" t="s">
        <v>2713</v>
      </c>
      <c r="D2033" s="10" t="s">
        <v>6082</v>
      </c>
      <c r="E2033" s="10" t="s">
        <v>2937</v>
      </c>
    </row>
    <row r="2034" customFormat="false" ht="25.5" hidden="false" customHeight="true" outlineLevel="0" collapsed="false">
      <c r="A2034" s="10" t="s">
        <v>8054</v>
      </c>
      <c r="B2034" s="9" t="n">
        <v>1</v>
      </c>
      <c r="C2034" s="10" t="s">
        <v>3842</v>
      </c>
      <c r="D2034" s="10" t="s">
        <v>6006</v>
      </c>
      <c r="E2034" s="10" t="s">
        <v>3956</v>
      </c>
    </row>
    <row r="2035" customFormat="false" ht="25.5" hidden="false" customHeight="true" outlineLevel="0" collapsed="false">
      <c r="A2035" s="10" t="s">
        <v>8055</v>
      </c>
      <c r="B2035" s="9" t="n">
        <v>1</v>
      </c>
      <c r="C2035" s="10" t="s">
        <v>4203</v>
      </c>
      <c r="D2035" s="10" t="s">
        <v>6541</v>
      </c>
      <c r="E2035" s="10" t="s">
        <v>4256</v>
      </c>
    </row>
    <row r="2036" customFormat="false" ht="25.5" hidden="false" customHeight="true" outlineLevel="0" collapsed="false">
      <c r="A2036" s="10" t="s">
        <v>8056</v>
      </c>
      <c r="B2036" s="9" t="n">
        <v>1</v>
      </c>
      <c r="C2036" s="10" t="s">
        <v>4949</v>
      </c>
      <c r="D2036" s="10" t="s">
        <v>5242</v>
      </c>
      <c r="E2036" s="10" t="s">
        <v>5233</v>
      </c>
    </row>
    <row r="2037" customFormat="false" ht="25.5" hidden="false" customHeight="true" outlineLevel="0" collapsed="false">
      <c r="A2037" s="10" t="s">
        <v>8057</v>
      </c>
      <c r="B2037" s="9" t="n">
        <v>1</v>
      </c>
      <c r="C2037" s="10" t="s">
        <v>3291</v>
      </c>
      <c r="D2037" s="10" t="s">
        <v>6589</v>
      </c>
      <c r="E2037" s="10" t="s">
        <v>3748</v>
      </c>
    </row>
    <row r="2038" customFormat="false" ht="25.5" hidden="false" customHeight="true" outlineLevel="0" collapsed="false">
      <c r="A2038" s="10" t="s">
        <v>8058</v>
      </c>
      <c r="B2038" s="9" t="n">
        <v>1</v>
      </c>
      <c r="C2038" s="10" t="s">
        <v>4949</v>
      </c>
      <c r="D2038" s="10" t="s">
        <v>5242</v>
      </c>
      <c r="E2038" s="10" t="s">
        <v>5233</v>
      </c>
    </row>
    <row r="2039" customFormat="false" ht="25.5" hidden="false" customHeight="true" outlineLevel="0" collapsed="false">
      <c r="A2039" s="10" t="s">
        <v>8059</v>
      </c>
      <c r="B2039" s="9" t="n">
        <v>1</v>
      </c>
      <c r="C2039" s="10" t="s">
        <v>4949</v>
      </c>
      <c r="D2039" s="10" t="s">
        <v>6393</v>
      </c>
      <c r="E2039" s="10" t="s">
        <v>5154</v>
      </c>
    </row>
    <row r="2040" customFormat="false" ht="25.5" hidden="false" customHeight="true" outlineLevel="0" collapsed="false">
      <c r="A2040" s="10" t="s">
        <v>8060</v>
      </c>
      <c r="B2040" s="9" t="n">
        <v>1</v>
      </c>
      <c r="C2040" s="10" t="s">
        <v>4203</v>
      </c>
      <c r="D2040" s="10" t="s">
        <v>6988</v>
      </c>
      <c r="E2040" s="10" t="s">
        <v>4306</v>
      </c>
    </row>
    <row r="2041" customFormat="false" ht="25.5" hidden="false" customHeight="true" outlineLevel="0" collapsed="false">
      <c r="A2041" s="10" t="s">
        <v>8061</v>
      </c>
      <c r="B2041" s="9" t="n">
        <v>1</v>
      </c>
      <c r="C2041" s="10" t="s">
        <v>3842</v>
      </c>
      <c r="D2041" s="10" t="s">
        <v>7258</v>
      </c>
      <c r="E2041" s="10" t="s">
        <v>3970</v>
      </c>
    </row>
    <row r="2042" customFormat="false" ht="25.5" hidden="false" customHeight="true" outlineLevel="0" collapsed="false">
      <c r="A2042" s="10" t="s">
        <v>8062</v>
      </c>
      <c r="B2042" s="9" t="n">
        <v>1</v>
      </c>
      <c r="C2042" s="10" t="s">
        <v>4582</v>
      </c>
      <c r="D2042" s="10" t="s">
        <v>6581</v>
      </c>
      <c r="E2042" s="10" t="s">
        <v>4936</v>
      </c>
    </row>
    <row r="2043" customFormat="false" ht="25.5" hidden="false" customHeight="true" outlineLevel="0" collapsed="false">
      <c r="A2043" s="10" t="s">
        <v>8063</v>
      </c>
      <c r="B2043" s="9" t="n">
        <v>1</v>
      </c>
      <c r="C2043" s="10" t="s">
        <v>2140</v>
      </c>
      <c r="D2043" s="10" t="s">
        <v>7140</v>
      </c>
      <c r="E2043" s="10" t="s">
        <v>2313</v>
      </c>
    </row>
    <row r="2044" customFormat="false" ht="25.5" hidden="false" customHeight="true" outlineLevel="0" collapsed="false">
      <c r="A2044" s="10" t="s">
        <v>8064</v>
      </c>
      <c r="B2044" s="9" t="n">
        <v>1</v>
      </c>
      <c r="C2044" s="10" t="s">
        <v>59</v>
      </c>
      <c r="D2044" s="10" t="s">
        <v>6228</v>
      </c>
      <c r="E2044" s="10" t="s">
        <v>626</v>
      </c>
    </row>
    <row r="2045" customFormat="false" ht="25.5" hidden="false" customHeight="true" outlineLevel="0" collapsed="false">
      <c r="A2045" s="10" t="s">
        <v>8065</v>
      </c>
      <c r="B2045" s="9" t="n">
        <v>1</v>
      </c>
      <c r="C2045" s="10" t="s">
        <v>59</v>
      </c>
      <c r="D2045" s="10" t="s">
        <v>6228</v>
      </c>
      <c r="E2045" s="10" t="s">
        <v>626</v>
      </c>
    </row>
    <row r="2046" customFormat="false" ht="25.5" hidden="false" customHeight="true" outlineLevel="0" collapsed="false">
      <c r="A2046" s="10" t="s">
        <v>8066</v>
      </c>
      <c r="B2046" s="9" t="n">
        <v>1</v>
      </c>
      <c r="C2046" s="10" t="s">
        <v>2140</v>
      </c>
      <c r="D2046" s="10" t="s">
        <v>6810</v>
      </c>
      <c r="E2046" s="10" t="s">
        <v>2389</v>
      </c>
    </row>
    <row r="2047" customFormat="false" ht="25.5" hidden="false" customHeight="true" outlineLevel="0" collapsed="false">
      <c r="A2047" s="10" t="s">
        <v>8067</v>
      </c>
      <c r="B2047" s="9" t="n">
        <v>1</v>
      </c>
      <c r="C2047" s="10" t="s">
        <v>4203</v>
      </c>
      <c r="D2047" s="10" t="s">
        <v>6569</v>
      </c>
      <c r="E2047" s="10" t="s">
        <v>4217</v>
      </c>
    </row>
    <row r="2048" customFormat="false" ht="25.5" hidden="false" customHeight="true" outlineLevel="0" collapsed="false">
      <c r="A2048" s="10" t="s">
        <v>8068</v>
      </c>
      <c r="B2048" s="9" t="n">
        <v>1</v>
      </c>
      <c r="C2048" s="10" t="s">
        <v>2140</v>
      </c>
      <c r="D2048" s="10" t="s">
        <v>5598</v>
      </c>
      <c r="E2048" s="10" t="s">
        <v>2253</v>
      </c>
    </row>
    <row r="2049" customFormat="false" ht="25.5" hidden="false" customHeight="true" outlineLevel="0" collapsed="false">
      <c r="A2049" s="10" t="s">
        <v>8069</v>
      </c>
      <c r="B2049" s="9" t="n">
        <v>1</v>
      </c>
      <c r="C2049" s="10" t="s">
        <v>59</v>
      </c>
      <c r="D2049" s="10" t="s">
        <v>8070</v>
      </c>
      <c r="E2049" s="10" t="s">
        <v>106</v>
      </c>
    </row>
    <row r="2050" customFormat="false" ht="25.5" hidden="false" customHeight="true" outlineLevel="0" collapsed="false">
      <c r="A2050" s="10" t="s">
        <v>8071</v>
      </c>
      <c r="B2050" s="9" t="n">
        <v>1</v>
      </c>
      <c r="C2050" s="10" t="s">
        <v>59</v>
      </c>
      <c r="D2050" s="10" t="s">
        <v>8070</v>
      </c>
      <c r="E2050" s="10" t="s">
        <v>106</v>
      </c>
    </row>
    <row r="2051" customFormat="false" ht="25.5" hidden="false" customHeight="true" outlineLevel="0" collapsed="false">
      <c r="A2051" s="10" t="s">
        <v>8072</v>
      </c>
      <c r="B2051" s="9" t="n">
        <v>1</v>
      </c>
      <c r="C2051" s="10" t="s">
        <v>59</v>
      </c>
      <c r="D2051" s="10" t="s">
        <v>8070</v>
      </c>
      <c r="E2051" s="10" t="s">
        <v>106</v>
      </c>
    </row>
    <row r="2052" customFormat="false" ht="25.5" hidden="false" customHeight="true" outlineLevel="0" collapsed="false">
      <c r="A2052" s="10" t="s">
        <v>8073</v>
      </c>
      <c r="B2052" s="9" t="n">
        <v>1</v>
      </c>
      <c r="C2052" s="10" t="s">
        <v>4582</v>
      </c>
      <c r="D2052" s="10" t="s">
        <v>6910</v>
      </c>
      <c r="E2052" s="10" t="s">
        <v>4818</v>
      </c>
    </row>
    <row r="2053" customFormat="false" ht="25.5" hidden="false" customHeight="true" outlineLevel="0" collapsed="false">
      <c r="A2053" s="10" t="s">
        <v>8074</v>
      </c>
      <c r="B2053" s="9" t="n">
        <v>1</v>
      </c>
      <c r="C2053" s="10" t="s">
        <v>2713</v>
      </c>
      <c r="D2053" s="10" t="s">
        <v>6036</v>
      </c>
      <c r="E2053" s="10" t="s">
        <v>2854</v>
      </c>
    </row>
    <row r="2054" customFormat="false" ht="25.5" hidden="false" customHeight="true" outlineLevel="0" collapsed="false">
      <c r="A2054" s="10" t="s">
        <v>8075</v>
      </c>
      <c r="B2054" s="9" t="n">
        <v>1</v>
      </c>
      <c r="C2054" s="10" t="s">
        <v>59</v>
      </c>
      <c r="D2054" s="10" t="s">
        <v>235</v>
      </c>
      <c r="E2054" s="10" t="s">
        <v>453</v>
      </c>
    </row>
    <row r="2055" customFormat="false" ht="25.5" hidden="false" customHeight="true" outlineLevel="0" collapsed="false">
      <c r="A2055" s="10" t="s">
        <v>8076</v>
      </c>
      <c r="B2055" s="9" t="n">
        <v>1</v>
      </c>
      <c r="C2055" s="10" t="s">
        <v>3291</v>
      </c>
      <c r="D2055" s="10" t="s">
        <v>6718</v>
      </c>
      <c r="E2055" s="10" t="s">
        <v>3828</v>
      </c>
    </row>
    <row r="2056" customFormat="false" ht="25.5" hidden="false" customHeight="true" outlineLevel="0" collapsed="false">
      <c r="A2056" s="10" t="s">
        <v>8077</v>
      </c>
      <c r="B2056" s="9" t="n">
        <v>1</v>
      </c>
      <c r="C2056" s="10" t="s">
        <v>2140</v>
      </c>
      <c r="D2056" s="10" t="s">
        <v>7125</v>
      </c>
      <c r="E2056" s="10" t="s">
        <v>2467</v>
      </c>
    </row>
    <row r="2057" customFormat="false" ht="25.5" hidden="false" customHeight="true" outlineLevel="0" collapsed="false">
      <c r="A2057" s="10" t="s">
        <v>8078</v>
      </c>
      <c r="B2057" s="9" t="n">
        <v>1</v>
      </c>
      <c r="C2057" s="10" t="s">
        <v>2713</v>
      </c>
      <c r="D2057" s="10" t="s">
        <v>6205</v>
      </c>
      <c r="E2057" s="10" t="s">
        <v>2950</v>
      </c>
    </row>
    <row r="2058" customFormat="false" ht="25.5" hidden="false" customHeight="true" outlineLevel="0" collapsed="false">
      <c r="A2058" s="10" t="s">
        <v>8079</v>
      </c>
      <c r="B2058" s="9" t="n">
        <v>1</v>
      </c>
      <c r="C2058" s="10" t="s">
        <v>59</v>
      </c>
      <c r="D2058" s="10" t="s">
        <v>5632</v>
      </c>
      <c r="E2058" s="10" t="s">
        <v>201</v>
      </c>
    </row>
    <row r="2059" customFormat="false" ht="25.5" hidden="false" customHeight="true" outlineLevel="0" collapsed="false">
      <c r="A2059" s="10" t="s">
        <v>8080</v>
      </c>
      <c r="B2059" s="9" t="n">
        <v>1</v>
      </c>
      <c r="C2059" s="10" t="s">
        <v>2140</v>
      </c>
      <c r="D2059" s="10" t="s">
        <v>6226</v>
      </c>
      <c r="E2059" s="10" t="s">
        <v>2674</v>
      </c>
    </row>
    <row r="2060" customFormat="false" ht="25.5" hidden="false" customHeight="true" outlineLevel="0" collapsed="false">
      <c r="A2060" s="10" t="s">
        <v>8081</v>
      </c>
      <c r="B2060" s="9" t="n">
        <v>1</v>
      </c>
      <c r="C2060" s="10" t="s">
        <v>2140</v>
      </c>
      <c r="D2060" s="10" t="s">
        <v>2161</v>
      </c>
      <c r="E2060" s="10" t="s">
        <v>2241</v>
      </c>
    </row>
    <row r="2061" customFormat="false" ht="25.5" hidden="false" customHeight="true" outlineLevel="0" collapsed="false">
      <c r="A2061" s="10" t="s">
        <v>8082</v>
      </c>
      <c r="B2061" s="9" t="n">
        <v>1</v>
      </c>
      <c r="C2061" s="10" t="s">
        <v>2713</v>
      </c>
      <c r="D2061" s="10" t="s">
        <v>5576</v>
      </c>
      <c r="E2061" s="10" t="s">
        <v>2830</v>
      </c>
    </row>
    <row r="2062" customFormat="false" ht="25.5" hidden="false" customHeight="true" outlineLevel="0" collapsed="false">
      <c r="A2062" s="10" t="s">
        <v>8083</v>
      </c>
      <c r="B2062" s="9" t="n">
        <v>1</v>
      </c>
      <c r="C2062" s="10" t="s">
        <v>59</v>
      </c>
      <c r="D2062" s="10" t="s">
        <v>5699</v>
      </c>
      <c r="E2062" s="10" t="s">
        <v>78</v>
      </c>
    </row>
    <row r="2063" customFormat="false" ht="25.5" hidden="false" customHeight="true" outlineLevel="0" collapsed="false">
      <c r="A2063" s="10" t="s">
        <v>8084</v>
      </c>
      <c r="B2063" s="9" t="n">
        <v>1</v>
      </c>
      <c r="C2063" s="10" t="s">
        <v>2140</v>
      </c>
      <c r="D2063" s="10" t="s">
        <v>6313</v>
      </c>
      <c r="E2063" s="10" t="s">
        <v>2635</v>
      </c>
    </row>
    <row r="2064" customFormat="false" ht="25.5" hidden="false" customHeight="true" outlineLevel="0" collapsed="false">
      <c r="A2064" s="10" t="s">
        <v>8085</v>
      </c>
      <c r="B2064" s="9" t="n">
        <v>1</v>
      </c>
      <c r="C2064" s="10" t="s">
        <v>837</v>
      </c>
      <c r="D2064" s="10" t="s">
        <v>5983</v>
      </c>
      <c r="E2064" s="10" t="s">
        <v>942</v>
      </c>
    </row>
    <row r="2065" customFormat="false" ht="25.5" hidden="false" customHeight="true" outlineLevel="0" collapsed="false">
      <c r="A2065" s="10" t="s">
        <v>8086</v>
      </c>
      <c r="B2065" s="9" t="n">
        <v>1</v>
      </c>
      <c r="C2065" s="10" t="s">
        <v>2140</v>
      </c>
      <c r="D2065" s="10" t="s">
        <v>7144</v>
      </c>
      <c r="E2065" s="10" t="s">
        <v>2595</v>
      </c>
    </row>
    <row r="2066" customFormat="false" ht="25.5" hidden="false" customHeight="true" outlineLevel="0" collapsed="false">
      <c r="A2066" s="10" t="s">
        <v>8087</v>
      </c>
      <c r="B2066" s="9" t="n">
        <v>1</v>
      </c>
      <c r="C2066" s="10" t="s">
        <v>2140</v>
      </c>
      <c r="D2066" s="10" t="s">
        <v>7030</v>
      </c>
      <c r="E2066" s="10" t="s">
        <v>2608</v>
      </c>
    </row>
    <row r="2067" customFormat="false" ht="25.5" hidden="false" customHeight="true" outlineLevel="0" collapsed="false">
      <c r="A2067" s="10" t="s">
        <v>8088</v>
      </c>
      <c r="B2067" s="9" t="n">
        <v>1</v>
      </c>
      <c r="C2067" s="10" t="s">
        <v>2140</v>
      </c>
      <c r="D2067" s="10" t="s">
        <v>6201</v>
      </c>
      <c r="E2067" s="10" t="s">
        <v>2325</v>
      </c>
    </row>
    <row r="2068" customFormat="false" ht="25.5" hidden="false" customHeight="true" outlineLevel="0" collapsed="false">
      <c r="A2068" s="10" t="s">
        <v>8089</v>
      </c>
      <c r="B2068" s="9" t="n">
        <v>1</v>
      </c>
      <c r="C2068" s="10" t="s">
        <v>2713</v>
      </c>
      <c r="D2068" s="10" t="s">
        <v>7262</v>
      </c>
      <c r="E2068" s="10" t="s">
        <v>2901</v>
      </c>
    </row>
    <row r="2069" customFormat="false" ht="25.5" hidden="false" customHeight="true" outlineLevel="0" collapsed="false">
      <c r="A2069" s="10" t="s">
        <v>8090</v>
      </c>
      <c r="B2069" s="9" t="n">
        <v>1</v>
      </c>
      <c r="C2069" s="10" t="s">
        <v>2713</v>
      </c>
      <c r="D2069" s="10" t="s">
        <v>6108</v>
      </c>
      <c r="E2069" s="10" t="s">
        <v>2750</v>
      </c>
    </row>
    <row r="2070" customFormat="false" ht="25.5" hidden="false" customHeight="true" outlineLevel="0" collapsed="false">
      <c r="A2070" s="10" t="s">
        <v>8091</v>
      </c>
      <c r="B2070" s="9" t="n">
        <v>1</v>
      </c>
      <c r="C2070" s="10" t="s">
        <v>2713</v>
      </c>
      <c r="D2070" s="10" t="s">
        <v>6108</v>
      </c>
      <c r="E2070" s="10" t="s">
        <v>2772</v>
      </c>
    </row>
    <row r="2071" customFormat="false" ht="25.5" hidden="false" customHeight="true" outlineLevel="0" collapsed="false">
      <c r="A2071" s="10" t="s">
        <v>8092</v>
      </c>
      <c r="B2071" s="9" t="n">
        <v>1</v>
      </c>
      <c r="C2071" s="10" t="s">
        <v>3842</v>
      </c>
      <c r="D2071" s="10" t="s">
        <v>6546</v>
      </c>
      <c r="E2071" s="10" t="s">
        <v>4176</v>
      </c>
    </row>
    <row r="2072" customFormat="false" ht="25.5" hidden="false" customHeight="true" outlineLevel="0" collapsed="false">
      <c r="A2072" s="10" t="s">
        <v>8093</v>
      </c>
      <c r="B2072" s="9" t="n">
        <v>1</v>
      </c>
      <c r="C2072" s="10" t="s">
        <v>2140</v>
      </c>
      <c r="D2072" s="10" t="s">
        <v>6187</v>
      </c>
      <c r="E2072" s="10" t="s">
        <v>2687</v>
      </c>
    </row>
    <row r="2073" customFormat="false" ht="25.5" hidden="false" customHeight="true" outlineLevel="0" collapsed="false">
      <c r="A2073" s="10" t="s">
        <v>8094</v>
      </c>
      <c r="B2073" s="9" t="n">
        <v>1</v>
      </c>
      <c r="C2073" s="10" t="s">
        <v>2713</v>
      </c>
      <c r="D2073" s="10" t="s">
        <v>6108</v>
      </c>
      <c r="E2073" s="10" t="s">
        <v>2772</v>
      </c>
    </row>
    <row r="2074" customFormat="false" ht="25.5" hidden="false" customHeight="true" outlineLevel="0" collapsed="false">
      <c r="A2074" s="10" t="s">
        <v>8095</v>
      </c>
      <c r="B2074" s="9" t="n">
        <v>1</v>
      </c>
      <c r="C2074" s="10" t="s">
        <v>837</v>
      </c>
      <c r="D2074" s="10" t="s">
        <v>6655</v>
      </c>
      <c r="E2074" s="10" t="s">
        <v>1354</v>
      </c>
    </row>
    <row r="2075" customFormat="false" ht="25.5" hidden="false" customHeight="true" outlineLevel="0" collapsed="false">
      <c r="A2075" s="10" t="s">
        <v>8096</v>
      </c>
      <c r="B2075" s="9" t="n">
        <v>1</v>
      </c>
      <c r="C2075" s="10" t="s">
        <v>3842</v>
      </c>
      <c r="D2075" s="10" t="s">
        <v>6660</v>
      </c>
      <c r="E2075" s="10" t="s">
        <v>4137</v>
      </c>
    </row>
    <row r="2076" customFormat="false" ht="25.5" hidden="false" customHeight="true" outlineLevel="0" collapsed="false">
      <c r="A2076" s="10" t="s">
        <v>8097</v>
      </c>
      <c r="B2076" s="9" t="n">
        <v>1</v>
      </c>
      <c r="C2076" s="10" t="s">
        <v>3291</v>
      </c>
      <c r="D2076" s="10" t="s">
        <v>6589</v>
      </c>
      <c r="E2076" s="10" t="s">
        <v>3748</v>
      </c>
    </row>
    <row r="2077" customFormat="false" ht="25.5" hidden="false" customHeight="true" outlineLevel="0" collapsed="false">
      <c r="A2077" s="10" t="s">
        <v>8098</v>
      </c>
      <c r="B2077" s="9" t="n">
        <v>1</v>
      </c>
      <c r="C2077" s="10" t="s">
        <v>837</v>
      </c>
      <c r="D2077" s="10" t="s">
        <v>7072</v>
      </c>
      <c r="E2077" s="10" t="s">
        <v>1432</v>
      </c>
    </row>
    <row r="2078" customFormat="false" ht="25.5" hidden="false" customHeight="true" outlineLevel="0" collapsed="false">
      <c r="A2078" s="10" t="s">
        <v>8099</v>
      </c>
      <c r="B2078" s="9" t="n">
        <v>1</v>
      </c>
      <c r="C2078" s="10" t="s">
        <v>3842</v>
      </c>
      <c r="D2078" s="10" t="s">
        <v>6006</v>
      </c>
      <c r="E2078" s="10" t="s">
        <v>3956</v>
      </c>
    </row>
    <row r="2079" customFormat="false" ht="25.5" hidden="false" customHeight="true" outlineLevel="0" collapsed="false">
      <c r="A2079" s="10" t="s">
        <v>8100</v>
      </c>
      <c r="B2079" s="9" t="n">
        <v>1</v>
      </c>
      <c r="C2079" s="10" t="s">
        <v>4949</v>
      </c>
      <c r="D2079" s="10" t="s">
        <v>6413</v>
      </c>
      <c r="E2079" s="10" t="s">
        <v>5071</v>
      </c>
    </row>
    <row r="2080" customFormat="false" ht="25.5" hidden="false" customHeight="true" outlineLevel="0" collapsed="false">
      <c r="A2080" s="10" t="s">
        <v>8101</v>
      </c>
      <c r="B2080" s="9" t="n">
        <v>1</v>
      </c>
      <c r="C2080" s="10" t="s">
        <v>59</v>
      </c>
      <c r="D2080" s="10" t="s">
        <v>5858</v>
      </c>
      <c r="E2080" s="10" t="s">
        <v>747</v>
      </c>
    </row>
    <row r="2081" customFormat="false" ht="25.5" hidden="false" customHeight="true" outlineLevel="0" collapsed="false">
      <c r="A2081" s="10" t="s">
        <v>8102</v>
      </c>
      <c r="B2081" s="9" t="n">
        <v>1</v>
      </c>
      <c r="C2081" s="10" t="s">
        <v>2713</v>
      </c>
      <c r="D2081" s="10" t="s">
        <v>6108</v>
      </c>
      <c r="E2081" s="10" t="s">
        <v>2772</v>
      </c>
    </row>
    <row r="2082" customFormat="false" ht="25.5" hidden="false" customHeight="true" outlineLevel="0" collapsed="false">
      <c r="A2082" s="10" t="s">
        <v>8103</v>
      </c>
      <c r="B2082" s="9" t="n">
        <v>1</v>
      </c>
      <c r="C2082" s="10" t="s">
        <v>837</v>
      </c>
      <c r="D2082" s="10" t="s">
        <v>7452</v>
      </c>
      <c r="E2082" s="10" t="s">
        <v>1191</v>
      </c>
    </row>
    <row r="2083" customFormat="false" ht="25.5" hidden="false" customHeight="true" outlineLevel="0" collapsed="false">
      <c r="A2083" s="10" t="s">
        <v>8104</v>
      </c>
      <c r="B2083" s="9" t="n">
        <v>1</v>
      </c>
      <c r="C2083" s="10" t="s">
        <v>837</v>
      </c>
      <c r="D2083" s="10" t="s">
        <v>7452</v>
      </c>
      <c r="E2083" s="10" t="s">
        <v>1191</v>
      </c>
    </row>
    <row r="2084" customFormat="false" ht="25.5" hidden="false" customHeight="true" outlineLevel="0" collapsed="false">
      <c r="A2084" s="10" t="s">
        <v>8105</v>
      </c>
      <c r="B2084" s="9" t="n">
        <v>1</v>
      </c>
      <c r="C2084" s="10" t="s">
        <v>59</v>
      </c>
      <c r="D2084" s="10" t="s">
        <v>5731</v>
      </c>
      <c r="E2084" s="10" t="s">
        <v>328</v>
      </c>
    </row>
    <row r="2085" customFormat="false" ht="25.5" hidden="false" customHeight="true" outlineLevel="0" collapsed="false">
      <c r="A2085" s="10" t="s">
        <v>8106</v>
      </c>
      <c r="B2085" s="9" t="n">
        <v>1</v>
      </c>
      <c r="C2085" s="10" t="s">
        <v>1500</v>
      </c>
      <c r="D2085" s="10" t="s">
        <v>6552</v>
      </c>
      <c r="E2085" s="10" t="s">
        <v>2052</v>
      </c>
    </row>
    <row r="2086" customFormat="false" ht="25.5" hidden="false" customHeight="true" outlineLevel="0" collapsed="false">
      <c r="A2086" s="10" t="s">
        <v>8107</v>
      </c>
      <c r="B2086" s="9" t="n">
        <v>1</v>
      </c>
      <c r="C2086" s="10" t="s">
        <v>3291</v>
      </c>
      <c r="D2086" s="10" t="s">
        <v>6049</v>
      </c>
      <c r="E2086" s="10" t="s">
        <v>3735</v>
      </c>
    </row>
    <row r="2087" customFormat="false" ht="25.5" hidden="false" customHeight="true" outlineLevel="0" collapsed="false">
      <c r="A2087" s="10" t="s">
        <v>8108</v>
      </c>
      <c r="B2087" s="9" t="n">
        <v>1</v>
      </c>
      <c r="C2087" s="10" t="s">
        <v>2140</v>
      </c>
      <c r="D2087" s="10" t="s">
        <v>2161</v>
      </c>
      <c r="E2087" s="10" t="s">
        <v>2241</v>
      </c>
    </row>
    <row r="2088" customFormat="false" ht="25.5" hidden="false" customHeight="true" outlineLevel="0" collapsed="false">
      <c r="A2088" s="10" t="s">
        <v>8109</v>
      </c>
      <c r="B2088" s="9" t="n">
        <v>1</v>
      </c>
      <c r="C2088" s="10" t="s">
        <v>59</v>
      </c>
      <c r="D2088" s="10" t="s">
        <v>6555</v>
      </c>
      <c r="E2088" s="10" t="s">
        <v>612</v>
      </c>
    </row>
    <row r="2089" customFormat="false" ht="25.5" hidden="false" customHeight="true" outlineLevel="0" collapsed="false">
      <c r="A2089" s="10" t="s">
        <v>8110</v>
      </c>
      <c r="B2089" s="9" t="n">
        <v>1</v>
      </c>
      <c r="C2089" s="10" t="s">
        <v>2140</v>
      </c>
      <c r="D2089" s="10" t="s">
        <v>2161</v>
      </c>
      <c r="E2089" s="10" t="s">
        <v>2365</v>
      </c>
    </row>
    <row r="2090" customFormat="false" ht="25.5" hidden="false" customHeight="true" outlineLevel="0" collapsed="false">
      <c r="A2090" s="10" t="s">
        <v>8111</v>
      </c>
      <c r="B2090" s="9" t="n">
        <v>1</v>
      </c>
      <c r="C2090" s="10" t="s">
        <v>2140</v>
      </c>
      <c r="D2090" s="10" t="s">
        <v>6191</v>
      </c>
      <c r="E2090" s="10" t="s">
        <v>2377</v>
      </c>
    </row>
    <row r="2091" customFormat="false" ht="25.5" hidden="false" customHeight="true" outlineLevel="0" collapsed="false">
      <c r="A2091" s="10" t="s">
        <v>8112</v>
      </c>
      <c r="B2091" s="9" t="n">
        <v>1</v>
      </c>
      <c r="C2091" s="10" t="s">
        <v>59</v>
      </c>
      <c r="D2091" s="10" t="s">
        <v>6228</v>
      </c>
      <c r="E2091" s="10" t="s">
        <v>626</v>
      </c>
    </row>
    <row r="2092" customFormat="false" ht="25.5" hidden="false" customHeight="true" outlineLevel="0" collapsed="false">
      <c r="A2092" s="10" t="s">
        <v>8113</v>
      </c>
      <c r="B2092" s="9" t="n">
        <v>1</v>
      </c>
      <c r="C2092" s="10" t="s">
        <v>1500</v>
      </c>
      <c r="D2092" s="10" t="s">
        <v>6977</v>
      </c>
      <c r="E2092" s="10" t="s">
        <v>1798</v>
      </c>
    </row>
    <row r="2093" customFormat="false" ht="25.5" hidden="false" customHeight="true" outlineLevel="0" collapsed="false">
      <c r="A2093" s="10" t="s">
        <v>8114</v>
      </c>
      <c r="B2093" s="9" t="n">
        <v>1</v>
      </c>
      <c r="C2093" s="10" t="s">
        <v>59</v>
      </c>
      <c r="D2093" s="10" t="s">
        <v>6137</v>
      </c>
      <c r="E2093" s="10" t="s">
        <v>639</v>
      </c>
    </row>
    <row r="2094" customFormat="false" ht="25.5" hidden="false" customHeight="true" outlineLevel="0" collapsed="false">
      <c r="A2094" s="10" t="s">
        <v>8115</v>
      </c>
      <c r="B2094" s="9" t="n">
        <v>1</v>
      </c>
      <c r="C2094" s="10" t="s">
        <v>1500</v>
      </c>
      <c r="D2094" s="10" t="s">
        <v>6977</v>
      </c>
      <c r="E2094" s="10" t="s">
        <v>1798</v>
      </c>
    </row>
    <row r="2095" customFormat="false" ht="25.5" hidden="false" customHeight="true" outlineLevel="0" collapsed="false">
      <c r="A2095" s="10" t="s">
        <v>8116</v>
      </c>
      <c r="B2095" s="9" t="n">
        <v>1</v>
      </c>
      <c r="C2095" s="10" t="s">
        <v>1500</v>
      </c>
      <c r="D2095" s="10" t="s">
        <v>6977</v>
      </c>
      <c r="E2095" s="10" t="s">
        <v>1798</v>
      </c>
    </row>
    <row r="2096" customFormat="false" ht="25.5" hidden="false" customHeight="true" outlineLevel="0" collapsed="false">
      <c r="A2096" s="10" t="s">
        <v>8117</v>
      </c>
      <c r="B2096" s="9" t="n">
        <v>1</v>
      </c>
      <c r="C2096" s="10" t="s">
        <v>3842</v>
      </c>
      <c r="D2096" s="10" t="s">
        <v>5985</v>
      </c>
      <c r="E2096" s="10" t="s">
        <v>4062</v>
      </c>
    </row>
    <row r="2097" customFormat="false" ht="25.5" hidden="false" customHeight="true" outlineLevel="0" collapsed="false">
      <c r="A2097" s="10" t="s">
        <v>8118</v>
      </c>
      <c r="B2097" s="9" t="n">
        <v>1</v>
      </c>
      <c r="C2097" s="10" t="s">
        <v>3842</v>
      </c>
      <c r="D2097" s="10" t="s">
        <v>5985</v>
      </c>
      <c r="E2097" s="10" t="s">
        <v>4062</v>
      </c>
    </row>
    <row r="2098" customFormat="false" ht="25.5" hidden="false" customHeight="true" outlineLevel="0" collapsed="false">
      <c r="A2098" s="10" t="s">
        <v>8119</v>
      </c>
      <c r="B2098" s="9" t="n">
        <v>1</v>
      </c>
      <c r="C2098" s="10" t="s">
        <v>3842</v>
      </c>
      <c r="D2098" s="10" t="s">
        <v>5981</v>
      </c>
      <c r="E2098" s="10" t="s">
        <v>4049</v>
      </c>
    </row>
    <row r="2099" customFormat="false" ht="25.5" hidden="false" customHeight="true" outlineLevel="0" collapsed="false">
      <c r="A2099" s="10" t="s">
        <v>8120</v>
      </c>
      <c r="B2099" s="9" t="n">
        <v>1</v>
      </c>
      <c r="C2099" s="10" t="s">
        <v>3842</v>
      </c>
      <c r="D2099" s="10" t="s">
        <v>5981</v>
      </c>
      <c r="E2099" s="10" t="s">
        <v>4049</v>
      </c>
    </row>
    <row r="2100" customFormat="false" ht="25.5" hidden="false" customHeight="true" outlineLevel="0" collapsed="false">
      <c r="A2100" s="10" t="s">
        <v>8121</v>
      </c>
      <c r="B2100" s="9" t="n">
        <v>1</v>
      </c>
      <c r="C2100" s="10" t="s">
        <v>2713</v>
      </c>
      <c r="D2100" s="10" t="s">
        <v>6352</v>
      </c>
      <c r="E2100" s="10" t="s">
        <v>3168</v>
      </c>
    </row>
    <row r="2101" customFormat="false" ht="25.5" hidden="false" customHeight="true" outlineLevel="0" collapsed="false">
      <c r="A2101" s="10" t="s">
        <v>8122</v>
      </c>
      <c r="B2101" s="9" t="n">
        <v>1</v>
      </c>
      <c r="C2101" s="10" t="s">
        <v>2713</v>
      </c>
      <c r="D2101" s="10" t="s">
        <v>5719</v>
      </c>
      <c r="E2101" s="10" t="s">
        <v>3069</v>
      </c>
    </row>
    <row r="2102" customFormat="false" ht="25.5" hidden="false" customHeight="true" outlineLevel="0" collapsed="false">
      <c r="A2102" s="10" t="s">
        <v>8123</v>
      </c>
      <c r="B2102" s="9" t="n">
        <v>1</v>
      </c>
      <c r="C2102" s="10" t="s">
        <v>2713</v>
      </c>
      <c r="D2102" s="10" t="s">
        <v>5719</v>
      </c>
      <c r="E2102" s="10" t="s">
        <v>3069</v>
      </c>
    </row>
    <row r="2103" customFormat="false" ht="25.5" hidden="false" customHeight="true" outlineLevel="0" collapsed="false">
      <c r="A2103" s="10" t="s">
        <v>8124</v>
      </c>
      <c r="B2103" s="9" t="n">
        <v>1</v>
      </c>
      <c r="C2103" s="10" t="s">
        <v>3291</v>
      </c>
      <c r="D2103" s="10" t="s">
        <v>5752</v>
      </c>
      <c r="E2103" s="10" t="s">
        <v>3645</v>
      </c>
    </row>
    <row r="2104" customFormat="false" ht="25.5" hidden="false" customHeight="true" outlineLevel="0" collapsed="false">
      <c r="A2104" s="10" t="s">
        <v>8125</v>
      </c>
      <c r="B2104" s="9" t="n">
        <v>1</v>
      </c>
      <c r="C2104" s="10" t="s">
        <v>59</v>
      </c>
      <c r="D2104" s="10" t="s">
        <v>7865</v>
      </c>
      <c r="E2104" s="10" t="s">
        <v>176</v>
      </c>
    </row>
    <row r="2105" customFormat="false" ht="25.5" hidden="false" customHeight="true" outlineLevel="0" collapsed="false">
      <c r="A2105" s="10" t="s">
        <v>8126</v>
      </c>
      <c r="B2105" s="9" t="n">
        <v>1</v>
      </c>
      <c r="C2105" s="10" t="s">
        <v>1500</v>
      </c>
      <c r="D2105" s="10" t="s">
        <v>7235</v>
      </c>
      <c r="E2105" s="10" t="s">
        <v>1950</v>
      </c>
    </row>
    <row r="2106" customFormat="false" ht="25.5" hidden="false" customHeight="true" outlineLevel="0" collapsed="false">
      <c r="A2106" s="10" t="s">
        <v>8127</v>
      </c>
      <c r="B2106" s="9" t="n">
        <v>1</v>
      </c>
      <c r="C2106" s="10" t="s">
        <v>1500</v>
      </c>
      <c r="D2106" s="10" t="s">
        <v>7714</v>
      </c>
      <c r="E2106" s="10" t="s">
        <v>1743</v>
      </c>
    </row>
    <row r="2107" customFormat="false" ht="25.5" hidden="false" customHeight="true" outlineLevel="0" collapsed="false">
      <c r="A2107" s="10" t="s">
        <v>8128</v>
      </c>
      <c r="B2107" s="9" t="n">
        <v>1</v>
      </c>
      <c r="C2107" s="10" t="s">
        <v>1500</v>
      </c>
      <c r="D2107" s="10" t="s">
        <v>7714</v>
      </c>
      <c r="E2107" s="10" t="s">
        <v>1743</v>
      </c>
    </row>
    <row r="2108" customFormat="false" ht="25.5" hidden="false" customHeight="true" outlineLevel="0" collapsed="false">
      <c r="A2108" s="10" t="s">
        <v>8129</v>
      </c>
      <c r="B2108" s="9" t="n">
        <v>1</v>
      </c>
      <c r="C2108" s="10" t="s">
        <v>2713</v>
      </c>
      <c r="D2108" s="10" t="s">
        <v>6016</v>
      </c>
      <c r="E2108" s="10" t="s">
        <v>3230</v>
      </c>
    </row>
    <row r="2109" customFormat="false" ht="25.5" hidden="false" customHeight="true" outlineLevel="0" collapsed="false">
      <c r="A2109" s="10" t="s">
        <v>8130</v>
      </c>
      <c r="B2109" s="9" t="n">
        <v>1</v>
      </c>
      <c r="C2109" s="10" t="s">
        <v>4582</v>
      </c>
      <c r="D2109" s="10" t="s">
        <v>5770</v>
      </c>
      <c r="E2109" s="10" t="s">
        <v>4806</v>
      </c>
    </row>
    <row r="2110" customFormat="false" ht="25.5" hidden="false" customHeight="true" outlineLevel="0" collapsed="false">
      <c r="A2110" s="10" t="s">
        <v>8131</v>
      </c>
      <c r="B2110" s="9" t="n">
        <v>1</v>
      </c>
      <c r="C2110" s="10" t="s">
        <v>4582</v>
      </c>
      <c r="D2110" s="10" t="s">
        <v>5770</v>
      </c>
      <c r="E2110" s="10" t="s">
        <v>4924</v>
      </c>
    </row>
    <row r="2111" customFormat="false" ht="25.5" hidden="false" customHeight="true" outlineLevel="0" collapsed="false">
      <c r="A2111" s="10" t="s">
        <v>8132</v>
      </c>
      <c r="B2111" s="9" t="n">
        <v>1</v>
      </c>
      <c r="C2111" s="10" t="s">
        <v>3291</v>
      </c>
      <c r="D2111" s="10" t="s">
        <v>6832</v>
      </c>
      <c r="E2111" s="10" t="s">
        <v>3579</v>
      </c>
    </row>
    <row r="2112" customFormat="false" ht="25.5" hidden="false" customHeight="true" outlineLevel="0" collapsed="false">
      <c r="A2112" s="10" t="s">
        <v>8133</v>
      </c>
      <c r="B2112" s="9" t="n">
        <v>1</v>
      </c>
      <c r="C2112" s="10" t="s">
        <v>1500</v>
      </c>
      <c r="D2112" s="10" t="s">
        <v>7235</v>
      </c>
      <c r="E2112" s="10" t="s">
        <v>1950</v>
      </c>
    </row>
    <row r="2113" customFormat="false" ht="25.5" hidden="false" customHeight="true" outlineLevel="0" collapsed="false">
      <c r="A2113" s="10" t="s">
        <v>8134</v>
      </c>
      <c r="B2113" s="9" t="n">
        <v>1</v>
      </c>
      <c r="C2113" s="10" t="s">
        <v>4582</v>
      </c>
      <c r="D2113" s="10" t="s">
        <v>7907</v>
      </c>
      <c r="E2113" s="10" t="s">
        <v>4898</v>
      </c>
    </row>
    <row r="2114" customFormat="false" ht="25.5" hidden="false" customHeight="true" outlineLevel="0" collapsed="false">
      <c r="A2114" s="10" t="s">
        <v>8135</v>
      </c>
      <c r="B2114" s="9" t="n">
        <v>1</v>
      </c>
      <c r="C2114" s="10" t="s">
        <v>4582</v>
      </c>
      <c r="D2114" s="10" t="s">
        <v>7907</v>
      </c>
      <c r="E2114" s="10" t="s">
        <v>4898</v>
      </c>
    </row>
    <row r="2115" customFormat="false" ht="25.5" hidden="false" customHeight="true" outlineLevel="0" collapsed="false">
      <c r="A2115" s="10" t="s">
        <v>8136</v>
      </c>
      <c r="B2115" s="9" t="n">
        <v>1</v>
      </c>
      <c r="C2115" s="10" t="s">
        <v>1500</v>
      </c>
      <c r="D2115" s="10" t="s">
        <v>6047</v>
      </c>
      <c r="E2115" s="10" t="s">
        <v>2112</v>
      </c>
    </row>
    <row r="2116" customFormat="false" ht="25.5" hidden="false" customHeight="true" outlineLevel="0" collapsed="false">
      <c r="A2116" s="10" t="s">
        <v>8137</v>
      </c>
      <c r="B2116" s="9" t="n">
        <v>1</v>
      </c>
      <c r="C2116" s="10" t="s">
        <v>1500</v>
      </c>
      <c r="D2116" s="10" t="s">
        <v>7714</v>
      </c>
      <c r="E2116" s="10" t="s">
        <v>1743</v>
      </c>
    </row>
    <row r="2117" customFormat="false" ht="25.5" hidden="false" customHeight="true" outlineLevel="0" collapsed="false">
      <c r="A2117" s="10" t="s">
        <v>8138</v>
      </c>
      <c r="B2117" s="9" t="n">
        <v>1</v>
      </c>
      <c r="C2117" s="10" t="s">
        <v>1500</v>
      </c>
      <c r="D2117" s="10" t="s">
        <v>6982</v>
      </c>
      <c r="E2117" s="10" t="s">
        <v>1693</v>
      </c>
    </row>
    <row r="2118" customFormat="false" ht="25.5" hidden="false" customHeight="true" outlineLevel="0" collapsed="false">
      <c r="A2118" s="10" t="s">
        <v>8139</v>
      </c>
      <c r="B2118" s="9" t="n">
        <v>1</v>
      </c>
      <c r="C2118" s="10" t="s">
        <v>4582</v>
      </c>
      <c r="D2118" s="10" t="s">
        <v>7907</v>
      </c>
      <c r="E2118" s="10" t="s">
        <v>4898</v>
      </c>
    </row>
    <row r="2119" customFormat="false" ht="25.5" hidden="false" customHeight="true" outlineLevel="0" collapsed="false">
      <c r="A2119" s="10" t="s">
        <v>8140</v>
      </c>
      <c r="B2119" s="9" t="n">
        <v>1</v>
      </c>
      <c r="C2119" s="10" t="s">
        <v>1500</v>
      </c>
      <c r="D2119" s="10" t="s">
        <v>6047</v>
      </c>
      <c r="E2119" s="10" t="s">
        <v>2112</v>
      </c>
    </row>
    <row r="2120" customFormat="false" ht="25.5" hidden="false" customHeight="true" outlineLevel="0" collapsed="false">
      <c r="A2120" s="10" t="s">
        <v>8141</v>
      </c>
      <c r="B2120" s="9" t="n">
        <v>1</v>
      </c>
      <c r="C2120" s="10" t="s">
        <v>1500</v>
      </c>
      <c r="D2120" s="10" t="s">
        <v>7714</v>
      </c>
      <c r="E2120" s="10" t="s">
        <v>1743</v>
      </c>
    </row>
    <row r="2121" customFormat="false" ht="25.5" hidden="false" customHeight="true" outlineLevel="0" collapsed="false">
      <c r="A2121" s="10" t="s">
        <v>8142</v>
      </c>
      <c r="B2121" s="9" t="n">
        <v>1</v>
      </c>
      <c r="C2121" s="10" t="s">
        <v>837</v>
      </c>
      <c r="D2121" s="10" t="s">
        <v>7072</v>
      </c>
      <c r="E2121" s="10" t="s">
        <v>1432</v>
      </c>
    </row>
    <row r="2122" customFormat="false" ht="25.5" hidden="false" customHeight="true" outlineLevel="0" collapsed="false">
      <c r="A2122" s="10" t="s">
        <v>8143</v>
      </c>
      <c r="B2122" s="9" t="n">
        <v>1</v>
      </c>
      <c r="C2122" s="10" t="s">
        <v>3291</v>
      </c>
      <c r="D2122" s="10" t="s">
        <v>7000</v>
      </c>
      <c r="E2122" s="10" t="s">
        <v>3774</v>
      </c>
    </row>
    <row r="2123" customFormat="false" ht="25.5" hidden="false" customHeight="true" outlineLevel="0" collapsed="false">
      <c r="A2123" s="10" t="s">
        <v>8144</v>
      </c>
      <c r="B2123" s="9" t="n">
        <v>1</v>
      </c>
      <c r="C2123" s="10" t="s">
        <v>3291</v>
      </c>
      <c r="D2123" s="10" t="s">
        <v>7000</v>
      </c>
      <c r="E2123" s="10" t="s">
        <v>3774</v>
      </c>
    </row>
    <row r="2124" customFormat="false" ht="25.5" hidden="false" customHeight="true" outlineLevel="0" collapsed="false">
      <c r="A2124" s="10" t="s">
        <v>8145</v>
      </c>
      <c r="B2124" s="9" t="n">
        <v>1</v>
      </c>
      <c r="C2124" s="10" t="s">
        <v>837</v>
      </c>
      <c r="D2124" s="10" t="s">
        <v>7072</v>
      </c>
      <c r="E2124" s="10" t="s">
        <v>1432</v>
      </c>
    </row>
    <row r="2125" customFormat="false" ht="25.5" hidden="false" customHeight="true" outlineLevel="0" collapsed="false">
      <c r="A2125" s="10" t="s">
        <v>8146</v>
      </c>
      <c r="B2125" s="9" t="n">
        <v>1</v>
      </c>
      <c r="C2125" s="10" t="s">
        <v>3291</v>
      </c>
      <c r="D2125" s="10" t="s">
        <v>7000</v>
      </c>
      <c r="E2125" s="10" t="s">
        <v>3774</v>
      </c>
    </row>
    <row r="2126" customFormat="false" ht="25.5" hidden="false" customHeight="true" outlineLevel="0" collapsed="false">
      <c r="A2126" s="10" t="s">
        <v>8147</v>
      </c>
      <c r="B2126" s="9" t="n">
        <v>1</v>
      </c>
      <c r="C2126" s="10" t="s">
        <v>4582</v>
      </c>
      <c r="D2126" s="10" t="s">
        <v>7907</v>
      </c>
      <c r="E2126" s="10" t="s">
        <v>4898</v>
      </c>
    </row>
    <row r="2127" customFormat="false" ht="25.5" hidden="false" customHeight="true" outlineLevel="0" collapsed="false">
      <c r="A2127" s="10" t="s">
        <v>8148</v>
      </c>
      <c r="B2127" s="9" t="n">
        <v>1</v>
      </c>
      <c r="C2127" s="10" t="s">
        <v>2140</v>
      </c>
      <c r="D2127" s="10" t="s">
        <v>7140</v>
      </c>
      <c r="E2127" s="10" t="s">
        <v>2313</v>
      </c>
    </row>
    <row r="2128" customFormat="false" ht="25.5" hidden="false" customHeight="true" outlineLevel="0" collapsed="false">
      <c r="A2128" s="10" t="s">
        <v>8149</v>
      </c>
      <c r="B2128" s="9" t="n">
        <v>1</v>
      </c>
      <c r="C2128" s="10" t="s">
        <v>2140</v>
      </c>
      <c r="D2128" s="10" t="s">
        <v>7140</v>
      </c>
      <c r="E2128" s="10" t="s">
        <v>2313</v>
      </c>
    </row>
    <row r="2129" customFormat="false" ht="25.5" hidden="false" customHeight="true" outlineLevel="0" collapsed="false">
      <c r="A2129" s="10" t="s">
        <v>8150</v>
      </c>
      <c r="B2129" s="9" t="n">
        <v>1</v>
      </c>
      <c r="C2129" s="10" t="s">
        <v>4203</v>
      </c>
      <c r="D2129" s="10" t="s">
        <v>6569</v>
      </c>
      <c r="E2129" s="10" t="s">
        <v>4217</v>
      </c>
    </row>
    <row r="2130" customFormat="false" ht="25.5" hidden="false" customHeight="true" outlineLevel="0" collapsed="false">
      <c r="A2130" s="10" t="s">
        <v>8151</v>
      </c>
      <c r="B2130" s="9" t="n">
        <v>1</v>
      </c>
      <c r="C2130" s="10" t="s">
        <v>2140</v>
      </c>
      <c r="D2130" s="10" t="s">
        <v>5962</v>
      </c>
      <c r="E2130" s="10" t="s">
        <v>2505</v>
      </c>
    </row>
    <row r="2131" customFormat="false" ht="25.5" hidden="false" customHeight="true" outlineLevel="0" collapsed="false">
      <c r="A2131" s="10" t="s">
        <v>8152</v>
      </c>
      <c r="B2131" s="9" t="n">
        <v>1</v>
      </c>
      <c r="C2131" s="10" t="s">
        <v>2140</v>
      </c>
      <c r="D2131" s="10" t="s">
        <v>5962</v>
      </c>
      <c r="E2131" s="10" t="s">
        <v>2505</v>
      </c>
    </row>
    <row r="2132" customFormat="false" ht="25.5" hidden="false" customHeight="true" outlineLevel="0" collapsed="false">
      <c r="A2132" s="10" t="s">
        <v>8153</v>
      </c>
      <c r="B2132" s="9" t="n">
        <v>1</v>
      </c>
      <c r="C2132" s="10" t="s">
        <v>4949</v>
      </c>
      <c r="D2132" s="10" t="s">
        <v>6141</v>
      </c>
      <c r="E2132" s="10" t="s">
        <v>4990</v>
      </c>
    </row>
    <row r="2133" customFormat="false" ht="25.5" hidden="false" customHeight="true" outlineLevel="0" collapsed="false">
      <c r="A2133" s="10" t="s">
        <v>8154</v>
      </c>
      <c r="B2133" s="9" t="n">
        <v>1</v>
      </c>
      <c r="C2133" s="10" t="s">
        <v>2713</v>
      </c>
      <c r="D2133" s="10" t="s">
        <v>7046</v>
      </c>
      <c r="E2133" s="10" t="s">
        <v>3143</v>
      </c>
    </row>
    <row r="2134" customFormat="false" ht="25.5" hidden="false" customHeight="true" outlineLevel="0" collapsed="false">
      <c r="A2134" s="10" t="s">
        <v>8155</v>
      </c>
      <c r="B2134" s="9" t="n">
        <v>1</v>
      </c>
      <c r="C2134" s="10" t="s">
        <v>2713</v>
      </c>
      <c r="D2134" s="10" t="s">
        <v>3032</v>
      </c>
      <c r="E2134" s="10" t="s">
        <v>3036</v>
      </c>
    </row>
    <row r="2135" customFormat="false" ht="25.5" hidden="false" customHeight="true" outlineLevel="0" collapsed="false">
      <c r="A2135" s="10" t="s">
        <v>8156</v>
      </c>
      <c r="B2135" s="9" t="n">
        <v>1</v>
      </c>
      <c r="C2135" s="10" t="s">
        <v>2713</v>
      </c>
      <c r="D2135" s="10" t="s">
        <v>7262</v>
      </c>
      <c r="E2135" s="10" t="s">
        <v>2901</v>
      </c>
    </row>
    <row r="2136" customFormat="false" ht="25.5" hidden="false" customHeight="true" outlineLevel="0" collapsed="false">
      <c r="A2136" s="10" t="s">
        <v>8157</v>
      </c>
      <c r="B2136" s="9" t="n">
        <v>1</v>
      </c>
      <c r="C2136" s="10" t="s">
        <v>2713</v>
      </c>
      <c r="D2136" s="10" t="s">
        <v>6817</v>
      </c>
      <c r="E2136" s="10" t="s">
        <v>3242</v>
      </c>
    </row>
    <row r="2137" customFormat="false" ht="25.5" hidden="false" customHeight="true" outlineLevel="0" collapsed="false">
      <c r="A2137" s="10" t="s">
        <v>8158</v>
      </c>
      <c r="B2137" s="9" t="n">
        <v>1</v>
      </c>
      <c r="C2137" s="10" t="s">
        <v>2713</v>
      </c>
      <c r="D2137" s="10" t="s">
        <v>7262</v>
      </c>
      <c r="E2137" s="10" t="s">
        <v>2901</v>
      </c>
    </row>
    <row r="2138" customFormat="false" ht="25.5" hidden="false" customHeight="true" outlineLevel="0" collapsed="false">
      <c r="A2138" s="10" t="s">
        <v>8159</v>
      </c>
      <c r="B2138" s="9" t="n">
        <v>1</v>
      </c>
      <c r="C2138" s="10" t="s">
        <v>3291</v>
      </c>
      <c r="D2138" s="10" t="s">
        <v>6342</v>
      </c>
      <c r="E2138" s="10" t="s">
        <v>3592</v>
      </c>
    </row>
    <row r="2139" customFormat="false" ht="25.5" hidden="false" customHeight="true" outlineLevel="0" collapsed="false">
      <c r="A2139" s="10" t="s">
        <v>8160</v>
      </c>
      <c r="B2139" s="9" t="n">
        <v>1</v>
      </c>
      <c r="C2139" s="10" t="s">
        <v>2140</v>
      </c>
      <c r="D2139" s="10" t="s">
        <v>6313</v>
      </c>
      <c r="E2139" s="10" t="s">
        <v>2635</v>
      </c>
    </row>
    <row r="2140" customFormat="false" ht="25.5" hidden="false" customHeight="true" outlineLevel="0" collapsed="false">
      <c r="A2140" s="10" t="s">
        <v>8161</v>
      </c>
      <c r="B2140" s="9" t="n">
        <v>1</v>
      </c>
      <c r="C2140" s="10" t="s">
        <v>2713</v>
      </c>
      <c r="D2140" s="10" t="s">
        <v>6760</v>
      </c>
      <c r="E2140" s="10" t="s">
        <v>2999</v>
      </c>
    </row>
    <row r="2141" customFormat="false" ht="25.5" hidden="false" customHeight="true" outlineLevel="0" collapsed="false">
      <c r="A2141" s="10" t="s">
        <v>8162</v>
      </c>
      <c r="B2141" s="9" t="n">
        <v>1</v>
      </c>
      <c r="C2141" s="10" t="s">
        <v>2713</v>
      </c>
      <c r="D2141" s="10" t="s">
        <v>6424</v>
      </c>
      <c r="E2141" s="10" t="s">
        <v>3131</v>
      </c>
    </row>
    <row r="2142" customFormat="false" ht="25.5" hidden="false" customHeight="true" outlineLevel="0" collapsed="false">
      <c r="A2142" s="10" t="s">
        <v>8163</v>
      </c>
      <c r="B2142" s="9" t="n">
        <v>1</v>
      </c>
      <c r="C2142" s="10" t="s">
        <v>2713</v>
      </c>
      <c r="D2142" s="10" t="s">
        <v>7046</v>
      </c>
      <c r="E2142" s="10" t="s">
        <v>3143</v>
      </c>
    </row>
    <row r="2143" customFormat="false" ht="25.5" hidden="false" customHeight="true" outlineLevel="0" collapsed="false">
      <c r="A2143" s="10" t="s">
        <v>8164</v>
      </c>
      <c r="B2143" s="9" t="n">
        <v>1</v>
      </c>
      <c r="C2143" s="10" t="s">
        <v>837</v>
      </c>
      <c r="D2143" s="10" t="s">
        <v>6038</v>
      </c>
      <c r="E2143" s="10" t="s">
        <v>1177</v>
      </c>
    </row>
    <row r="2144" customFormat="false" ht="25.5" hidden="false" customHeight="true" outlineLevel="0" collapsed="false">
      <c r="A2144" s="10" t="s">
        <v>8165</v>
      </c>
      <c r="B2144" s="9" t="n">
        <v>1</v>
      </c>
      <c r="C2144" s="10" t="s">
        <v>1500</v>
      </c>
      <c r="D2144" s="10" t="s">
        <v>7229</v>
      </c>
      <c r="E2144" s="10" t="s">
        <v>1885</v>
      </c>
    </row>
    <row r="2145" customFormat="false" ht="25.5" hidden="false" customHeight="true" outlineLevel="0" collapsed="false">
      <c r="A2145" s="10" t="s">
        <v>8166</v>
      </c>
      <c r="B2145" s="9" t="n">
        <v>1</v>
      </c>
      <c r="C2145" s="10" t="s">
        <v>59</v>
      </c>
      <c r="D2145" s="10" t="s">
        <v>6358</v>
      </c>
      <c r="E2145" s="10" t="s">
        <v>733</v>
      </c>
    </row>
    <row r="2146" customFormat="false" ht="25.5" hidden="false" customHeight="true" outlineLevel="0" collapsed="false">
      <c r="A2146" s="10" t="s">
        <v>8167</v>
      </c>
      <c r="B2146" s="9" t="n">
        <v>1</v>
      </c>
      <c r="C2146" s="10" t="s">
        <v>59</v>
      </c>
      <c r="D2146" s="10" t="s">
        <v>6179</v>
      </c>
      <c r="E2146" s="10" t="s">
        <v>573</v>
      </c>
    </row>
    <row r="2147" customFormat="false" ht="25.5" hidden="false" customHeight="true" outlineLevel="0" collapsed="false">
      <c r="A2147" s="10" t="s">
        <v>8168</v>
      </c>
      <c r="B2147" s="9" t="n">
        <v>1</v>
      </c>
      <c r="C2147" s="10" t="s">
        <v>4949</v>
      </c>
      <c r="D2147" s="10" t="s">
        <v>6788</v>
      </c>
      <c r="E2147" s="10" t="s">
        <v>5220</v>
      </c>
    </row>
    <row r="2148" customFormat="false" ht="25.5" hidden="false" customHeight="true" outlineLevel="0" collapsed="false">
      <c r="A2148" s="10" t="s">
        <v>8169</v>
      </c>
      <c r="B2148" s="9" t="n">
        <v>1</v>
      </c>
      <c r="C2148" s="10" t="s">
        <v>4203</v>
      </c>
      <c r="D2148" s="10" t="s">
        <v>4251</v>
      </c>
      <c r="E2148" s="10" t="s">
        <v>4342</v>
      </c>
    </row>
    <row r="2149" customFormat="false" ht="25.5" hidden="false" customHeight="true" outlineLevel="0" collapsed="false">
      <c r="A2149" s="10" t="s">
        <v>8170</v>
      </c>
      <c r="B2149" s="9" t="n">
        <v>1</v>
      </c>
      <c r="C2149" s="10" t="s">
        <v>2713</v>
      </c>
      <c r="D2149" s="10" t="s">
        <v>3032</v>
      </c>
      <c r="E2149" s="10" t="s">
        <v>3036</v>
      </c>
    </row>
    <row r="2150" customFormat="false" ht="25.5" hidden="false" customHeight="true" outlineLevel="0" collapsed="false">
      <c r="A2150" s="10" t="s">
        <v>8171</v>
      </c>
      <c r="B2150" s="9" t="n">
        <v>1</v>
      </c>
      <c r="C2150" s="10" t="s">
        <v>59</v>
      </c>
      <c r="D2150" s="10" t="s">
        <v>235</v>
      </c>
      <c r="E2150" s="10" t="s">
        <v>524</v>
      </c>
    </row>
    <row r="2151" customFormat="false" ht="25.5" hidden="false" customHeight="true" outlineLevel="0" collapsed="false">
      <c r="A2151" s="10" t="s">
        <v>8172</v>
      </c>
      <c r="B2151" s="9" t="n">
        <v>1</v>
      </c>
      <c r="C2151" s="10" t="s">
        <v>2140</v>
      </c>
      <c r="D2151" s="10" t="s">
        <v>5598</v>
      </c>
      <c r="E2151" s="10" t="s">
        <v>2700</v>
      </c>
    </row>
    <row r="2152" customFormat="false" ht="25.5" hidden="false" customHeight="true" outlineLevel="0" collapsed="false">
      <c r="A2152" s="10" t="s">
        <v>8173</v>
      </c>
      <c r="B2152" s="9" t="n">
        <v>1</v>
      </c>
      <c r="C2152" s="10" t="s">
        <v>2713</v>
      </c>
      <c r="D2152" s="10" t="s">
        <v>3032</v>
      </c>
      <c r="E2152" s="10" t="s">
        <v>3046</v>
      </c>
    </row>
    <row r="2153" customFormat="false" ht="25.5" hidden="false" customHeight="true" outlineLevel="0" collapsed="false">
      <c r="A2153" s="10" t="s">
        <v>8174</v>
      </c>
      <c r="B2153" s="9" t="n">
        <v>1</v>
      </c>
      <c r="C2153" s="10" t="s">
        <v>2140</v>
      </c>
      <c r="D2153" s="10" t="s">
        <v>6187</v>
      </c>
      <c r="E2153" s="10" t="s">
        <v>2180</v>
      </c>
    </row>
    <row r="2154" customFormat="false" ht="25.5" hidden="false" customHeight="true" outlineLevel="0" collapsed="false">
      <c r="A2154" s="10" t="s">
        <v>8175</v>
      </c>
      <c r="B2154" s="9" t="n">
        <v>1</v>
      </c>
      <c r="C2154" s="10" t="s">
        <v>2140</v>
      </c>
      <c r="D2154" s="10" t="s">
        <v>5598</v>
      </c>
      <c r="E2154" s="10" t="s">
        <v>2276</v>
      </c>
    </row>
    <row r="2155" customFormat="false" ht="25.5" hidden="false" customHeight="true" outlineLevel="0" collapsed="false">
      <c r="A2155" s="10" t="s">
        <v>8176</v>
      </c>
      <c r="B2155" s="9" t="n">
        <v>1</v>
      </c>
      <c r="C2155" s="10" t="s">
        <v>2713</v>
      </c>
      <c r="D2155" s="10" t="s">
        <v>6858</v>
      </c>
      <c r="E2155" s="10" t="s">
        <v>2794</v>
      </c>
    </row>
    <row r="2156" customFormat="false" ht="25.5" hidden="false" customHeight="true" outlineLevel="0" collapsed="false">
      <c r="A2156" s="10" t="s">
        <v>8177</v>
      </c>
      <c r="B2156" s="9" t="n">
        <v>1</v>
      </c>
      <c r="C2156" s="10" t="s">
        <v>837</v>
      </c>
      <c r="D2156" s="10" t="s">
        <v>6405</v>
      </c>
      <c r="E2156" s="10" t="s">
        <v>876</v>
      </c>
    </row>
    <row r="2157" customFormat="false" ht="25.5" hidden="false" customHeight="true" outlineLevel="0" collapsed="false">
      <c r="A2157" s="10" t="s">
        <v>8178</v>
      </c>
      <c r="B2157" s="9" t="n">
        <v>1</v>
      </c>
      <c r="C2157" s="10" t="s">
        <v>4949</v>
      </c>
      <c r="D2157" s="10" t="s">
        <v>6235</v>
      </c>
      <c r="E2157" s="10" t="s">
        <v>5193</v>
      </c>
    </row>
    <row r="2158" customFormat="false" ht="25.5" hidden="false" customHeight="true" outlineLevel="0" collapsed="false">
      <c r="A2158" s="10" t="s">
        <v>8179</v>
      </c>
      <c r="B2158" s="9" t="n">
        <v>1</v>
      </c>
      <c r="C2158" s="10" t="s">
        <v>2140</v>
      </c>
      <c r="D2158" s="10" t="s">
        <v>7538</v>
      </c>
      <c r="E2158" s="10" t="s">
        <v>2648</v>
      </c>
    </row>
    <row r="2159" customFormat="false" ht="25.5" hidden="false" customHeight="true" outlineLevel="0" collapsed="false">
      <c r="A2159" s="10" t="s">
        <v>8180</v>
      </c>
      <c r="B2159" s="9" t="n">
        <v>1</v>
      </c>
      <c r="C2159" s="10" t="s">
        <v>2140</v>
      </c>
      <c r="D2159" s="10" t="s">
        <v>7538</v>
      </c>
      <c r="E2159" s="10" t="s">
        <v>2648</v>
      </c>
    </row>
    <row r="2160" customFormat="false" ht="25.5" hidden="false" customHeight="true" outlineLevel="0" collapsed="false">
      <c r="A2160" s="10" t="s">
        <v>8181</v>
      </c>
      <c r="B2160" s="9" t="n">
        <v>1</v>
      </c>
      <c r="C2160" s="10" t="s">
        <v>2140</v>
      </c>
      <c r="D2160" s="10" t="s">
        <v>7538</v>
      </c>
      <c r="E2160" s="10" t="s">
        <v>2648</v>
      </c>
    </row>
    <row r="2161" customFormat="false" ht="25.5" hidden="false" customHeight="true" outlineLevel="0" collapsed="false">
      <c r="A2161" s="10" t="s">
        <v>8182</v>
      </c>
      <c r="B2161" s="9" t="n">
        <v>1</v>
      </c>
      <c r="C2161" s="10" t="s">
        <v>2713</v>
      </c>
      <c r="D2161" s="10" t="s">
        <v>3032</v>
      </c>
      <c r="E2161" s="10" t="s">
        <v>3036</v>
      </c>
    </row>
    <row r="2162" customFormat="false" ht="25.5" hidden="false" customHeight="true" outlineLevel="0" collapsed="false">
      <c r="A2162" s="10" t="s">
        <v>8183</v>
      </c>
      <c r="B2162" s="9" t="n">
        <v>1</v>
      </c>
      <c r="C2162" s="10" t="s">
        <v>3291</v>
      </c>
      <c r="D2162" s="10" t="s">
        <v>5752</v>
      </c>
      <c r="E2162" s="10" t="s">
        <v>3645</v>
      </c>
    </row>
    <row r="2163" customFormat="false" ht="25.5" hidden="false" customHeight="true" outlineLevel="0" collapsed="false">
      <c r="A2163" s="10" t="s">
        <v>8184</v>
      </c>
      <c r="B2163" s="9" t="n">
        <v>1</v>
      </c>
      <c r="C2163" s="10" t="s">
        <v>3291</v>
      </c>
      <c r="D2163" s="10" t="s">
        <v>5752</v>
      </c>
      <c r="E2163" s="10" t="s">
        <v>3645</v>
      </c>
    </row>
    <row r="2164" customFormat="false" ht="25.5" hidden="false" customHeight="true" outlineLevel="0" collapsed="false">
      <c r="A2164" s="10" t="s">
        <v>8185</v>
      </c>
      <c r="B2164" s="9" t="n">
        <v>1</v>
      </c>
      <c r="C2164" s="10" t="s">
        <v>4203</v>
      </c>
      <c r="D2164" s="10" t="s">
        <v>6602</v>
      </c>
      <c r="E2164" s="10" t="s">
        <v>4270</v>
      </c>
    </row>
    <row r="2165" customFormat="false" ht="25.5" hidden="false" customHeight="true" outlineLevel="0" collapsed="false">
      <c r="A2165" s="10" t="s">
        <v>8186</v>
      </c>
      <c r="B2165" s="9" t="n">
        <v>1</v>
      </c>
      <c r="C2165" s="10" t="s">
        <v>4203</v>
      </c>
      <c r="D2165" s="10" t="s">
        <v>6541</v>
      </c>
      <c r="E2165" s="10" t="s">
        <v>4256</v>
      </c>
    </row>
    <row r="2166" customFormat="false" ht="25.5" hidden="false" customHeight="true" outlineLevel="0" collapsed="false">
      <c r="A2166" s="10" t="s">
        <v>8187</v>
      </c>
      <c r="B2166" s="9" t="n">
        <v>1</v>
      </c>
      <c r="C2166" s="10" t="s">
        <v>4203</v>
      </c>
      <c r="D2166" s="10" t="s">
        <v>6602</v>
      </c>
      <c r="E2166" s="10" t="s">
        <v>4270</v>
      </c>
    </row>
    <row r="2167" customFormat="false" ht="25.5" hidden="false" customHeight="true" outlineLevel="0" collapsed="false">
      <c r="A2167" s="10" t="s">
        <v>8188</v>
      </c>
      <c r="B2167" s="9" t="n">
        <v>1</v>
      </c>
      <c r="C2167" s="10" t="s">
        <v>4203</v>
      </c>
      <c r="D2167" s="10" t="s">
        <v>6602</v>
      </c>
      <c r="E2167" s="10" t="s">
        <v>4270</v>
      </c>
    </row>
    <row r="2168" customFormat="false" ht="25.5" hidden="false" customHeight="true" outlineLevel="0" collapsed="false">
      <c r="A2168" s="10" t="s">
        <v>8189</v>
      </c>
      <c r="B2168" s="9" t="n">
        <v>1</v>
      </c>
      <c r="C2168" s="10" t="s">
        <v>4949</v>
      </c>
      <c r="D2168" s="10" t="s">
        <v>5149</v>
      </c>
      <c r="E2168" s="10" t="s">
        <v>5180</v>
      </c>
    </row>
    <row r="2169" customFormat="false" ht="25.5" hidden="false" customHeight="true" outlineLevel="0" collapsed="false">
      <c r="A2169" s="10" t="s">
        <v>8190</v>
      </c>
      <c r="B2169" s="9" t="n">
        <v>1</v>
      </c>
      <c r="C2169" s="10" t="s">
        <v>3842</v>
      </c>
      <c r="D2169" s="10" t="s">
        <v>6509</v>
      </c>
      <c r="E2169" s="10" t="s">
        <v>3905</v>
      </c>
    </row>
    <row r="2170" customFormat="false" ht="25.5" hidden="false" customHeight="true" outlineLevel="0" collapsed="false">
      <c r="A2170" s="10" t="s">
        <v>8191</v>
      </c>
      <c r="B2170" s="9" t="n">
        <v>1</v>
      </c>
      <c r="C2170" s="10" t="s">
        <v>3842</v>
      </c>
      <c r="D2170" s="10" t="s">
        <v>6077</v>
      </c>
      <c r="E2170" s="10" t="s">
        <v>3997</v>
      </c>
    </row>
    <row r="2171" customFormat="false" ht="25.5" hidden="false" customHeight="true" outlineLevel="0" collapsed="false">
      <c r="A2171" s="10" t="s">
        <v>8192</v>
      </c>
      <c r="B2171" s="9" t="n">
        <v>1</v>
      </c>
      <c r="C2171" s="10" t="s">
        <v>1500</v>
      </c>
      <c r="D2171" s="10" t="s">
        <v>6115</v>
      </c>
      <c r="E2171" s="10" t="s">
        <v>2039</v>
      </c>
    </row>
    <row r="2172" customFormat="false" ht="25.5" hidden="false" customHeight="true" outlineLevel="0" collapsed="false">
      <c r="A2172" s="10" t="s">
        <v>8193</v>
      </c>
      <c r="B2172" s="9" t="n">
        <v>1</v>
      </c>
      <c r="C2172" s="10" t="s">
        <v>1500</v>
      </c>
      <c r="D2172" s="10" t="s">
        <v>6115</v>
      </c>
      <c r="E2172" s="10" t="s">
        <v>2039</v>
      </c>
    </row>
    <row r="2173" customFormat="false" ht="25.5" hidden="false" customHeight="true" outlineLevel="0" collapsed="false">
      <c r="A2173" s="10" t="s">
        <v>8194</v>
      </c>
      <c r="B2173" s="9" t="n">
        <v>1</v>
      </c>
      <c r="C2173" s="10" t="s">
        <v>3291</v>
      </c>
      <c r="D2173" s="10" t="s">
        <v>6502</v>
      </c>
      <c r="E2173" s="10" t="s">
        <v>3709</v>
      </c>
    </row>
    <row r="2174" customFormat="false" ht="25.5" hidden="false" customHeight="true" outlineLevel="0" collapsed="false">
      <c r="A2174" s="10" t="s">
        <v>8195</v>
      </c>
      <c r="B2174" s="9" t="n">
        <v>1</v>
      </c>
      <c r="C2174" s="10" t="s">
        <v>3291</v>
      </c>
      <c r="D2174" s="10" t="s">
        <v>5989</v>
      </c>
      <c r="E2174" s="10" t="s">
        <v>3460</v>
      </c>
    </row>
    <row r="2175" customFormat="false" ht="25.5" hidden="false" customHeight="true" outlineLevel="0" collapsed="false">
      <c r="A2175" s="10" t="s">
        <v>8196</v>
      </c>
      <c r="B2175" s="9" t="n">
        <v>1</v>
      </c>
      <c r="C2175" s="10" t="s">
        <v>59</v>
      </c>
      <c r="D2175" s="10" t="s">
        <v>5752</v>
      </c>
      <c r="E2175" s="10" t="s">
        <v>213</v>
      </c>
    </row>
    <row r="2176" customFormat="false" ht="25.5" hidden="false" customHeight="true" outlineLevel="0" collapsed="false">
      <c r="A2176" s="10" t="s">
        <v>8197</v>
      </c>
      <c r="B2176" s="9" t="n">
        <v>1</v>
      </c>
      <c r="C2176" s="10" t="s">
        <v>3842</v>
      </c>
      <c r="D2176" s="10" t="s">
        <v>6111</v>
      </c>
      <c r="E2176" s="10" t="s">
        <v>3983</v>
      </c>
    </row>
    <row r="2177" customFormat="false" ht="25.5" hidden="false" customHeight="true" outlineLevel="0" collapsed="false">
      <c r="A2177" s="10" t="s">
        <v>8198</v>
      </c>
      <c r="B2177" s="9" t="n">
        <v>1</v>
      </c>
      <c r="C2177" s="10" t="s">
        <v>3291</v>
      </c>
      <c r="D2177" s="10" t="s">
        <v>6416</v>
      </c>
      <c r="E2177" s="10" t="s">
        <v>3696</v>
      </c>
    </row>
    <row r="2178" customFormat="false" ht="25.5" hidden="false" customHeight="true" outlineLevel="0" collapsed="false">
      <c r="A2178" s="10" t="s">
        <v>8199</v>
      </c>
      <c r="B2178" s="9" t="n">
        <v>1</v>
      </c>
      <c r="C2178" s="10" t="s">
        <v>2713</v>
      </c>
      <c r="D2178" s="10" t="s">
        <v>6016</v>
      </c>
      <c r="E2178" s="10" t="s">
        <v>3230</v>
      </c>
    </row>
    <row r="2179" customFormat="false" ht="25.5" hidden="false" customHeight="true" outlineLevel="0" collapsed="false">
      <c r="A2179" s="10" t="s">
        <v>8200</v>
      </c>
      <c r="B2179" s="9" t="n">
        <v>1</v>
      </c>
      <c r="C2179" s="10" t="s">
        <v>2713</v>
      </c>
      <c r="D2179" s="10" t="s">
        <v>6016</v>
      </c>
      <c r="E2179" s="10" t="s">
        <v>3230</v>
      </c>
    </row>
    <row r="2180" customFormat="false" ht="25.5" hidden="false" customHeight="true" outlineLevel="0" collapsed="false">
      <c r="A2180" s="10" t="s">
        <v>8201</v>
      </c>
      <c r="B2180" s="9" t="n">
        <v>1</v>
      </c>
      <c r="C2180" s="10" t="s">
        <v>4203</v>
      </c>
      <c r="D2180" s="10" t="s">
        <v>4448</v>
      </c>
      <c r="E2180" s="10" t="s">
        <v>4441</v>
      </c>
    </row>
    <row r="2181" customFormat="false" ht="25.5" hidden="false" customHeight="true" outlineLevel="0" collapsed="false">
      <c r="A2181" s="10" t="s">
        <v>8202</v>
      </c>
      <c r="B2181" s="9" t="n">
        <v>1</v>
      </c>
      <c r="C2181" s="10" t="s">
        <v>4203</v>
      </c>
      <c r="D2181" s="10" t="s">
        <v>4448</v>
      </c>
      <c r="E2181" s="10" t="s">
        <v>4441</v>
      </c>
    </row>
    <row r="2182" customFormat="false" ht="25.5" hidden="false" customHeight="true" outlineLevel="0" collapsed="false">
      <c r="A2182" s="10" t="s">
        <v>8203</v>
      </c>
      <c r="B2182" s="9" t="n">
        <v>1</v>
      </c>
      <c r="C2182" s="10" t="s">
        <v>4203</v>
      </c>
      <c r="D2182" s="10" t="s">
        <v>4448</v>
      </c>
      <c r="E2182" s="10" t="s">
        <v>4441</v>
      </c>
    </row>
    <row r="2183" customFormat="false" ht="25.5" hidden="false" customHeight="true" outlineLevel="0" collapsed="false">
      <c r="A2183" s="10" t="s">
        <v>8204</v>
      </c>
      <c r="B2183" s="9" t="n">
        <v>1</v>
      </c>
      <c r="C2183" s="10" t="s">
        <v>4203</v>
      </c>
      <c r="D2183" s="10" t="s">
        <v>4448</v>
      </c>
      <c r="E2183" s="10" t="s">
        <v>4441</v>
      </c>
    </row>
    <row r="2184" customFormat="false" ht="25.5" hidden="false" customHeight="true" outlineLevel="0" collapsed="false">
      <c r="A2184" s="10" t="s">
        <v>8205</v>
      </c>
      <c r="B2184" s="9" t="n">
        <v>1</v>
      </c>
      <c r="C2184" s="10" t="s">
        <v>2140</v>
      </c>
      <c r="D2184" s="10" t="s">
        <v>6365</v>
      </c>
      <c r="E2184" s="10" t="s">
        <v>2353</v>
      </c>
    </row>
    <row r="2185" customFormat="false" ht="25.5" hidden="false" customHeight="true" outlineLevel="0" collapsed="false">
      <c r="A2185" s="10" t="s">
        <v>8206</v>
      </c>
      <c r="B2185" s="9" t="n">
        <v>1</v>
      </c>
      <c r="C2185" s="10" t="s">
        <v>4949</v>
      </c>
      <c r="D2185" s="10" t="s">
        <v>6606</v>
      </c>
      <c r="E2185" s="10" t="s">
        <v>5207</v>
      </c>
    </row>
    <row r="2186" customFormat="false" ht="25.5" hidden="false" customHeight="true" outlineLevel="0" collapsed="false">
      <c r="A2186" s="10" t="s">
        <v>8207</v>
      </c>
      <c r="B2186" s="9" t="n">
        <v>1</v>
      </c>
      <c r="C2186" s="10" t="s">
        <v>2713</v>
      </c>
      <c r="D2186" s="10" t="s">
        <v>6051</v>
      </c>
      <c r="E2186" s="10" t="s">
        <v>3207</v>
      </c>
    </row>
    <row r="2187" customFormat="false" ht="25.5" hidden="false" customHeight="true" outlineLevel="0" collapsed="false">
      <c r="A2187" s="10" t="s">
        <v>8208</v>
      </c>
      <c r="B2187" s="9" t="n">
        <v>1</v>
      </c>
      <c r="C2187" s="10" t="s">
        <v>59</v>
      </c>
      <c r="D2187" s="10" t="s">
        <v>235</v>
      </c>
      <c r="E2187" s="10" t="s">
        <v>535</v>
      </c>
    </row>
    <row r="2188" customFormat="false" ht="25.5" hidden="false" customHeight="true" outlineLevel="0" collapsed="false">
      <c r="A2188" s="10" t="s">
        <v>8209</v>
      </c>
      <c r="B2188" s="9" t="n">
        <v>1</v>
      </c>
      <c r="C2188" s="10" t="s">
        <v>59</v>
      </c>
      <c r="D2188" s="10" t="s">
        <v>6210</v>
      </c>
      <c r="E2188" s="10" t="s">
        <v>365</v>
      </c>
    </row>
    <row r="2189" customFormat="false" ht="25.5" hidden="false" customHeight="true" outlineLevel="0" collapsed="false">
      <c r="A2189" s="10" t="s">
        <v>8210</v>
      </c>
      <c r="B2189" s="9" t="n">
        <v>1</v>
      </c>
      <c r="C2189" s="10" t="s">
        <v>3291</v>
      </c>
      <c r="D2189" s="10" t="s">
        <v>6814</v>
      </c>
      <c r="E2189" s="10" t="s">
        <v>3815</v>
      </c>
    </row>
    <row r="2190" customFormat="false" ht="25.5" hidden="false" customHeight="true" outlineLevel="0" collapsed="false">
      <c r="A2190" s="10" t="s">
        <v>8211</v>
      </c>
      <c r="B2190" s="9" t="n">
        <v>1</v>
      </c>
      <c r="C2190" s="10" t="s">
        <v>2140</v>
      </c>
      <c r="D2190" s="10" t="s">
        <v>6385</v>
      </c>
      <c r="E2190" s="10" t="s">
        <v>2583</v>
      </c>
    </row>
    <row r="2191" customFormat="false" ht="25.5" hidden="false" customHeight="true" outlineLevel="0" collapsed="false">
      <c r="A2191" s="10" t="s">
        <v>8212</v>
      </c>
      <c r="B2191" s="9" t="n">
        <v>1</v>
      </c>
      <c r="C2191" s="10" t="s">
        <v>59</v>
      </c>
      <c r="D2191" s="10" t="s">
        <v>5699</v>
      </c>
      <c r="E2191" s="10" t="s">
        <v>429</v>
      </c>
    </row>
    <row r="2192" customFormat="false" ht="25.5" hidden="false" customHeight="true" outlineLevel="0" collapsed="false">
      <c r="A2192" s="10" t="s">
        <v>8213</v>
      </c>
      <c r="B2192" s="9" t="n">
        <v>1</v>
      </c>
      <c r="C2192" s="10" t="s">
        <v>2140</v>
      </c>
      <c r="D2192" s="10" t="s">
        <v>2578</v>
      </c>
      <c r="E2192" s="10" t="s">
        <v>2569</v>
      </c>
    </row>
    <row r="2193" customFormat="false" ht="25.5" hidden="false" customHeight="true" outlineLevel="0" collapsed="false">
      <c r="A2193" s="10" t="s">
        <v>8214</v>
      </c>
      <c r="B2193" s="9" t="n">
        <v>1</v>
      </c>
      <c r="C2193" s="10" t="s">
        <v>4203</v>
      </c>
      <c r="D2193" s="10" t="s">
        <v>4251</v>
      </c>
      <c r="E2193" s="10" t="s">
        <v>4243</v>
      </c>
    </row>
    <row r="2194" customFormat="false" ht="25.5" hidden="false" customHeight="true" outlineLevel="0" collapsed="false">
      <c r="A2194" s="10" t="s">
        <v>8215</v>
      </c>
      <c r="B2194" s="9" t="n">
        <v>1</v>
      </c>
      <c r="C2194" s="10" t="s">
        <v>2713</v>
      </c>
      <c r="D2194" s="10" t="s">
        <v>6125</v>
      </c>
      <c r="E2194" s="10" t="s">
        <v>3279</v>
      </c>
    </row>
    <row r="2195" customFormat="false" ht="25.5" hidden="false" customHeight="true" outlineLevel="0" collapsed="false">
      <c r="A2195" s="10" t="s">
        <v>8216</v>
      </c>
      <c r="B2195" s="9" t="n">
        <v>1</v>
      </c>
      <c r="C2195" s="10" t="s">
        <v>2713</v>
      </c>
      <c r="D2195" s="10" t="s">
        <v>6239</v>
      </c>
      <c r="E2195" s="10" t="s">
        <v>3180</v>
      </c>
    </row>
    <row r="2196" customFormat="false" ht="25.5" hidden="false" customHeight="true" outlineLevel="0" collapsed="false">
      <c r="A2196" s="10" t="s">
        <v>8217</v>
      </c>
      <c r="B2196" s="9" t="n">
        <v>1</v>
      </c>
      <c r="C2196" s="10" t="s">
        <v>3291</v>
      </c>
      <c r="D2196" s="10" t="s">
        <v>6718</v>
      </c>
      <c r="E2196" s="10" t="s">
        <v>3828</v>
      </c>
    </row>
    <row r="2197" customFormat="false" ht="25.5" hidden="false" customHeight="true" outlineLevel="0" collapsed="false">
      <c r="A2197" s="10" t="s">
        <v>8218</v>
      </c>
      <c r="B2197" s="9" t="n">
        <v>1</v>
      </c>
      <c r="C2197" s="10" t="s">
        <v>59</v>
      </c>
      <c r="D2197" s="10" t="s">
        <v>7074</v>
      </c>
      <c r="E2197" s="10" t="s">
        <v>547</v>
      </c>
    </row>
    <row r="2198" customFormat="false" ht="25.5" hidden="false" customHeight="true" outlineLevel="0" collapsed="false">
      <c r="A2198" s="10" t="s">
        <v>8219</v>
      </c>
      <c r="B2198" s="9" t="n">
        <v>1</v>
      </c>
      <c r="C2198" s="10" t="s">
        <v>59</v>
      </c>
      <c r="D2198" s="10" t="s">
        <v>6132</v>
      </c>
      <c r="E2198" s="10" t="s">
        <v>721</v>
      </c>
    </row>
    <row r="2199" customFormat="false" ht="25.5" hidden="false" customHeight="true" outlineLevel="0" collapsed="false">
      <c r="A2199" s="10" t="s">
        <v>8220</v>
      </c>
      <c r="B2199" s="9" t="n">
        <v>1</v>
      </c>
      <c r="C2199" s="10" t="s">
        <v>1500</v>
      </c>
      <c r="D2199" s="10" t="s">
        <v>6387</v>
      </c>
      <c r="E2199" s="10" t="s">
        <v>2089</v>
      </c>
    </row>
    <row r="2200" customFormat="false" ht="25.5" hidden="false" customHeight="true" outlineLevel="0" collapsed="false">
      <c r="A2200" s="10" t="s">
        <v>8221</v>
      </c>
      <c r="B2200" s="9" t="n">
        <v>1</v>
      </c>
      <c r="C2200" s="10" t="s">
        <v>4203</v>
      </c>
      <c r="D2200" s="10" t="s">
        <v>6522</v>
      </c>
      <c r="E2200" s="10" t="s">
        <v>4517</v>
      </c>
    </row>
    <row r="2201" customFormat="false" ht="25.5" hidden="false" customHeight="true" outlineLevel="0" collapsed="false">
      <c r="A2201" s="10" t="s">
        <v>8222</v>
      </c>
      <c r="B2201" s="9" t="n">
        <v>1</v>
      </c>
      <c r="C2201" s="10" t="s">
        <v>59</v>
      </c>
      <c r="D2201" s="10" t="s">
        <v>5814</v>
      </c>
      <c r="E2201" s="10" t="s">
        <v>240</v>
      </c>
    </row>
    <row r="2202" customFormat="false" ht="25.5" hidden="false" customHeight="true" outlineLevel="0" collapsed="false">
      <c r="A2202" s="10" t="s">
        <v>8223</v>
      </c>
      <c r="B2202" s="9" t="n">
        <v>1</v>
      </c>
      <c r="C2202" s="10" t="s">
        <v>59</v>
      </c>
      <c r="D2202" s="10" t="s">
        <v>5699</v>
      </c>
      <c r="E2202" s="10" t="s">
        <v>429</v>
      </c>
    </row>
  </sheetData>
  <autoFilter ref="A3:E22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44"/>
    <col collapsed="false" customWidth="true" hidden="false" outlineLevel="0" max="2" min="2" style="1" width="20"/>
    <col collapsed="false" customWidth="true" hidden="false" outlineLevel="0" max="3" min="3" style="1" width="15"/>
    <col collapsed="false" customWidth="true" hidden="false" outlineLevel="0" max="4" min="4" style="1" width="14"/>
    <col collapsed="false" customWidth="true" hidden="false" outlineLevel="0" max="8" min="5" style="1" width="9"/>
    <col collapsed="false" customWidth="true" hidden="false" outlineLevel="0" max="9" min="9" style="1" width="40"/>
  </cols>
  <sheetData>
    <row r="1" customFormat="false" ht="18" hidden="false" customHeight="true" outlineLevel="0" collapsed="false">
      <c r="A1" s="7" t="s">
        <v>8224</v>
      </c>
    </row>
    <row r="2" customFormat="false" ht="15" hidden="false" customHeight="true" outlineLevel="0" collapsed="false">
      <c r="A2" s="3" t="s">
        <v>8225</v>
      </c>
    </row>
    <row r="3" customFormat="false" ht="38.25" hidden="false" customHeight="true" outlineLevel="0" collapsed="false">
      <c r="A3" s="8" t="s">
        <v>8226</v>
      </c>
      <c r="B3" s="8" t="s">
        <v>8227</v>
      </c>
      <c r="C3" s="8" t="s">
        <v>8228</v>
      </c>
      <c r="D3" s="8" t="s">
        <v>8229</v>
      </c>
      <c r="E3" s="8" t="s">
        <v>73</v>
      </c>
      <c r="F3" s="8" t="s">
        <v>90</v>
      </c>
      <c r="G3" s="8" t="s">
        <v>74</v>
      </c>
      <c r="H3" s="8" t="s">
        <v>119</v>
      </c>
      <c r="I3" s="8" t="s">
        <v>5305</v>
      </c>
    </row>
    <row r="4" customFormat="false" ht="30" hidden="false" customHeight="true" outlineLevel="0" collapsed="false">
      <c r="A4" s="10" t="s">
        <v>235</v>
      </c>
      <c r="B4" s="10" t="s">
        <v>8230</v>
      </c>
      <c r="C4" s="15" t="n">
        <v>116</v>
      </c>
      <c r="D4" s="9" t="n">
        <v>53</v>
      </c>
      <c r="E4" s="9" t="n">
        <v>12</v>
      </c>
      <c r="F4" s="9" t="n">
        <v>40</v>
      </c>
      <c r="G4" s="9" t="n">
        <v>43</v>
      </c>
      <c r="H4" s="9" t="n">
        <v>21</v>
      </c>
      <c r="I4" s="10" t="s">
        <v>8231</v>
      </c>
    </row>
    <row r="5" customFormat="false" ht="30" hidden="false" customHeight="true" outlineLevel="0" collapsed="false">
      <c r="A5" s="10" t="s">
        <v>8232</v>
      </c>
      <c r="B5" s="10" t="s">
        <v>8233</v>
      </c>
      <c r="C5" s="15" t="n">
        <v>74</v>
      </c>
      <c r="D5" s="9" t="n">
        <v>23</v>
      </c>
      <c r="E5" s="9" t="n">
        <v>15</v>
      </c>
      <c r="F5" s="9" t="n">
        <v>33</v>
      </c>
      <c r="G5" s="9" t="n">
        <v>22</v>
      </c>
      <c r="H5" s="9" t="n">
        <v>4</v>
      </c>
      <c r="I5" s="10" t="s">
        <v>8234</v>
      </c>
    </row>
    <row r="6" customFormat="false" ht="30" hidden="false" customHeight="true" outlineLevel="0" collapsed="false">
      <c r="A6" s="10" t="s">
        <v>2161</v>
      </c>
      <c r="B6" s="10" t="s">
        <v>8235</v>
      </c>
      <c r="C6" s="15" t="n">
        <v>66</v>
      </c>
      <c r="D6" s="9" t="n">
        <v>50</v>
      </c>
      <c r="E6" s="9" t="n">
        <v>12</v>
      </c>
      <c r="F6" s="9" t="n">
        <v>29</v>
      </c>
      <c r="G6" s="9" t="n">
        <v>18</v>
      </c>
      <c r="H6" s="9" t="n">
        <v>7</v>
      </c>
      <c r="I6" s="10" t="s">
        <v>8236</v>
      </c>
    </row>
    <row r="7" customFormat="false" ht="30" hidden="false" customHeight="true" outlineLevel="0" collapsed="false">
      <c r="A7" s="10" t="s">
        <v>8237</v>
      </c>
      <c r="B7" s="10" t="s">
        <v>8230</v>
      </c>
      <c r="C7" s="15" t="n">
        <v>58</v>
      </c>
      <c r="D7" s="9" t="n">
        <v>27</v>
      </c>
      <c r="E7" s="9" t="n">
        <v>8</v>
      </c>
      <c r="F7" s="9" t="n">
        <v>20</v>
      </c>
      <c r="G7" s="9" t="n">
        <v>21</v>
      </c>
      <c r="H7" s="9" t="n">
        <v>9</v>
      </c>
      <c r="I7" s="10" t="s">
        <v>8231</v>
      </c>
    </row>
    <row r="8" customFormat="false" ht="30" hidden="false" customHeight="true" outlineLevel="0" collapsed="false">
      <c r="A8" s="10" t="s">
        <v>8238</v>
      </c>
      <c r="B8" s="10" t="s">
        <v>8239</v>
      </c>
      <c r="C8" s="15" t="n">
        <v>54</v>
      </c>
      <c r="D8" s="9" t="n">
        <v>34</v>
      </c>
      <c r="E8" s="9" t="n">
        <v>11</v>
      </c>
      <c r="F8" s="9" t="n">
        <v>20</v>
      </c>
      <c r="G8" s="9" t="n">
        <v>19</v>
      </c>
      <c r="H8" s="9" t="n">
        <v>4</v>
      </c>
      <c r="I8" s="10" t="s">
        <v>8240</v>
      </c>
    </row>
    <row r="9" customFormat="false" ht="30" hidden="false" customHeight="true" outlineLevel="0" collapsed="false">
      <c r="A9" s="10" t="s">
        <v>1522</v>
      </c>
      <c r="B9" s="10" t="s">
        <v>8230</v>
      </c>
      <c r="C9" s="15" t="n">
        <v>31</v>
      </c>
      <c r="D9" s="9" t="n">
        <v>28</v>
      </c>
      <c r="E9" s="9" t="n">
        <v>4</v>
      </c>
      <c r="F9" s="9" t="n">
        <v>16</v>
      </c>
      <c r="G9" s="9" t="n">
        <v>6</v>
      </c>
      <c r="H9" s="9" t="n">
        <v>5</v>
      </c>
      <c r="I9" s="10" t="s">
        <v>8241</v>
      </c>
    </row>
    <row r="10" customFormat="false" ht="30" hidden="false" customHeight="true" outlineLevel="0" collapsed="false">
      <c r="A10" s="10" t="s">
        <v>8242</v>
      </c>
      <c r="B10" s="10" t="s">
        <v>8239</v>
      </c>
      <c r="C10" s="15" t="n">
        <v>25</v>
      </c>
      <c r="D10" s="9" t="n">
        <v>13</v>
      </c>
      <c r="E10" s="9" t="n">
        <v>4</v>
      </c>
      <c r="F10" s="9" t="n">
        <v>6</v>
      </c>
      <c r="G10" s="9" t="n">
        <v>12</v>
      </c>
      <c r="H10" s="9" t="n">
        <v>3</v>
      </c>
      <c r="I10" s="10" t="s">
        <v>8243</v>
      </c>
    </row>
    <row r="11" customFormat="false" ht="30" hidden="false" customHeight="true" outlineLevel="0" collapsed="false">
      <c r="A11" s="10" t="s">
        <v>2758</v>
      </c>
      <c r="B11" s="10" t="s">
        <v>8239</v>
      </c>
      <c r="C11" s="15" t="n">
        <v>23</v>
      </c>
      <c r="D11" s="9" t="n">
        <v>15</v>
      </c>
      <c r="E11" s="9" t="n">
        <v>5</v>
      </c>
      <c r="F11" s="9" t="n">
        <v>10</v>
      </c>
      <c r="G11" s="9" t="n">
        <v>6</v>
      </c>
      <c r="H11" s="9" t="n">
        <v>2</v>
      </c>
      <c r="I11" s="10" t="s">
        <v>8244</v>
      </c>
    </row>
    <row r="12" customFormat="false" ht="30" hidden="false" customHeight="true" outlineLevel="0" collapsed="false">
      <c r="A12" s="10" t="s">
        <v>5149</v>
      </c>
      <c r="B12" s="10" t="s">
        <v>8235</v>
      </c>
      <c r="C12" s="15" t="n">
        <v>21</v>
      </c>
      <c r="D12" s="9" t="n">
        <v>18</v>
      </c>
      <c r="E12" s="9" t="n">
        <v>5</v>
      </c>
      <c r="F12" s="9" t="n">
        <v>6</v>
      </c>
      <c r="G12" s="9" t="n">
        <v>7</v>
      </c>
      <c r="H12" s="9" t="n">
        <v>3</v>
      </c>
      <c r="I12" s="10" t="s">
        <v>8245</v>
      </c>
    </row>
    <row r="13" customFormat="false" ht="30" hidden="false" customHeight="true" outlineLevel="0" collapsed="false">
      <c r="A13" s="10" t="s">
        <v>8246</v>
      </c>
      <c r="B13" s="10" t="s">
        <v>8247</v>
      </c>
      <c r="C13" s="15" t="n">
        <v>20</v>
      </c>
      <c r="D13" s="9" t="n">
        <v>6</v>
      </c>
      <c r="E13" s="9" t="n">
        <v>2</v>
      </c>
      <c r="F13" s="9" t="n">
        <v>10</v>
      </c>
      <c r="G13" s="9" t="n">
        <v>5</v>
      </c>
      <c r="H13" s="9" t="n">
        <v>3</v>
      </c>
      <c r="I13" s="10" t="s">
        <v>8248</v>
      </c>
    </row>
    <row r="14" customFormat="false" ht="30" hidden="false" customHeight="true" outlineLevel="0" collapsed="false">
      <c r="A14" s="10" t="s">
        <v>4251</v>
      </c>
      <c r="B14" s="10" t="s">
        <v>8249</v>
      </c>
      <c r="C14" s="9" t="n">
        <v>19</v>
      </c>
      <c r="D14" s="9" t="n">
        <v>6</v>
      </c>
      <c r="E14" s="9" t="n">
        <v>3</v>
      </c>
      <c r="F14" s="9" t="n">
        <v>5</v>
      </c>
      <c r="G14" s="9" t="n">
        <v>7</v>
      </c>
      <c r="H14" s="9" t="n">
        <v>4</v>
      </c>
      <c r="I14" s="10" t="s">
        <v>8250</v>
      </c>
    </row>
    <row r="15" customFormat="false" ht="30" hidden="false" customHeight="true" outlineLevel="0" collapsed="false">
      <c r="A15" s="10" t="s">
        <v>8251</v>
      </c>
      <c r="B15" s="10" t="s">
        <v>8230</v>
      </c>
      <c r="C15" s="9" t="n">
        <v>17</v>
      </c>
      <c r="D15" s="9" t="n">
        <v>11</v>
      </c>
      <c r="E15" s="9" t="n">
        <v>2</v>
      </c>
      <c r="F15" s="9" t="n">
        <v>6</v>
      </c>
      <c r="G15" s="9" t="n">
        <v>7</v>
      </c>
      <c r="H15" s="9" t="n">
        <v>2</v>
      </c>
      <c r="I15" s="10" t="s">
        <v>8252</v>
      </c>
    </row>
    <row r="16" customFormat="false" ht="30" hidden="false" customHeight="true" outlineLevel="0" collapsed="false">
      <c r="A16" s="10" t="s">
        <v>2722</v>
      </c>
      <c r="B16" s="10" t="s">
        <v>8239</v>
      </c>
      <c r="C16" s="9" t="n">
        <v>17</v>
      </c>
      <c r="D16" s="9" t="n">
        <v>27</v>
      </c>
      <c r="E16" s="9" t="n">
        <v>1</v>
      </c>
      <c r="F16" s="9" t="n">
        <v>3</v>
      </c>
      <c r="G16" s="9" t="n">
        <v>11</v>
      </c>
      <c r="H16" s="9" t="n">
        <v>2</v>
      </c>
      <c r="I16" s="10" t="s">
        <v>8253</v>
      </c>
    </row>
    <row r="17" customFormat="false" ht="30" hidden="false" customHeight="true" outlineLevel="0" collapsed="false">
      <c r="A17" s="10" t="s">
        <v>88</v>
      </c>
      <c r="B17" s="10" t="s">
        <v>8254</v>
      </c>
      <c r="C17" s="9" t="n">
        <v>17</v>
      </c>
      <c r="D17" s="9" t="n">
        <v>39</v>
      </c>
      <c r="E17" s="9" t="n">
        <v>3</v>
      </c>
      <c r="F17" s="9" t="n">
        <v>7</v>
      </c>
      <c r="G17" s="9" t="n">
        <v>6</v>
      </c>
      <c r="H17" s="9" t="n">
        <v>1</v>
      </c>
      <c r="I17" s="10" t="s">
        <v>8255</v>
      </c>
    </row>
    <row r="18" customFormat="false" ht="30" hidden="false" customHeight="true" outlineLevel="0" collapsed="false">
      <c r="A18" s="10" t="s">
        <v>8256</v>
      </c>
      <c r="B18" s="10" t="s">
        <v>8247</v>
      </c>
      <c r="C18" s="9" t="n">
        <v>17</v>
      </c>
      <c r="D18" s="9" t="n">
        <v>5</v>
      </c>
      <c r="E18" s="9" t="n">
        <v>3</v>
      </c>
      <c r="F18" s="9" t="n">
        <v>4</v>
      </c>
      <c r="G18" s="9" t="n">
        <v>8</v>
      </c>
      <c r="H18" s="9" t="n">
        <v>2</v>
      </c>
      <c r="I18" s="10" t="s">
        <v>5553</v>
      </c>
    </row>
    <row r="19" customFormat="false" ht="30" hidden="false" customHeight="true" outlineLevel="0" collapsed="false">
      <c r="A19" s="10" t="s">
        <v>8257</v>
      </c>
      <c r="B19" s="10" t="s">
        <v>8258</v>
      </c>
      <c r="C19" s="9" t="n">
        <v>16</v>
      </c>
      <c r="D19" s="9" t="n">
        <v>12</v>
      </c>
      <c r="E19" s="9" t="n">
        <v>0</v>
      </c>
      <c r="F19" s="9" t="n">
        <v>8</v>
      </c>
      <c r="G19" s="9" t="n">
        <v>5</v>
      </c>
      <c r="H19" s="9" t="n">
        <v>3</v>
      </c>
      <c r="I19" s="10" t="s">
        <v>8259</v>
      </c>
    </row>
    <row r="20" customFormat="false" ht="30" hidden="false" customHeight="true" outlineLevel="0" collapsed="false">
      <c r="A20" s="10" t="s">
        <v>8260</v>
      </c>
      <c r="B20" s="10" t="s">
        <v>8239</v>
      </c>
      <c r="C20" s="9" t="n">
        <v>16</v>
      </c>
      <c r="D20" s="9" t="n">
        <v>10</v>
      </c>
      <c r="E20" s="9" t="n">
        <v>3</v>
      </c>
      <c r="F20" s="9" t="n">
        <v>7</v>
      </c>
      <c r="G20" s="9" t="n">
        <v>3</v>
      </c>
      <c r="H20" s="9" t="n">
        <v>3</v>
      </c>
      <c r="I20" s="10" t="s">
        <v>8261</v>
      </c>
    </row>
    <row r="21" customFormat="false" ht="30" hidden="false" customHeight="true" outlineLevel="0" collapsed="false">
      <c r="A21" s="10" t="s">
        <v>3113</v>
      </c>
      <c r="B21" s="10" t="s">
        <v>8254</v>
      </c>
      <c r="C21" s="9" t="n">
        <v>16</v>
      </c>
      <c r="D21" s="9" t="n">
        <v>63</v>
      </c>
      <c r="E21" s="9" t="n">
        <v>2</v>
      </c>
      <c r="F21" s="9" t="n">
        <v>5</v>
      </c>
      <c r="G21" s="9" t="n">
        <v>8</v>
      </c>
      <c r="H21" s="9" t="n">
        <v>1</v>
      </c>
      <c r="I21" s="10" t="s">
        <v>8262</v>
      </c>
    </row>
    <row r="22" customFormat="false" ht="30" hidden="false" customHeight="true" outlineLevel="0" collapsed="false">
      <c r="A22" s="10" t="s">
        <v>3032</v>
      </c>
      <c r="B22" s="10" t="s">
        <v>8239</v>
      </c>
      <c r="C22" s="9" t="n">
        <v>15</v>
      </c>
      <c r="D22" s="9" t="n">
        <v>29</v>
      </c>
      <c r="E22" s="9" t="n">
        <v>1</v>
      </c>
      <c r="F22" s="9" t="n">
        <v>6</v>
      </c>
      <c r="G22" s="9" t="n">
        <v>7</v>
      </c>
      <c r="H22" s="9" t="n">
        <v>1</v>
      </c>
      <c r="I22" s="10" t="s">
        <v>8263</v>
      </c>
    </row>
    <row r="23" customFormat="false" ht="30" hidden="false" customHeight="true" outlineLevel="0" collapsed="false">
      <c r="A23" s="10" t="s">
        <v>8264</v>
      </c>
      <c r="B23" s="10" t="s">
        <v>8230</v>
      </c>
      <c r="C23" s="9" t="n">
        <v>14</v>
      </c>
      <c r="D23" s="9" t="n">
        <v>23</v>
      </c>
      <c r="E23" s="9" t="n">
        <v>1</v>
      </c>
      <c r="F23" s="9" t="n">
        <v>7</v>
      </c>
      <c r="G23" s="9" t="n">
        <v>4</v>
      </c>
      <c r="H23" s="9" t="n">
        <v>2</v>
      </c>
      <c r="I23" s="10" t="s">
        <v>8265</v>
      </c>
    </row>
    <row r="24" customFormat="false" ht="30" hidden="false" customHeight="true" outlineLevel="0" collapsed="false">
      <c r="A24" s="10" t="s">
        <v>8266</v>
      </c>
      <c r="B24" s="10" t="s">
        <v>8230</v>
      </c>
      <c r="C24" s="9" t="n">
        <v>14</v>
      </c>
      <c r="D24" s="9" t="n">
        <v>24</v>
      </c>
      <c r="E24" s="9" t="n">
        <v>3</v>
      </c>
      <c r="F24" s="9" t="n">
        <v>5</v>
      </c>
      <c r="G24" s="9" t="n">
        <v>4</v>
      </c>
      <c r="H24" s="9" t="n">
        <v>2</v>
      </c>
      <c r="I24" s="10" t="s">
        <v>8267</v>
      </c>
    </row>
    <row r="25" customFormat="false" ht="30" hidden="false" customHeight="true" outlineLevel="0" collapsed="false">
      <c r="A25" s="10" t="s">
        <v>8268</v>
      </c>
      <c r="B25" s="10" t="s">
        <v>8230</v>
      </c>
      <c r="C25" s="9" t="n">
        <v>14</v>
      </c>
      <c r="D25" s="9" t="n">
        <v>7</v>
      </c>
      <c r="E25" s="9" t="n">
        <v>1</v>
      </c>
      <c r="F25" s="9" t="n">
        <v>6</v>
      </c>
      <c r="G25" s="9" t="n">
        <v>6</v>
      </c>
      <c r="H25" s="9" t="n">
        <v>1</v>
      </c>
      <c r="I25" s="10" t="s">
        <v>8269</v>
      </c>
    </row>
    <row r="26" customFormat="false" ht="30" hidden="false" customHeight="true" outlineLevel="0" collapsed="false">
      <c r="A26" s="10" t="s">
        <v>8270</v>
      </c>
      <c r="B26" s="10" t="s">
        <v>8249</v>
      </c>
      <c r="C26" s="9" t="n">
        <v>14</v>
      </c>
      <c r="D26" s="9" t="n">
        <v>8</v>
      </c>
      <c r="E26" s="9" t="n">
        <v>4</v>
      </c>
      <c r="F26" s="9" t="n">
        <v>7</v>
      </c>
      <c r="G26" s="9" t="n">
        <v>3</v>
      </c>
      <c r="H26" s="9" t="n">
        <v>0</v>
      </c>
      <c r="I26" s="10" t="s">
        <v>5560</v>
      </c>
    </row>
    <row r="27" customFormat="false" ht="30" hidden="false" customHeight="true" outlineLevel="0" collapsed="false">
      <c r="A27" s="10" t="s">
        <v>8271</v>
      </c>
      <c r="B27" s="10" t="s">
        <v>8247</v>
      </c>
      <c r="C27" s="9" t="n">
        <v>13</v>
      </c>
      <c r="D27" s="9" t="n">
        <v>7</v>
      </c>
      <c r="E27" s="9" t="n">
        <v>1</v>
      </c>
      <c r="F27" s="9" t="n">
        <v>5</v>
      </c>
      <c r="G27" s="9" t="n">
        <v>4</v>
      </c>
      <c r="H27" s="9" t="n">
        <v>3</v>
      </c>
      <c r="I27" s="10" t="s">
        <v>5689</v>
      </c>
    </row>
    <row r="28" customFormat="false" ht="30" hidden="false" customHeight="true" outlineLevel="0" collapsed="false">
      <c r="A28" s="10" t="s">
        <v>8272</v>
      </c>
      <c r="B28" s="10" t="s">
        <v>8254</v>
      </c>
      <c r="C28" s="9" t="n">
        <v>13</v>
      </c>
      <c r="D28" s="9" t="n">
        <v>14</v>
      </c>
      <c r="E28" s="9" t="n">
        <v>3</v>
      </c>
      <c r="F28" s="9" t="n">
        <v>6</v>
      </c>
      <c r="G28" s="9" t="n">
        <v>4</v>
      </c>
      <c r="H28" s="9" t="n">
        <v>0</v>
      </c>
      <c r="I28" s="10" t="s">
        <v>8273</v>
      </c>
    </row>
    <row r="29" customFormat="false" ht="30" hidden="false" customHeight="true" outlineLevel="0" collapsed="false">
      <c r="A29" s="10" t="s">
        <v>8274</v>
      </c>
      <c r="B29" s="10" t="s">
        <v>8230</v>
      </c>
      <c r="C29" s="9" t="n">
        <v>12</v>
      </c>
      <c r="D29" s="9" t="n">
        <v>4</v>
      </c>
      <c r="E29" s="9" t="n">
        <v>2</v>
      </c>
      <c r="F29" s="9" t="n">
        <v>9</v>
      </c>
      <c r="G29" s="9" t="n">
        <v>1</v>
      </c>
      <c r="H29" s="9" t="n">
        <v>0</v>
      </c>
      <c r="I29" s="10" t="s">
        <v>8275</v>
      </c>
    </row>
    <row r="30" customFormat="false" ht="30" hidden="false" customHeight="true" outlineLevel="0" collapsed="false">
      <c r="A30" s="10" t="s">
        <v>8276</v>
      </c>
      <c r="B30" s="10" t="s">
        <v>8230</v>
      </c>
      <c r="C30" s="9" t="n">
        <v>12</v>
      </c>
      <c r="D30" s="9" t="n">
        <v>17</v>
      </c>
      <c r="E30" s="9" t="n">
        <v>3</v>
      </c>
      <c r="F30" s="9" t="n">
        <v>5</v>
      </c>
      <c r="G30" s="9" t="n">
        <v>3</v>
      </c>
      <c r="H30" s="9" t="n">
        <v>1</v>
      </c>
      <c r="I30" s="10" t="s">
        <v>8277</v>
      </c>
    </row>
    <row r="31" customFormat="false" ht="30" hidden="false" customHeight="true" outlineLevel="0" collapsed="false">
      <c r="A31" s="10" t="s">
        <v>8278</v>
      </c>
      <c r="B31" s="10" t="s">
        <v>8247</v>
      </c>
      <c r="C31" s="9" t="n">
        <v>11</v>
      </c>
      <c r="D31" s="9" t="n">
        <v>18</v>
      </c>
      <c r="E31" s="9" t="n">
        <v>1</v>
      </c>
      <c r="F31" s="9" t="n">
        <v>4</v>
      </c>
      <c r="G31" s="9" t="n">
        <v>5</v>
      </c>
      <c r="H31" s="9" t="n">
        <v>1</v>
      </c>
      <c r="I31" s="10" t="s">
        <v>8279</v>
      </c>
    </row>
    <row r="32" customFormat="false" ht="30" hidden="false" customHeight="true" outlineLevel="0" collapsed="false">
      <c r="A32" s="10" t="s">
        <v>8280</v>
      </c>
      <c r="B32" s="10" t="s">
        <v>8230</v>
      </c>
      <c r="C32" s="9" t="n">
        <v>11</v>
      </c>
      <c r="D32" s="9" t="n">
        <v>9</v>
      </c>
      <c r="E32" s="9" t="n">
        <v>2</v>
      </c>
      <c r="F32" s="9" t="n">
        <v>5</v>
      </c>
      <c r="G32" s="9" t="n">
        <v>2</v>
      </c>
      <c r="H32" s="9" t="n">
        <v>2</v>
      </c>
      <c r="I32" s="10" t="s">
        <v>8281</v>
      </c>
    </row>
    <row r="33" customFormat="false" ht="30" hidden="false" customHeight="true" outlineLevel="0" collapsed="false">
      <c r="A33" s="10" t="s">
        <v>8282</v>
      </c>
      <c r="B33" s="10" t="s">
        <v>8230</v>
      </c>
      <c r="C33" s="9" t="n">
        <v>11</v>
      </c>
      <c r="D33" s="9" t="n">
        <v>11</v>
      </c>
      <c r="E33" s="9" t="n">
        <v>3</v>
      </c>
      <c r="F33" s="9" t="n">
        <v>5</v>
      </c>
      <c r="G33" s="9" t="n">
        <v>3</v>
      </c>
      <c r="H33" s="9" t="n">
        <v>0</v>
      </c>
      <c r="I33" s="10" t="s">
        <v>8283</v>
      </c>
    </row>
    <row r="34" customFormat="false" ht="30" hidden="false" customHeight="true" outlineLevel="0" collapsed="false">
      <c r="A34" s="10" t="s">
        <v>8284</v>
      </c>
      <c r="B34" s="10" t="s">
        <v>8230</v>
      </c>
      <c r="C34" s="9" t="n">
        <v>10</v>
      </c>
      <c r="D34" s="9" t="n">
        <v>4</v>
      </c>
      <c r="E34" s="9" t="n">
        <v>2</v>
      </c>
      <c r="F34" s="9" t="n">
        <v>2</v>
      </c>
      <c r="G34" s="9" t="n">
        <v>4</v>
      </c>
      <c r="H34" s="9" t="n">
        <v>2</v>
      </c>
      <c r="I34" s="10" t="s">
        <v>8285</v>
      </c>
    </row>
    <row r="35" customFormat="false" ht="30" hidden="false" customHeight="true" outlineLevel="0" collapsed="false">
      <c r="A35" s="10" t="s">
        <v>8286</v>
      </c>
      <c r="B35" s="10" t="s">
        <v>8230</v>
      </c>
      <c r="C35" s="9" t="n">
        <v>10</v>
      </c>
      <c r="D35" s="9" t="n">
        <v>7</v>
      </c>
      <c r="E35" s="9" t="n">
        <v>2</v>
      </c>
      <c r="F35" s="9" t="n">
        <v>4</v>
      </c>
      <c r="G35" s="9" t="n">
        <v>2</v>
      </c>
      <c r="H35" s="9" t="n">
        <v>2</v>
      </c>
      <c r="I35" s="10" t="s">
        <v>8287</v>
      </c>
    </row>
    <row r="36" customFormat="false" ht="30" hidden="false" customHeight="true" outlineLevel="0" collapsed="false">
      <c r="A36" s="10" t="s">
        <v>2187</v>
      </c>
      <c r="B36" s="10" t="s">
        <v>8235</v>
      </c>
      <c r="C36" s="9" t="n">
        <v>10</v>
      </c>
      <c r="D36" s="9" t="n">
        <v>6</v>
      </c>
      <c r="E36" s="9" t="n">
        <v>1</v>
      </c>
      <c r="F36" s="9" t="n">
        <v>5</v>
      </c>
      <c r="G36" s="9" t="n">
        <v>4</v>
      </c>
      <c r="H36" s="9" t="n">
        <v>0</v>
      </c>
      <c r="I36" s="10" t="s">
        <v>8288</v>
      </c>
    </row>
    <row r="37" customFormat="false" ht="30" hidden="false" customHeight="true" outlineLevel="0" collapsed="false">
      <c r="A37" s="10" t="s">
        <v>8289</v>
      </c>
      <c r="B37" s="10" t="s">
        <v>8249</v>
      </c>
      <c r="C37" s="9" t="n">
        <v>9</v>
      </c>
      <c r="D37" s="9" t="n">
        <v>26</v>
      </c>
      <c r="E37" s="9" t="n">
        <v>4</v>
      </c>
      <c r="F37" s="9" t="n">
        <v>4</v>
      </c>
      <c r="G37" s="9" t="n">
        <v>0</v>
      </c>
      <c r="H37" s="9" t="n">
        <v>1</v>
      </c>
      <c r="I37" s="10" t="s">
        <v>8290</v>
      </c>
    </row>
    <row r="38" customFormat="false" ht="30" hidden="false" customHeight="true" outlineLevel="0" collapsed="false">
      <c r="A38" s="10" t="s">
        <v>8291</v>
      </c>
      <c r="B38" s="10" t="s">
        <v>8247</v>
      </c>
      <c r="C38" s="9" t="n">
        <v>9</v>
      </c>
      <c r="D38" s="9" t="n">
        <v>7</v>
      </c>
      <c r="E38" s="9" t="n">
        <v>3</v>
      </c>
      <c r="F38" s="9" t="n">
        <v>3</v>
      </c>
      <c r="G38" s="9" t="n">
        <v>1</v>
      </c>
      <c r="H38" s="9" t="n">
        <v>2</v>
      </c>
      <c r="I38" s="10" t="s">
        <v>3842</v>
      </c>
    </row>
    <row r="39" customFormat="false" ht="30" hidden="false" customHeight="true" outlineLevel="0" collapsed="false">
      <c r="A39" s="10" t="s">
        <v>8292</v>
      </c>
      <c r="B39" s="10" t="s">
        <v>8254</v>
      </c>
      <c r="C39" s="9" t="n">
        <v>9</v>
      </c>
      <c r="D39" s="9" t="n">
        <v>7</v>
      </c>
      <c r="E39" s="9" t="n">
        <v>0</v>
      </c>
      <c r="F39" s="9" t="n">
        <v>0</v>
      </c>
      <c r="G39" s="9" t="n">
        <v>4</v>
      </c>
      <c r="H39" s="9" t="n">
        <v>5</v>
      </c>
      <c r="I39" s="10" t="s">
        <v>5476</v>
      </c>
    </row>
    <row r="40" customFormat="false" ht="30" hidden="false" customHeight="true" outlineLevel="0" collapsed="false">
      <c r="A40" s="10" t="s">
        <v>8293</v>
      </c>
      <c r="B40" s="10" t="s">
        <v>8249</v>
      </c>
      <c r="C40" s="9" t="n">
        <v>9</v>
      </c>
      <c r="D40" s="9" t="n">
        <v>4</v>
      </c>
      <c r="E40" s="9" t="n">
        <v>3</v>
      </c>
      <c r="F40" s="9" t="n">
        <v>3</v>
      </c>
      <c r="G40" s="9" t="n">
        <v>2</v>
      </c>
      <c r="H40" s="9" t="n">
        <v>1</v>
      </c>
      <c r="I40" s="10" t="s">
        <v>8294</v>
      </c>
    </row>
    <row r="41" customFormat="false" ht="30" hidden="false" customHeight="true" outlineLevel="0" collapsed="false">
      <c r="A41" s="10" t="s">
        <v>8295</v>
      </c>
      <c r="B41" s="10" t="s">
        <v>8230</v>
      </c>
      <c r="C41" s="9" t="n">
        <v>9</v>
      </c>
      <c r="D41" s="9" t="n">
        <v>15</v>
      </c>
      <c r="E41" s="9" t="n">
        <v>1</v>
      </c>
      <c r="F41" s="9" t="n">
        <v>3</v>
      </c>
      <c r="G41" s="9" t="n">
        <v>5</v>
      </c>
      <c r="H41" s="9" t="n">
        <v>0</v>
      </c>
      <c r="I41" s="10" t="s">
        <v>8296</v>
      </c>
    </row>
    <row r="42" customFormat="false" ht="30" hidden="false" customHeight="true" outlineLevel="0" collapsed="false">
      <c r="A42" s="10" t="s">
        <v>8297</v>
      </c>
      <c r="B42" s="10" t="s">
        <v>8230</v>
      </c>
      <c r="C42" s="9" t="n">
        <v>7</v>
      </c>
      <c r="D42" s="9" t="n">
        <v>25</v>
      </c>
      <c r="E42" s="9" t="n">
        <v>0</v>
      </c>
      <c r="F42" s="9" t="n">
        <v>1</v>
      </c>
      <c r="G42" s="9" t="n">
        <v>4</v>
      </c>
      <c r="H42" s="9" t="n">
        <v>2</v>
      </c>
      <c r="I42" s="10" t="s">
        <v>5394</v>
      </c>
    </row>
    <row r="43" customFormat="false" ht="30" hidden="false" customHeight="true" outlineLevel="0" collapsed="false">
      <c r="A43" s="10" t="s">
        <v>8298</v>
      </c>
      <c r="B43" s="10" t="s">
        <v>8230</v>
      </c>
      <c r="C43" s="9" t="n">
        <v>7</v>
      </c>
      <c r="D43" s="9" t="n">
        <v>7</v>
      </c>
      <c r="E43" s="9" t="n">
        <v>1</v>
      </c>
      <c r="F43" s="9" t="n">
        <v>1</v>
      </c>
      <c r="G43" s="9" t="n">
        <v>3</v>
      </c>
      <c r="H43" s="9" t="n">
        <v>2</v>
      </c>
      <c r="I43" s="10" t="s">
        <v>8299</v>
      </c>
    </row>
    <row r="44" customFormat="false" ht="30" hidden="false" customHeight="true" outlineLevel="0" collapsed="false">
      <c r="A44" s="10" t="s">
        <v>8300</v>
      </c>
      <c r="B44" s="10" t="s">
        <v>8239</v>
      </c>
      <c r="C44" s="9" t="n">
        <v>7</v>
      </c>
      <c r="D44" s="9" t="n">
        <v>17</v>
      </c>
      <c r="E44" s="9" t="n">
        <v>1</v>
      </c>
      <c r="F44" s="9" t="n">
        <v>1</v>
      </c>
      <c r="G44" s="9" t="n">
        <v>4</v>
      </c>
      <c r="H44" s="9" t="n">
        <v>1</v>
      </c>
      <c r="I44" s="10" t="s">
        <v>8301</v>
      </c>
    </row>
    <row r="45" customFormat="false" ht="30" hidden="false" customHeight="true" outlineLevel="0" collapsed="false">
      <c r="A45" s="10" t="s">
        <v>8302</v>
      </c>
      <c r="B45" s="10" t="s">
        <v>8230</v>
      </c>
      <c r="C45" s="9" t="n">
        <v>7</v>
      </c>
      <c r="D45" s="9" t="n">
        <v>6</v>
      </c>
      <c r="E45" s="9" t="n">
        <v>4</v>
      </c>
      <c r="F45" s="9" t="n">
        <v>2</v>
      </c>
      <c r="G45" s="9" t="n">
        <v>1</v>
      </c>
      <c r="H45" s="9" t="n">
        <v>0</v>
      </c>
      <c r="I45" s="10" t="s">
        <v>8269</v>
      </c>
    </row>
    <row r="46" customFormat="false" ht="30" hidden="false" customHeight="true" outlineLevel="0" collapsed="false">
      <c r="A46" s="10" t="s">
        <v>8303</v>
      </c>
      <c r="B46" s="10" t="s">
        <v>8230</v>
      </c>
      <c r="C46" s="9" t="n">
        <v>7</v>
      </c>
      <c r="D46" s="9" t="n">
        <v>18</v>
      </c>
      <c r="E46" s="9" t="n">
        <v>2</v>
      </c>
      <c r="F46" s="9" t="n">
        <v>4</v>
      </c>
      <c r="G46" s="9" t="n">
        <v>1</v>
      </c>
      <c r="H46" s="9" t="n">
        <v>0</v>
      </c>
      <c r="I46" s="10" t="s">
        <v>5560</v>
      </c>
    </row>
    <row r="47" customFormat="false" ht="30" hidden="false" customHeight="true" outlineLevel="0" collapsed="false">
      <c r="A47" s="10" t="s">
        <v>8304</v>
      </c>
      <c r="B47" s="10" t="s">
        <v>8230</v>
      </c>
      <c r="C47" s="9" t="n">
        <v>6</v>
      </c>
      <c r="D47" s="9" t="n">
        <v>0</v>
      </c>
      <c r="E47" s="9" t="n">
        <v>0</v>
      </c>
      <c r="F47" s="9" t="n">
        <v>3</v>
      </c>
      <c r="G47" s="9" t="n">
        <v>2</v>
      </c>
      <c r="H47" s="9" t="n">
        <v>1</v>
      </c>
      <c r="I47" s="10" t="s">
        <v>8269</v>
      </c>
    </row>
    <row r="48" customFormat="false" ht="30" hidden="false" customHeight="true" outlineLevel="0" collapsed="false">
      <c r="A48" s="10" t="s">
        <v>8305</v>
      </c>
      <c r="B48" s="10" t="s">
        <v>8239</v>
      </c>
      <c r="C48" s="9" t="n">
        <v>6</v>
      </c>
      <c r="D48" s="9" t="n">
        <v>7</v>
      </c>
      <c r="E48" s="9" t="n">
        <v>3</v>
      </c>
      <c r="F48" s="9" t="n">
        <v>2</v>
      </c>
      <c r="G48" s="9" t="n">
        <v>1</v>
      </c>
      <c r="H48" s="9" t="n">
        <v>0</v>
      </c>
      <c r="I48" s="10" t="s">
        <v>8306</v>
      </c>
    </row>
    <row r="49" customFormat="false" ht="30" hidden="false" customHeight="true" outlineLevel="0" collapsed="false">
      <c r="A49" s="10" t="s">
        <v>8307</v>
      </c>
      <c r="B49" s="10" t="s">
        <v>8230</v>
      </c>
      <c r="C49" s="9" t="n">
        <v>6</v>
      </c>
      <c r="D49" s="9" t="n">
        <v>10</v>
      </c>
      <c r="E49" s="9" t="n">
        <v>2</v>
      </c>
      <c r="F49" s="9" t="n">
        <v>3</v>
      </c>
      <c r="G49" s="9" t="n">
        <v>1</v>
      </c>
      <c r="H49" s="9" t="n">
        <v>0</v>
      </c>
      <c r="I49" s="10" t="s">
        <v>8294</v>
      </c>
    </row>
    <row r="50" customFormat="false" ht="30" hidden="false" customHeight="true" outlineLevel="0" collapsed="false">
      <c r="A50" s="10" t="s">
        <v>5242</v>
      </c>
      <c r="B50" s="10" t="s">
        <v>8249</v>
      </c>
      <c r="C50" s="9" t="n">
        <v>6</v>
      </c>
      <c r="D50" s="9" t="n">
        <v>5</v>
      </c>
      <c r="E50" s="9" t="n">
        <v>1</v>
      </c>
      <c r="F50" s="9" t="n">
        <v>2</v>
      </c>
      <c r="G50" s="9" t="n">
        <v>2</v>
      </c>
      <c r="H50" s="9" t="n">
        <v>1</v>
      </c>
      <c r="I50" s="10" t="s">
        <v>8308</v>
      </c>
    </row>
    <row r="51" customFormat="false" ht="30" hidden="false" customHeight="true" outlineLevel="0" collapsed="false">
      <c r="A51" s="10" t="s">
        <v>8309</v>
      </c>
      <c r="B51" s="10" t="s">
        <v>8254</v>
      </c>
      <c r="C51" s="9" t="n">
        <v>6</v>
      </c>
      <c r="D51" s="9" t="n">
        <v>7</v>
      </c>
      <c r="E51" s="9" t="n">
        <v>0</v>
      </c>
      <c r="F51" s="9" t="n">
        <v>4</v>
      </c>
      <c r="G51" s="9" t="n">
        <v>1</v>
      </c>
      <c r="H51" s="9" t="n">
        <v>1</v>
      </c>
      <c r="I51" s="10" t="s">
        <v>8310</v>
      </c>
    </row>
    <row r="52" customFormat="false" ht="30" hidden="false" customHeight="true" outlineLevel="0" collapsed="false">
      <c r="A52" s="10" t="s">
        <v>2262</v>
      </c>
      <c r="B52" s="10" t="s">
        <v>8235</v>
      </c>
      <c r="C52" s="9" t="n">
        <v>6</v>
      </c>
      <c r="D52" s="9" t="n">
        <v>10</v>
      </c>
      <c r="E52" s="9" t="n">
        <v>1</v>
      </c>
      <c r="F52" s="9" t="n">
        <v>2</v>
      </c>
      <c r="G52" s="9" t="n">
        <v>2</v>
      </c>
      <c r="H52" s="9" t="n">
        <v>1</v>
      </c>
      <c r="I52" s="10" t="s">
        <v>2140</v>
      </c>
    </row>
    <row r="53" customFormat="false" ht="30" hidden="false" customHeight="true" outlineLevel="0" collapsed="false">
      <c r="A53" s="10" t="s">
        <v>4448</v>
      </c>
      <c r="B53" s="10" t="s">
        <v>8249</v>
      </c>
      <c r="C53" s="9" t="n">
        <v>6</v>
      </c>
      <c r="D53" s="9" t="n">
        <v>6</v>
      </c>
      <c r="E53" s="9" t="n">
        <v>0</v>
      </c>
      <c r="F53" s="9" t="n">
        <v>1</v>
      </c>
      <c r="G53" s="9" t="n">
        <v>3</v>
      </c>
      <c r="H53" s="9" t="n">
        <v>2</v>
      </c>
      <c r="I53" s="10" t="s">
        <v>5476</v>
      </c>
    </row>
    <row r="54" customFormat="false" ht="30" hidden="false" customHeight="true" outlineLevel="0" collapsed="false">
      <c r="A54" s="10" t="s">
        <v>2578</v>
      </c>
      <c r="B54" s="10" t="s">
        <v>8235</v>
      </c>
      <c r="C54" s="9" t="n">
        <v>5</v>
      </c>
      <c r="D54" s="9" t="n">
        <v>12</v>
      </c>
      <c r="E54" s="9" t="n">
        <v>1</v>
      </c>
      <c r="F54" s="9" t="n">
        <v>2</v>
      </c>
      <c r="G54" s="9" t="n">
        <v>1</v>
      </c>
      <c r="H54" s="9" t="n">
        <v>1</v>
      </c>
      <c r="I54" s="10" t="s">
        <v>5579</v>
      </c>
    </row>
    <row r="55" customFormat="false" ht="30" hidden="false" customHeight="true" outlineLevel="0" collapsed="false">
      <c r="A55" s="10" t="s">
        <v>8311</v>
      </c>
      <c r="B55" s="10" t="s">
        <v>8254</v>
      </c>
      <c r="C55" s="9" t="n">
        <v>4</v>
      </c>
      <c r="D55" s="9" t="n">
        <v>12</v>
      </c>
      <c r="E55" s="9" t="n">
        <v>0</v>
      </c>
      <c r="F55" s="9" t="n">
        <v>3</v>
      </c>
      <c r="G55" s="9" t="n">
        <v>1</v>
      </c>
      <c r="H55" s="9" t="n">
        <v>0</v>
      </c>
      <c r="I55" s="10" t="s">
        <v>8273</v>
      </c>
    </row>
    <row r="56" customFormat="false" ht="30" hidden="false" customHeight="true" outlineLevel="0" collapsed="false">
      <c r="A56" s="10" t="s">
        <v>8312</v>
      </c>
      <c r="B56" s="10" t="s">
        <v>8230</v>
      </c>
      <c r="C56" s="9" t="n">
        <v>4</v>
      </c>
      <c r="D56" s="9" t="n">
        <v>2</v>
      </c>
      <c r="E56" s="9" t="n">
        <v>1</v>
      </c>
      <c r="F56" s="9" t="n">
        <v>2</v>
      </c>
      <c r="G56" s="9" t="n">
        <v>1</v>
      </c>
      <c r="H56" s="9" t="n">
        <v>0</v>
      </c>
      <c r="I56" s="10" t="s">
        <v>5394</v>
      </c>
    </row>
    <row r="57" customFormat="false" ht="30" hidden="false" customHeight="true" outlineLevel="0" collapsed="false">
      <c r="A57" s="10" t="s">
        <v>8313</v>
      </c>
      <c r="B57" s="10" t="s">
        <v>8230</v>
      </c>
      <c r="C57" s="9" t="n">
        <v>4</v>
      </c>
      <c r="D57" s="9" t="n">
        <v>1</v>
      </c>
      <c r="E57" s="9" t="n">
        <v>0</v>
      </c>
      <c r="F57" s="9" t="n">
        <v>0</v>
      </c>
      <c r="G57" s="9" t="n">
        <v>4</v>
      </c>
      <c r="H57" s="9" t="n">
        <v>0</v>
      </c>
      <c r="I57" s="10" t="s">
        <v>5373</v>
      </c>
    </row>
    <row r="58" customFormat="false" ht="30" hidden="false" customHeight="true" outlineLevel="0" collapsed="false">
      <c r="A58" s="10" t="s">
        <v>8314</v>
      </c>
      <c r="B58" s="10" t="s">
        <v>8258</v>
      </c>
      <c r="C58" s="9" t="n">
        <v>4</v>
      </c>
      <c r="D58" s="9" t="n">
        <v>11</v>
      </c>
      <c r="E58" s="9" t="n">
        <v>1</v>
      </c>
      <c r="F58" s="9" t="n">
        <v>2</v>
      </c>
      <c r="G58" s="9" t="n">
        <v>0</v>
      </c>
      <c r="H58" s="9" t="n">
        <v>1</v>
      </c>
      <c r="I58" s="10" t="s">
        <v>8277</v>
      </c>
    </row>
    <row r="59" customFormat="false" ht="30" hidden="false" customHeight="true" outlineLevel="0" collapsed="false">
      <c r="A59" s="10" t="s">
        <v>8315</v>
      </c>
      <c r="B59" s="10" t="s">
        <v>8235</v>
      </c>
      <c r="C59" s="9" t="n">
        <v>4</v>
      </c>
      <c r="D59" s="9" t="n">
        <v>19</v>
      </c>
      <c r="E59" s="9" t="n">
        <v>2</v>
      </c>
      <c r="F59" s="9" t="n">
        <v>0</v>
      </c>
      <c r="G59" s="9" t="n">
        <v>0</v>
      </c>
      <c r="H59" s="9" t="n">
        <v>2</v>
      </c>
      <c r="I59" s="10" t="s">
        <v>8316</v>
      </c>
    </row>
    <row r="60" customFormat="false" ht="30" hidden="false" customHeight="true" outlineLevel="0" collapsed="false">
      <c r="A60" s="10" t="s">
        <v>8317</v>
      </c>
      <c r="B60" s="10" t="s">
        <v>8230</v>
      </c>
      <c r="C60" s="9" t="n">
        <v>4</v>
      </c>
      <c r="D60" s="9" t="n">
        <v>4</v>
      </c>
      <c r="E60" s="9" t="n">
        <v>1</v>
      </c>
      <c r="F60" s="9" t="n">
        <v>1</v>
      </c>
      <c r="G60" s="9" t="n">
        <v>2</v>
      </c>
      <c r="H60" s="9" t="n">
        <v>0</v>
      </c>
      <c r="I60" s="10" t="s">
        <v>5394</v>
      </c>
    </row>
    <row r="61" customFormat="false" ht="30" hidden="false" customHeight="true" outlineLevel="0" collapsed="false">
      <c r="A61" s="10" t="s">
        <v>8318</v>
      </c>
      <c r="B61" s="10" t="s">
        <v>8254</v>
      </c>
      <c r="C61" s="9" t="n">
        <v>4</v>
      </c>
      <c r="D61" s="9" t="n">
        <v>6</v>
      </c>
      <c r="E61" s="9" t="n">
        <v>1</v>
      </c>
      <c r="F61" s="9" t="n">
        <v>2</v>
      </c>
      <c r="G61" s="9" t="n">
        <v>1</v>
      </c>
      <c r="H61" s="9" t="n">
        <v>0</v>
      </c>
      <c r="I61" s="10" t="s">
        <v>8319</v>
      </c>
    </row>
    <row r="62" customFormat="false" ht="30" hidden="false" customHeight="true" outlineLevel="0" collapsed="false">
      <c r="A62" s="10" t="s">
        <v>8320</v>
      </c>
      <c r="B62" s="10" t="s">
        <v>8258</v>
      </c>
      <c r="C62" s="9" t="n">
        <v>4</v>
      </c>
      <c r="D62" s="9" t="n">
        <v>13</v>
      </c>
      <c r="E62" s="9" t="n">
        <v>0</v>
      </c>
      <c r="F62" s="9" t="n">
        <v>3</v>
      </c>
      <c r="G62" s="9" t="n">
        <v>1</v>
      </c>
      <c r="H62" s="9" t="n">
        <v>0</v>
      </c>
      <c r="I62" s="10" t="s">
        <v>3291</v>
      </c>
    </row>
    <row r="63" customFormat="false" ht="30" hidden="false" customHeight="true" outlineLevel="0" collapsed="false">
      <c r="A63" s="10" t="s">
        <v>8321</v>
      </c>
      <c r="B63" s="10" t="s">
        <v>8230</v>
      </c>
      <c r="C63" s="9" t="n">
        <v>4</v>
      </c>
      <c r="D63" s="9" t="n">
        <v>4</v>
      </c>
      <c r="E63" s="9" t="n">
        <v>1</v>
      </c>
      <c r="F63" s="9" t="n">
        <v>2</v>
      </c>
      <c r="G63" s="9" t="n">
        <v>1</v>
      </c>
      <c r="H63" s="9" t="n">
        <v>0</v>
      </c>
      <c r="I63" s="10" t="s">
        <v>8275</v>
      </c>
    </row>
    <row r="64" customFormat="false" ht="30" hidden="false" customHeight="true" outlineLevel="0" collapsed="false">
      <c r="A64" s="10" t="s">
        <v>8322</v>
      </c>
      <c r="B64" s="10" t="s">
        <v>8230</v>
      </c>
      <c r="C64" s="9" t="n">
        <v>3</v>
      </c>
      <c r="D64" s="9" t="n">
        <v>9</v>
      </c>
      <c r="E64" s="9" t="n">
        <v>1</v>
      </c>
      <c r="F64" s="9" t="n">
        <v>2</v>
      </c>
      <c r="G64" s="9" t="n">
        <v>0</v>
      </c>
      <c r="H64" s="9" t="n">
        <v>0</v>
      </c>
      <c r="I64" s="10" t="s">
        <v>1500</v>
      </c>
    </row>
    <row r="65" customFormat="false" ht="30" hidden="false" customHeight="true" outlineLevel="0" collapsed="false">
      <c r="A65" s="10" t="s">
        <v>8323</v>
      </c>
      <c r="B65" s="10" t="s">
        <v>8235</v>
      </c>
      <c r="C65" s="9" t="n">
        <v>3</v>
      </c>
      <c r="D65" s="9" t="n">
        <v>0</v>
      </c>
      <c r="E65" s="9" t="n">
        <v>0</v>
      </c>
      <c r="F65" s="9" t="n">
        <v>0</v>
      </c>
      <c r="G65" s="9" t="n">
        <v>2</v>
      </c>
      <c r="H65" s="9" t="n">
        <v>1</v>
      </c>
      <c r="I65" s="10" t="s">
        <v>8324</v>
      </c>
    </row>
    <row r="66" customFormat="false" ht="30" hidden="false" customHeight="true" outlineLevel="0" collapsed="false">
      <c r="A66" s="10" t="s">
        <v>8325</v>
      </c>
      <c r="B66" s="10" t="s">
        <v>8247</v>
      </c>
      <c r="C66" s="9" t="n">
        <v>3</v>
      </c>
      <c r="D66" s="9" t="n">
        <v>9</v>
      </c>
      <c r="E66" s="9" t="n">
        <v>0</v>
      </c>
      <c r="F66" s="9" t="n">
        <v>2</v>
      </c>
      <c r="G66" s="9" t="n">
        <v>1</v>
      </c>
      <c r="H66" s="9" t="n">
        <v>0</v>
      </c>
      <c r="I66" s="10" t="s">
        <v>5806</v>
      </c>
    </row>
    <row r="67" customFormat="false" ht="30" hidden="false" customHeight="true" outlineLevel="0" collapsed="false">
      <c r="A67" s="10" t="s">
        <v>8326</v>
      </c>
      <c r="B67" s="10" t="s">
        <v>8258</v>
      </c>
      <c r="C67" s="9" t="n">
        <v>3</v>
      </c>
      <c r="D67" s="9" t="n">
        <v>5</v>
      </c>
      <c r="E67" s="9" t="n">
        <v>0</v>
      </c>
      <c r="F67" s="9" t="n">
        <v>1</v>
      </c>
      <c r="G67" s="9" t="n">
        <v>2</v>
      </c>
      <c r="H67" s="9" t="n">
        <v>0</v>
      </c>
      <c r="I67" s="10" t="s">
        <v>5549</v>
      </c>
    </row>
    <row r="68" customFormat="false" ht="30" hidden="false" customHeight="true" outlineLevel="0" collapsed="false">
      <c r="A68" s="10" t="s">
        <v>8327</v>
      </c>
      <c r="B68" s="10" t="s">
        <v>8258</v>
      </c>
      <c r="C68" s="9" t="n">
        <v>3</v>
      </c>
      <c r="D68" s="9" t="n">
        <v>5</v>
      </c>
      <c r="E68" s="9" t="n">
        <v>0</v>
      </c>
      <c r="F68" s="9" t="n">
        <v>1</v>
      </c>
      <c r="G68" s="9" t="n">
        <v>2</v>
      </c>
      <c r="H68" s="9" t="n">
        <v>0</v>
      </c>
      <c r="I68" s="10" t="s">
        <v>3291</v>
      </c>
    </row>
    <row r="69" customFormat="false" ht="30" hidden="false" customHeight="true" outlineLevel="0" collapsed="false">
      <c r="A69" s="10" t="s">
        <v>8328</v>
      </c>
      <c r="B69" s="10" t="s">
        <v>8258</v>
      </c>
      <c r="C69" s="9" t="n">
        <v>3</v>
      </c>
      <c r="D69" s="9" t="n">
        <v>11</v>
      </c>
      <c r="E69" s="9" t="n">
        <v>0</v>
      </c>
      <c r="F69" s="9" t="n">
        <v>0</v>
      </c>
      <c r="G69" s="9" t="n">
        <v>2</v>
      </c>
      <c r="H69" s="9" t="n">
        <v>1</v>
      </c>
      <c r="I69" s="10" t="s">
        <v>3291</v>
      </c>
    </row>
    <row r="70" customFormat="false" ht="30" hidden="false" customHeight="true" outlineLevel="0" collapsed="false">
      <c r="A70" s="10" t="s">
        <v>8329</v>
      </c>
      <c r="B70" s="10" t="s">
        <v>8249</v>
      </c>
      <c r="C70" s="9" t="n">
        <v>3</v>
      </c>
      <c r="D70" s="9" t="n">
        <v>4</v>
      </c>
      <c r="E70" s="9" t="n">
        <v>1</v>
      </c>
      <c r="F70" s="9" t="n">
        <v>2</v>
      </c>
      <c r="G70" s="9" t="n">
        <v>0</v>
      </c>
      <c r="H70" s="9" t="n">
        <v>0</v>
      </c>
      <c r="I70" s="10" t="s">
        <v>5725</v>
      </c>
    </row>
    <row r="71" customFormat="false" ht="30" hidden="false" customHeight="true" outlineLevel="0" collapsed="false">
      <c r="A71" s="10" t="s">
        <v>8330</v>
      </c>
      <c r="B71" s="10" t="s">
        <v>8258</v>
      </c>
      <c r="C71" s="9" t="n">
        <v>3</v>
      </c>
      <c r="D71" s="9" t="n">
        <v>2</v>
      </c>
      <c r="E71" s="9" t="n">
        <v>0</v>
      </c>
      <c r="F71" s="9" t="n">
        <v>0</v>
      </c>
      <c r="G71" s="9" t="n">
        <v>2</v>
      </c>
      <c r="H71" s="9" t="n">
        <v>1</v>
      </c>
      <c r="I71" s="10" t="s">
        <v>5549</v>
      </c>
    </row>
    <row r="72" customFormat="false" ht="30" hidden="false" customHeight="true" outlineLevel="0" collapsed="false">
      <c r="A72" s="10" t="s">
        <v>8331</v>
      </c>
      <c r="B72" s="10" t="s">
        <v>8258</v>
      </c>
      <c r="C72" s="9" t="n">
        <v>3</v>
      </c>
      <c r="D72" s="9" t="n">
        <v>18</v>
      </c>
      <c r="E72" s="9" t="n">
        <v>0</v>
      </c>
      <c r="F72" s="9" t="n">
        <v>0</v>
      </c>
      <c r="G72" s="9" t="n">
        <v>2</v>
      </c>
      <c r="H72" s="9" t="n">
        <v>1</v>
      </c>
      <c r="I72" s="10" t="s">
        <v>8332</v>
      </c>
    </row>
    <row r="73" customFormat="false" ht="30" hidden="false" customHeight="true" outlineLevel="0" collapsed="false">
      <c r="A73" s="10" t="s">
        <v>4252</v>
      </c>
      <c r="B73" s="10" t="s">
        <v>8249</v>
      </c>
      <c r="C73" s="9" t="n">
        <v>2</v>
      </c>
      <c r="D73" s="9" t="n">
        <v>10</v>
      </c>
      <c r="E73" s="9" t="n">
        <v>0</v>
      </c>
      <c r="F73" s="9" t="n">
        <v>0</v>
      </c>
      <c r="G73" s="9" t="n">
        <v>2</v>
      </c>
      <c r="H73" s="9" t="n">
        <v>0</v>
      </c>
      <c r="I73" s="10" t="s">
        <v>5476</v>
      </c>
    </row>
    <row r="74" customFormat="false" ht="30" hidden="false" customHeight="true" outlineLevel="0" collapsed="false">
      <c r="A74" s="10" t="s">
        <v>8333</v>
      </c>
      <c r="B74" s="10" t="s">
        <v>8230</v>
      </c>
      <c r="C74" s="9" t="n">
        <v>2</v>
      </c>
      <c r="D74" s="9" t="n">
        <v>3</v>
      </c>
      <c r="E74" s="9" t="n">
        <v>1</v>
      </c>
      <c r="F74" s="9" t="n">
        <v>1</v>
      </c>
      <c r="G74" s="9" t="n">
        <v>0</v>
      </c>
      <c r="H74" s="9" t="n">
        <v>0</v>
      </c>
      <c r="I74" s="10" t="s">
        <v>5394</v>
      </c>
    </row>
    <row r="75" customFormat="false" ht="30" hidden="false" customHeight="true" outlineLevel="0" collapsed="false">
      <c r="A75" s="10" t="s">
        <v>8334</v>
      </c>
      <c r="B75" s="10" t="s">
        <v>8230</v>
      </c>
      <c r="C75" s="9" t="n">
        <v>2</v>
      </c>
      <c r="D75" s="9" t="n">
        <v>0</v>
      </c>
      <c r="E75" s="9" t="n">
        <v>0</v>
      </c>
      <c r="F75" s="9" t="n">
        <v>1</v>
      </c>
      <c r="G75" s="9" t="n">
        <v>1</v>
      </c>
      <c r="H75" s="9" t="n">
        <v>0</v>
      </c>
      <c r="I75" s="10" t="s">
        <v>5549</v>
      </c>
    </row>
    <row r="76" customFormat="false" ht="30" hidden="false" customHeight="true" outlineLevel="0" collapsed="false">
      <c r="A76" s="10" t="s">
        <v>8335</v>
      </c>
      <c r="B76" s="10" t="s">
        <v>8249</v>
      </c>
      <c r="C76" s="9" t="n">
        <v>2</v>
      </c>
      <c r="D76" s="9" t="n">
        <v>4</v>
      </c>
      <c r="E76" s="9" t="n">
        <v>0</v>
      </c>
      <c r="F76" s="9" t="n">
        <v>0</v>
      </c>
      <c r="G76" s="9" t="n">
        <v>1</v>
      </c>
      <c r="H76" s="9" t="n">
        <v>1</v>
      </c>
      <c r="I76" s="10" t="s">
        <v>5401</v>
      </c>
    </row>
    <row r="77" customFormat="false" ht="30" hidden="false" customHeight="true" outlineLevel="0" collapsed="false">
      <c r="A77" s="10" t="s">
        <v>8336</v>
      </c>
      <c r="B77" s="10" t="s">
        <v>8230</v>
      </c>
      <c r="C77" s="9" t="n">
        <v>2</v>
      </c>
      <c r="D77" s="9" t="n">
        <v>3</v>
      </c>
      <c r="E77" s="9" t="n">
        <v>0</v>
      </c>
      <c r="F77" s="9" t="n">
        <v>0</v>
      </c>
      <c r="G77" s="9" t="n">
        <v>1</v>
      </c>
      <c r="H77" s="9" t="n">
        <v>1</v>
      </c>
      <c r="I77" s="10" t="s">
        <v>5534</v>
      </c>
    </row>
    <row r="78" customFormat="false" ht="30" hidden="false" customHeight="true" outlineLevel="0" collapsed="false">
      <c r="A78" s="10" t="s">
        <v>8337</v>
      </c>
      <c r="B78" s="10" t="s">
        <v>8258</v>
      </c>
      <c r="C78" s="9" t="n">
        <v>2</v>
      </c>
      <c r="D78" s="9" t="n">
        <v>3</v>
      </c>
      <c r="E78" s="9" t="n">
        <v>0</v>
      </c>
      <c r="F78" s="9" t="n">
        <v>1</v>
      </c>
      <c r="G78" s="9" t="n">
        <v>1</v>
      </c>
      <c r="H78" s="9" t="n">
        <v>0</v>
      </c>
      <c r="I78" s="10" t="s">
        <v>3291</v>
      </c>
    </row>
    <row r="79" customFormat="false" ht="30" hidden="false" customHeight="true" outlineLevel="0" collapsed="false">
      <c r="A79" s="10" t="s">
        <v>8338</v>
      </c>
      <c r="B79" s="10" t="s">
        <v>8230</v>
      </c>
      <c r="C79" s="9" t="n">
        <v>2</v>
      </c>
      <c r="D79" s="9" t="n">
        <v>2</v>
      </c>
      <c r="E79" s="9" t="n">
        <v>1</v>
      </c>
      <c r="F79" s="9" t="n">
        <v>1</v>
      </c>
      <c r="G79" s="9" t="n">
        <v>0</v>
      </c>
      <c r="H79" s="9" t="n">
        <v>0</v>
      </c>
      <c r="I79" s="10" t="s">
        <v>5549</v>
      </c>
    </row>
    <row r="80" customFormat="false" ht="30" hidden="false" customHeight="true" outlineLevel="0" collapsed="false">
      <c r="A80" s="10" t="s">
        <v>8339</v>
      </c>
      <c r="B80" s="10" t="s">
        <v>8254</v>
      </c>
      <c r="C80" s="9" t="n">
        <v>2</v>
      </c>
      <c r="D80" s="9" t="n">
        <v>11</v>
      </c>
      <c r="E80" s="9" t="n">
        <v>1</v>
      </c>
      <c r="F80" s="9" t="n">
        <v>1</v>
      </c>
      <c r="G80" s="9" t="n">
        <v>0</v>
      </c>
      <c r="H80" s="9" t="n">
        <v>0</v>
      </c>
      <c r="I80" s="10" t="s">
        <v>5549</v>
      </c>
    </row>
    <row r="81" customFormat="false" ht="30" hidden="false" customHeight="true" outlineLevel="0" collapsed="false">
      <c r="A81" s="10" t="s">
        <v>8340</v>
      </c>
      <c r="B81" s="10" t="s">
        <v>8249</v>
      </c>
      <c r="C81" s="9" t="n">
        <v>2</v>
      </c>
      <c r="D81" s="9" t="n">
        <v>1</v>
      </c>
      <c r="E81" s="9" t="n">
        <v>0</v>
      </c>
      <c r="F81" s="9" t="n">
        <v>0</v>
      </c>
      <c r="G81" s="9" t="n">
        <v>1</v>
      </c>
      <c r="H81" s="9" t="n">
        <v>1</v>
      </c>
      <c r="I81" s="10" t="s">
        <v>5476</v>
      </c>
    </row>
    <row r="82" customFormat="false" ht="30" hidden="false" customHeight="true" outlineLevel="0" collapsed="false">
      <c r="A82" s="10" t="s">
        <v>8341</v>
      </c>
      <c r="B82" s="10" t="s">
        <v>8249</v>
      </c>
      <c r="C82" s="9" t="n">
        <v>2</v>
      </c>
      <c r="D82" s="9" t="n">
        <v>2</v>
      </c>
      <c r="E82" s="9" t="n">
        <v>0</v>
      </c>
      <c r="F82" s="9" t="n">
        <v>1</v>
      </c>
      <c r="G82" s="9" t="n">
        <v>0</v>
      </c>
      <c r="H82" s="9" t="n">
        <v>1</v>
      </c>
      <c r="I82" s="10" t="s">
        <v>5469</v>
      </c>
    </row>
    <row r="83" customFormat="false" ht="30" hidden="false" customHeight="true" outlineLevel="0" collapsed="false">
      <c r="A83" s="10" t="s">
        <v>8342</v>
      </c>
      <c r="B83" s="10" t="s">
        <v>8249</v>
      </c>
      <c r="C83" s="9" t="n">
        <v>2</v>
      </c>
      <c r="D83" s="9" t="n">
        <v>7</v>
      </c>
      <c r="E83" s="9" t="n">
        <v>0</v>
      </c>
      <c r="F83" s="9" t="n">
        <v>0</v>
      </c>
      <c r="G83" s="9" t="n">
        <v>1</v>
      </c>
      <c r="H83" s="9" t="n">
        <v>1</v>
      </c>
      <c r="I83" s="10" t="s">
        <v>5549</v>
      </c>
    </row>
    <row r="84" customFormat="false" ht="30" hidden="false" customHeight="true" outlineLevel="0" collapsed="false">
      <c r="A84" s="10" t="s">
        <v>8343</v>
      </c>
      <c r="B84" s="10" t="s">
        <v>8230</v>
      </c>
      <c r="C84" s="9" t="n">
        <v>1</v>
      </c>
      <c r="D84" s="9" t="n">
        <v>5</v>
      </c>
      <c r="E84" s="9" t="n">
        <v>0</v>
      </c>
      <c r="F84" s="9" t="n">
        <v>1</v>
      </c>
      <c r="G84" s="9" t="n">
        <v>0</v>
      </c>
      <c r="H84" s="9" t="n">
        <v>0</v>
      </c>
      <c r="I84" s="10" t="s">
        <v>837</v>
      </c>
    </row>
    <row r="85" customFormat="false" ht="30" hidden="false" customHeight="true" outlineLevel="0" collapsed="false">
      <c r="A85" s="10" t="s">
        <v>8344</v>
      </c>
      <c r="B85" s="10" t="s">
        <v>8235</v>
      </c>
      <c r="C85" s="9" t="n">
        <v>1</v>
      </c>
      <c r="D85" s="9" t="n">
        <v>8</v>
      </c>
      <c r="E85" s="9" t="n">
        <v>0</v>
      </c>
      <c r="F85" s="9" t="n">
        <v>1</v>
      </c>
      <c r="G85" s="9" t="n">
        <v>0</v>
      </c>
      <c r="H85" s="9" t="n">
        <v>0</v>
      </c>
      <c r="I85" s="10" t="s">
        <v>1500</v>
      </c>
    </row>
    <row r="86" customFormat="false" ht="30" hidden="false" customHeight="true" outlineLevel="0" collapsed="false">
      <c r="A86" s="10" t="s">
        <v>8345</v>
      </c>
      <c r="B86" s="10" t="s">
        <v>8249</v>
      </c>
      <c r="C86" s="9" t="n">
        <v>1</v>
      </c>
      <c r="D86" s="9" t="n">
        <v>10</v>
      </c>
      <c r="E86" s="9" t="n">
        <v>1</v>
      </c>
      <c r="F86" s="9" t="n">
        <v>0</v>
      </c>
      <c r="G86" s="9" t="n">
        <v>0</v>
      </c>
      <c r="H86" s="9" t="n">
        <v>0</v>
      </c>
      <c r="I86" s="10" t="s">
        <v>3291</v>
      </c>
    </row>
    <row r="87" customFormat="false" ht="30" hidden="false" customHeight="true" outlineLevel="0" collapsed="false">
      <c r="A87" s="10" t="s">
        <v>8346</v>
      </c>
      <c r="B87" s="10" t="s">
        <v>8230</v>
      </c>
      <c r="C87" s="9" t="n">
        <v>1</v>
      </c>
      <c r="D87" s="9" t="n">
        <v>0</v>
      </c>
      <c r="E87" s="9" t="n">
        <v>0</v>
      </c>
      <c r="F87" s="9" t="n">
        <v>1</v>
      </c>
      <c r="G87" s="9" t="n">
        <v>0</v>
      </c>
      <c r="H87" s="9" t="n">
        <v>0</v>
      </c>
      <c r="I87" s="10" t="s">
        <v>837</v>
      </c>
    </row>
    <row r="88" customFormat="false" ht="30" hidden="false" customHeight="true" outlineLevel="0" collapsed="false">
      <c r="A88" s="10" t="s">
        <v>8347</v>
      </c>
      <c r="B88" s="10" t="s">
        <v>8247</v>
      </c>
      <c r="C88" s="9" t="n">
        <v>1</v>
      </c>
      <c r="D88" s="9" t="n">
        <v>7</v>
      </c>
      <c r="E88" s="9" t="n">
        <v>0</v>
      </c>
      <c r="F88" s="9" t="n">
        <v>0</v>
      </c>
      <c r="G88" s="9" t="n">
        <v>1</v>
      </c>
      <c r="H88" s="9" t="n">
        <v>0</v>
      </c>
      <c r="I88" s="10" t="s">
        <v>3842</v>
      </c>
    </row>
    <row r="89" customFormat="false" ht="30" hidden="false" customHeight="true" outlineLevel="0" collapsed="false">
      <c r="A89" s="10" t="s">
        <v>8348</v>
      </c>
      <c r="B89" s="10" t="s">
        <v>8230</v>
      </c>
      <c r="C89" s="9" t="n">
        <v>1</v>
      </c>
      <c r="D89" s="9" t="n">
        <v>2</v>
      </c>
      <c r="E89" s="9" t="n">
        <v>0</v>
      </c>
      <c r="F89" s="9" t="n">
        <v>1</v>
      </c>
      <c r="G89" s="9" t="n">
        <v>0</v>
      </c>
      <c r="H89" s="9" t="n">
        <v>0</v>
      </c>
      <c r="I89" s="10" t="s">
        <v>837</v>
      </c>
    </row>
    <row r="90" customFormat="false" ht="30" hidden="false" customHeight="true" outlineLevel="0" collapsed="false">
      <c r="A90" s="10" t="s">
        <v>8349</v>
      </c>
      <c r="B90" s="10" t="s">
        <v>8258</v>
      </c>
      <c r="C90" s="9" t="n">
        <v>1</v>
      </c>
      <c r="D90" s="9" t="n">
        <v>4</v>
      </c>
      <c r="E90" s="9" t="n">
        <v>0</v>
      </c>
      <c r="F90" s="9" t="n">
        <v>0</v>
      </c>
      <c r="G90" s="9" t="n">
        <v>0</v>
      </c>
      <c r="H90" s="9" t="n">
        <v>1</v>
      </c>
      <c r="I90" s="10" t="s">
        <v>3291</v>
      </c>
    </row>
    <row r="91" customFormat="false" ht="30" hidden="false" customHeight="true" outlineLevel="0" collapsed="false">
      <c r="A91" s="10" t="s">
        <v>8350</v>
      </c>
      <c r="B91" s="10" t="s">
        <v>8230</v>
      </c>
      <c r="C91" s="9" t="n">
        <v>1</v>
      </c>
      <c r="D91" s="9" t="n">
        <v>2</v>
      </c>
      <c r="E91" s="9" t="n">
        <v>0</v>
      </c>
      <c r="F91" s="9" t="n">
        <v>0</v>
      </c>
      <c r="G91" s="9" t="n">
        <v>0</v>
      </c>
      <c r="H91" s="9" t="n">
        <v>1</v>
      </c>
      <c r="I91" s="10" t="s">
        <v>1500</v>
      </c>
    </row>
    <row r="92" customFormat="false" ht="30" hidden="false" customHeight="true" outlineLevel="0" collapsed="false">
      <c r="A92" s="10" t="s">
        <v>8351</v>
      </c>
      <c r="B92" s="10" t="s">
        <v>8249</v>
      </c>
      <c r="C92" s="9" t="n">
        <v>1</v>
      </c>
      <c r="D92" s="9" t="n">
        <v>8</v>
      </c>
      <c r="E92" s="9" t="n">
        <v>0</v>
      </c>
      <c r="F92" s="9" t="n">
        <v>0</v>
      </c>
      <c r="G92" s="9" t="n">
        <v>1</v>
      </c>
      <c r="H92" s="9" t="n">
        <v>0</v>
      </c>
      <c r="I92" s="10" t="s">
        <v>3291</v>
      </c>
    </row>
    <row r="93" customFormat="false" ht="30" hidden="false" customHeight="true" outlineLevel="0" collapsed="false">
      <c r="A93" s="10" t="s">
        <v>8352</v>
      </c>
      <c r="B93" s="10" t="s">
        <v>8254</v>
      </c>
      <c r="C93" s="9" t="n">
        <v>1</v>
      </c>
      <c r="D93" s="9" t="n">
        <v>3</v>
      </c>
      <c r="E93" s="9" t="n">
        <v>1</v>
      </c>
      <c r="F93" s="9" t="n">
        <v>0</v>
      </c>
      <c r="G93" s="9" t="n">
        <v>0</v>
      </c>
      <c r="H93" s="9" t="n">
        <v>0</v>
      </c>
      <c r="I93" s="10" t="s">
        <v>3842</v>
      </c>
    </row>
  </sheetData>
  <autoFilter ref="A3:I9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6"/>
    <col collapsed="false" customWidth="true" hidden="false" outlineLevel="0" max="3" min="3" style="1" width="10"/>
    <col collapsed="false" customWidth="true" hidden="false" outlineLevel="0" max="4" min="4" style="1" width="26"/>
    <col collapsed="false" customWidth="true" hidden="false" outlineLevel="0" max="5" min="5" style="1" width="24"/>
    <col collapsed="false" customWidth="true" hidden="false" outlineLevel="0" max="6" min="6" style="1" width="46"/>
    <col collapsed="false" customWidth="true" hidden="false" outlineLevel="0" max="7" min="7" style="1" width="11"/>
    <col collapsed="false" customWidth="true" hidden="false" outlineLevel="0" max="8" min="8" style="1" width="9"/>
    <col collapsed="false" customWidth="true" hidden="false" outlineLevel="0" max="9" min="9" style="1" width="46"/>
    <col collapsed="false" customWidth="true" hidden="false" outlineLevel="0" max="10" min="10" style="0" width="46"/>
    <col collapsed="false" customWidth="true" hidden="false" outlineLevel="0" max="11" min="11" style="0" width="10"/>
    <col collapsed="false" customWidth="true" hidden="false" outlineLevel="0" max="12" min="12" style="0" width="44"/>
    <col collapsed="false" customWidth="true" hidden="false" outlineLevel="0" max="14" min="14" style="0" width="7"/>
    <col collapsed="false" customWidth="true" hidden="false" outlineLevel="0" max="15" min="15" style="0" width="22"/>
    <col collapsed="false" customWidth="true" hidden="false" outlineLevel="0" max="16" min="16" style="0" width="9"/>
    <col collapsed="false" customWidth="true" hidden="false" outlineLevel="0" max="17" min="17" style="0" width="8"/>
    <col collapsed="false" customWidth="true" hidden="false" outlineLevel="0" max="18" min="18" style="0" width="13"/>
    <col collapsed="false" customWidth="true" hidden="false" outlineLevel="0" max="19" min="19" style="0" width="9"/>
    <col collapsed="false" customWidth="true" hidden="false" outlineLevel="0" max="20" min="20" style="0" width="8"/>
    <col collapsed="false" customWidth="true" hidden="false" outlineLevel="0" max="21" min="21" style="0" width="11"/>
  </cols>
  <sheetData>
    <row r="1" customFormat="false" ht="17.25" hidden="false" customHeight="true" outlineLevel="0" collapsed="false">
      <c r="A1" s="16" t="s">
        <v>8353</v>
      </c>
      <c r="B1" s="16"/>
      <c r="C1" s="16"/>
      <c r="D1" s="16"/>
      <c r="E1" s="16"/>
      <c r="F1" s="16"/>
      <c r="G1" s="16"/>
      <c r="H1" s="16"/>
      <c r="I1" s="16"/>
      <c r="J1" s="16"/>
      <c r="K1" s="16"/>
      <c r="L1" s="16"/>
      <c r="N1" s="17" t="s">
        <v>8354</v>
      </c>
      <c r="O1" s="17"/>
      <c r="P1" s="17"/>
      <c r="Q1" s="17"/>
      <c r="R1" s="17"/>
      <c r="S1" s="17"/>
      <c r="T1" s="17"/>
      <c r="U1" s="17"/>
    </row>
    <row r="2" customFormat="false" ht="30" hidden="false" customHeight="true" outlineLevel="0" collapsed="false">
      <c r="A2" s="18" t="s">
        <v>8355</v>
      </c>
      <c r="B2" s="18"/>
      <c r="C2" s="18"/>
      <c r="D2" s="18"/>
      <c r="E2" s="18"/>
      <c r="F2" s="18"/>
      <c r="G2" s="18"/>
      <c r="H2" s="18"/>
      <c r="I2" s="18"/>
      <c r="J2" s="18"/>
      <c r="K2" s="18"/>
      <c r="L2" s="18"/>
      <c r="N2" s="19" t="s">
        <v>8356</v>
      </c>
      <c r="O2" s="19"/>
      <c r="P2" s="19"/>
      <c r="Q2" s="19"/>
      <c r="R2" s="19"/>
      <c r="S2" s="19"/>
      <c r="T2" s="19"/>
      <c r="U2" s="19"/>
    </row>
    <row r="4" customFormat="false" ht="24" hidden="false" customHeight="true" outlineLevel="0" collapsed="false">
      <c r="A4" s="20" t="s">
        <v>8357</v>
      </c>
      <c r="B4" s="20" t="s">
        <v>8358</v>
      </c>
      <c r="C4" s="20" t="s">
        <v>40</v>
      </c>
      <c r="D4" s="20" t="s">
        <v>41</v>
      </c>
      <c r="E4" s="20" t="s">
        <v>42</v>
      </c>
      <c r="F4" s="20" t="s">
        <v>8359</v>
      </c>
      <c r="G4" s="20" t="s">
        <v>52</v>
      </c>
      <c r="H4" s="20" t="s">
        <v>53</v>
      </c>
      <c r="I4" s="20" t="s">
        <v>8360</v>
      </c>
      <c r="J4" s="21" t="s">
        <v>56</v>
      </c>
      <c r="K4" s="21" t="s">
        <v>54</v>
      </c>
      <c r="L4" s="21" t="s">
        <v>8361</v>
      </c>
      <c r="N4" s="21" t="s">
        <v>8362</v>
      </c>
      <c r="O4" s="21" t="s">
        <v>8357</v>
      </c>
      <c r="P4" s="21" t="s">
        <v>73</v>
      </c>
      <c r="Q4" s="21" t="s">
        <v>90</v>
      </c>
      <c r="R4" s="21" t="s">
        <v>8363</v>
      </c>
      <c r="S4" s="21" t="s">
        <v>74</v>
      </c>
      <c r="T4" s="21" t="s">
        <v>119</v>
      </c>
      <c r="U4" s="21" t="s">
        <v>8364</v>
      </c>
    </row>
    <row r="5" customFormat="false" ht="21.75" hidden="false" customHeight="true" outlineLevel="0" collapsed="false">
      <c r="A5" s="22" t="s">
        <v>8365</v>
      </c>
      <c r="B5" s="23" t="s">
        <v>3101</v>
      </c>
      <c r="C5" s="24" t="s">
        <v>3093</v>
      </c>
      <c r="D5" s="24" t="s">
        <v>2713</v>
      </c>
      <c r="E5" s="24" t="s">
        <v>3094</v>
      </c>
      <c r="F5" s="23" t="s">
        <v>3095</v>
      </c>
      <c r="G5" s="25" t="s">
        <v>90</v>
      </c>
      <c r="H5" s="24" t="n">
        <v>7</v>
      </c>
      <c r="I5" s="23" t="s">
        <v>3102</v>
      </c>
      <c r="J5" s="23" t="s">
        <v>3104</v>
      </c>
      <c r="K5" s="23" t="s">
        <v>74</v>
      </c>
      <c r="L5" s="23" t="s">
        <v>3103</v>
      </c>
      <c r="N5" s="24" t="n">
        <v>1</v>
      </c>
      <c r="O5" s="22" t="s">
        <v>8366</v>
      </c>
      <c r="P5" s="24" t="n">
        <v>7</v>
      </c>
      <c r="Q5" s="24" t="n">
        <v>27</v>
      </c>
      <c r="R5" s="24" t="n">
        <v>34</v>
      </c>
      <c r="S5" s="24" t="n">
        <v>21</v>
      </c>
      <c r="T5" s="24" t="n">
        <v>8</v>
      </c>
      <c r="U5" s="24" t="n">
        <v>63</v>
      </c>
    </row>
    <row r="6" customFormat="false" ht="21.75" hidden="false" customHeight="true" outlineLevel="0" collapsed="false">
      <c r="A6" s="22" t="s">
        <v>8365</v>
      </c>
      <c r="B6" s="23" t="s">
        <v>2500</v>
      </c>
      <c r="C6" s="24" t="s">
        <v>2493</v>
      </c>
      <c r="D6" s="24" t="s">
        <v>2140</v>
      </c>
      <c r="E6" s="24" t="s">
        <v>2468</v>
      </c>
      <c r="F6" s="23" t="s">
        <v>2494</v>
      </c>
      <c r="G6" s="26" t="s">
        <v>74</v>
      </c>
      <c r="H6" s="24" t="n">
        <v>4</v>
      </c>
      <c r="I6" s="23" t="s">
        <v>2501</v>
      </c>
      <c r="J6" s="23" t="s">
        <v>2503</v>
      </c>
      <c r="K6" s="23" t="s">
        <v>74</v>
      </c>
      <c r="L6" s="23" t="s">
        <v>2502</v>
      </c>
      <c r="N6" s="24" t="n">
        <v>2</v>
      </c>
      <c r="O6" s="22" t="s">
        <v>8367</v>
      </c>
      <c r="P6" s="24" t="n">
        <v>7</v>
      </c>
      <c r="Q6" s="24" t="n">
        <v>14</v>
      </c>
      <c r="R6" s="24" t="n">
        <v>21</v>
      </c>
      <c r="S6" s="24" t="n">
        <v>12</v>
      </c>
      <c r="T6" s="24" t="n">
        <v>4</v>
      </c>
      <c r="U6" s="24" t="n">
        <v>37</v>
      </c>
    </row>
    <row r="7" customFormat="false" ht="21.75" hidden="false" customHeight="true" outlineLevel="0" collapsed="false">
      <c r="A7" s="22" t="s">
        <v>8365</v>
      </c>
      <c r="B7" s="23" t="s">
        <v>2945</v>
      </c>
      <c r="C7" s="24" t="s">
        <v>2937</v>
      </c>
      <c r="D7" s="24" t="s">
        <v>2713</v>
      </c>
      <c r="E7" s="24" t="s">
        <v>2925</v>
      </c>
      <c r="F7" s="23" t="s">
        <v>2938</v>
      </c>
      <c r="G7" s="26" t="s">
        <v>74</v>
      </c>
      <c r="H7" s="24" t="n">
        <v>4</v>
      </c>
      <c r="I7" s="23" t="s">
        <v>2946</v>
      </c>
      <c r="J7" s="23" t="s">
        <v>2948</v>
      </c>
      <c r="K7" s="23" t="s">
        <v>90</v>
      </c>
      <c r="L7" s="23" t="s">
        <v>2947</v>
      </c>
      <c r="N7" s="24" t="n">
        <v>3</v>
      </c>
      <c r="O7" s="22" t="s">
        <v>2161</v>
      </c>
      <c r="P7" s="24" t="n">
        <v>6</v>
      </c>
      <c r="Q7" s="24" t="n">
        <v>13</v>
      </c>
      <c r="R7" s="24" t="n">
        <v>19</v>
      </c>
      <c r="S7" s="24" t="n">
        <v>7</v>
      </c>
      <c r="T7" s="24" t="n">
        <v>6</v>
      </c>
      <c r="U7" s="24" t="n">
        <v>32</v>
      </c>
    </row>
    <row r="8" customFormat="false" ht="21.75" hidden="false" customHeight="true" outlineLevel="0" collapsed="false">
      <c r="A8" s="22" t="s">
        <v>8365</v>
      </c>
      <c r="B8" s="23" t="s">
        <v>1349</v>
      </c>
      <c r="C8" s="24" t="s">
        <v>1340</v>
      </c>
      <c r="D8" s="24" t="s">
        <v>837</v>
      </c>
      <c r="E8" s="24" t="s">
        <v>1341</v>
      </c>
      <c r="F8" s="23" t="s">
        <v>1342</v>
      </c>
      <c r="G8" s="25" t="s">
        <v>90</v>
      </c>
      <c r="H8" s="24" t="n">
        <v>7</v>
      </c>
      <c r="I8" s="23" t="s">
        <v>1350</v>
      </c>
      <c r="J8" s="23" t="s">
        <v>1352</v>
      </c>
      <c r="K8" s="23" t="s">
        <v>74</v>
      </c>
      <c r="L8" s="23" t="s">
        <v>1351</v>
      </c>
      <c r="N8" s="24" t="n">
        <v>4</v>
      </c>
      <c r="O8" s="22" t="s">
        <v>8368</v>
      </c>
      <c r="P8" s="24" t="n">
        <v>7</v>
      </c>
      <c r="Q8" s="24" t="n">
        <v>9</v>
      </c>
      <c r="R8" s="24" t="n">
        <v>16</v>
      </c>
      <c r="S8" s="24" t="n">
        <v>11</v>
      </c>
      <c r="T8" s="24" t="n">
        <v>4</v>
      </c>
      <c r="U8" s="24" t="n">
        <v>31</v>
      </c>
    </row>
    <row r="9" customFormat="false" ht="21.75" hidden="false" customHeight="true" outlineLevel="0" collapsed="false">
      <c r="A9" s="22" t="s">
        <v>8369</v>
      </c>
      <c r="B9" s="23" t="s">
        <v>3113</v>
      </c>
      <c r="C9" s="24" t="s">
        <v>3106</v>
      </c>
      <c r="D9" s="24" t="s">
        <v>2713</v>
      </c>
      <c r="E9" s="24" t="s">
        <v>3094</v>
      </c>
      <c r="F9" s="23" t="s">
        <v>3107</v>
      </c>
      <c r="G9" s="27" t="s">
        <v>119</v>
      </c>
      <c r="H9" s="24" t="n">
        <v>2</v>
      </c>
      <c r="I9" s="23" t="s">
        <v>3114</v>
      </c>
      <c r="J9" s="23" t="s">
        <v>3117</v>
      </c>
      <c r="K9" s="23" t="s">
        <v>90</v>
      </c>
      <c r="L9" s="23" t="s">
        <v>3116</v>
      </c>
      <c r="N9" s="24" t="n">
        <v>5</v>
      </c>
      <c r="O9" s="22" t="s">
        <v>8370</v>
      </c>
      <c r="P9" s="24" t="n">
        <v>4</v>
      </c>
      <c r="Q9" s="24" t="n">
        <v>3</v>
      </c>
      <c r="R9" s="24" t="n">
        <v>7</v>
      </c>
      <c r="S9" s="24" t="n">
        <v>4</v>
      </c>
      <c r="T9" s="24" t="n">
        <v>3</v>
      </c>
      <c r="U9" s="24" t="n">
        <v>14</v>
      </c>
    </row>
    <row r="10" customFormat="false" ht="21.75" hidden="false" customHeight="true" outlineLevel="0" collapsed="false">
      <c r="A10" s="22" t="s">
        <v>8369</v>
      </c>
      <c r="B10" s="23" t="s">
        <v>3138</v>
      </c>
      <c r="C10" s="24" t="s">
        <v>3131</v>
      </c>
      <c r="D10" s="24" t="s">
        <v>2713</v>
      </c>
      <c r="E10" s="24" t="s">
        <v>3120</v>
      </c>
      <c r="F10" s="23" t="s">
        <v>3132</v>
      </c>
      <c r="G10" s="26" t="s">
        <v>74</v>
      </c>
      <c r="H10" s="24" t="n">
        <v>5</v>
      </c>
      <c r="I10" s="23" t="s">
        <v>3139</v>
      </c>
      <c r="J10" s="23" t="s">
        <v>3141</v>
      </c>
      <c r="K10" s="23" t="s">
        <v>74</v>
      </c>
      <c r="L10" s="23" t="s">
        <v>3140</v>
      </c>
      <c r="N10" s="24" t="n">
        <v>6</v>
      </c>
      <c r="O10" s="22" t="s">
        <v>8371</v>
      </c>
      <c r="P10" s="24" t="n">
        <v>2</v>
      </c>
      <c r="Q10" s="24" t="n">
        <v>5</v>
      </c>
      <c r="R10" s="24" t="n">
        <v>7</v>
      </c>
      <c r="S10" s="24" t="n">
        <v>3</v>
      </c>
      <c r="T10" s="24" t="n">
        <v>2</v>
      </c>
      <c r="U10" s="24" t="n">
        <v>12</v>
      </c>
    </row>
    <row r="11" customFormat="false" ht="21.75" hidden="false" customHeight="true" outlineLevel="0" collapsed="false">
      <c r="A11" s="22" t="s">
        <v>8369</v>
      </c>
      <c r="B11" s="23" t="s">
        <v>3127</v>
      </c>
      <c r="C11" s="24" t="s">
        <v>3119</v>
      </c>
      <c r="D11" s="24" t="s">
        <v>2713</v>
      </c>
      <c r="E11" s="24" t="s">
        <v>3120</v>
      </c>
      <c r="F11" s="23" t="s">
        <v>3121</v>
      </c>
      <c r="G11" s="26" t="s">
        <v>74</v>
      </c>
      <c r="H11" s="24" t="n">
        <v>4</v>
      </c>
      <c r="I11" s="23" t="s">
        <v>2959</v>
      </c>
      <c r="J11" s="23" t="s">
        <v>3129</v>
      </c>
      <c r="K11" s="23" t="s">
        <v>74</v>
      </c>
      <c r="L11" s="23" t="s">
        <v>3128</v>
      </c>
      <c r="N11" s="24" t="n">
        <v>7</v>
      </c>
      <c r="O11" s="22" t="s">
        <v>8372</v>
      </c>
      <c r="P11" s="24" t="n">
        <v>1</v>
      </c>
      <c r="Q11" s="24" t="n">
        <v>6</v>
      </c>
      <c r="R11" s="24" t="n">
        <v>7</v>
      </c>
      <c r="S11" s="24" t="n">
        <v>4</v>
      </c>
      <c r="T11" s="24" t="n">
        <v>1</v>
      </c>
      <c r="U11" s="24" t="n">
        <v>12</v>
      </c>
    </row>
    <row r="12" customFormat="false" ht="21.75" hidden="false" customHeight="true" outlineLevel="0" collapsed="false">
      <c r="A12" s="22" t="s">
        <v>8369</v>
      </c>
      <c r="B12" s="23" t="s">
        <v>1389</v>
      </c>
      <c r="C12" s="24" t="s">
        <v>1381</v>
      </c>
      <c r="D12" s="24" t="s">
        <v>837</v>
      </c>
      <c r="E12" s="24" t="s">
        <v>1327</v>
      </c>
      <c r="F12" s="23" t="s">
        <v>1382</v>
      </c>
      <c r="G12" s="26" t="s">
        <v>74</v>
      </c>
      <c r="H12" s="24" t="n">
        <v>3</v>
      </c>
      <c r="I12" s="23" t="s">
        <v>1390</v>
      </c>
      <c r="J12" s="23" t="s">
        <v>1393</v>
      </c>
      <c r="K12" s="23" t="s">
        <v>74</v>
      </c>
      <c r="L12" s="23" t="s">
        <v>1392</v>
      </c>
      <c r="N12" s="24" t="n">
        <v>8</v>
      </c>
      <c r="O12" s="22" t="s">
        <v>8373</v>
      </c>
      <c r="P12" s="24" t="n">
        <v>1</v>
      </c>
      <c r="Q12" s="24" t="n">
        <v>5</v>
      </c>
      <c r="R12" s="24" t="n">
        <v>6</v>
      </c>
      <c r="S12" s="24" t="n">
        <v>5</v>
      </c>
      <c r="T12" s="24" t="n">
        <v>1</v>
      </c>
      <c r="U12" s="24" t="n">
        <v>12</v>
      </c>
    </row>
    <row r="13" customFormat="false" ht="21.75" hidden="false" customHeight="true" outlineLevel="0" collapsed="false">
      <c r="A13" s="22" t="s">
        <v>8374</v>
      </c>
      <c r="B13" s="23" t="s">
        <v>3215</v>
      </c>
      <c r="C13" s="24" t="s">
        <v>3207</v>
      </c>
      <c r="D13" s="24" t="s">
        <v>2713</v>
      </c>
      <c r="E13" s="24" t="s">
        <v>3208</v>
      </c>
      <c r="F13" s="23" t="s">
        <v>3209</v>
      </c>
      <c r="G13" s="25" t="s">
        <v>90</v>
      </c>
      <c r="H13" s="24" t="n">
        <v>7</v>
      </c>
      <c r="I13" s="23" t="s">
        <v>374</v>
      </c>
      <c r="J13" s="23" t="s">
        <v>3217</v>
      </c>
      <c r="K13" s="23" t="s">
        <v>74</v>
      </c>
      <c r="L13" s="23" t="s">
        <v>3216</v>
      </c>
      <c r="N13" s="24" t="n">
        <v>9</v>
      </c>
      <c r="O13" s="22" t="s">
        <v>8375</v>
      </c>
      <c r="P13" s="24" t="n">
        <v>3</v>
      </c>
      <c r="Q13" s="24" t="n">
        <v>2</v>
      </c>
      <c r="R13" s="24" t="n">
        <v>5</v>
      </c>
      <c r="S13" s="24" t="n">
        <v>4</v>
      </c>
      <c r="T13" s="24" t="n">
        <v>3</v>
      </c>
      <c r="U13" s="24" t="n">
        <v>12</v>
      </c>
    </row>
    <row r="14" customFormat="false" ht="21.75" hidden="false" customHeight="true" outlineLevel="0" collapsed="false">
      <c r="A14" s="22" t="s">
        <v>8374</v>
      </c>
      <c r="B14" s="23" t="s">
        <v>3202</v>
      </c>
      <c r="C14" s="24" t="s">
        <v>3194</v>
      </c>
      <c r="D14" s="24" t="s">
        <v>2713</v>
      </c>
      <c r="E14" s="24" t="s">
        <v>3195</v>
      </c>
      <c r="F14" s="23" t="s">
        <v>3196</v>
      </c>
      <c r="G14" s="25" t="s">
        <v>90</v>
      </c>
      <c r="H14" s="24" t="n">
        <v>6</v>
      </c>
      <c r="I14" s="23" t="s">
        <v>3203</v>
      </c>
      <c r="J14" s="23" t="s">
        <v>3205</v>
      </c>
      <c r="K14" s="23" t="s">
        <v>74</v>
      </c>
      <c r="L14" s="23" t="s">
        <v>3204</v>
      </c>
      <c r="N14" s="24" t="n">
        <v>10</v>
      </c>
      <c r="O14" s="22" t="s">
        <v>8376</v>
      </c>
      <c r="P14" s="24" t="n">
        <v>2</v>
      </c>
      <c r="Q14" s="24" t="n">
        <v>3</v>
      </c>
      <c r="R14" s="24" t="n">
        <v>5</v>
      </c>
      <c r="S14" s="24" t="n">
        <v>0</v>
      </c>
      <c r="T14" s="24" t="n">
        <v>0</v>
      </c>
      <c r="U14" s="24" t="n">
        <v>5</v>
      </c>
    </row>
    <row r="15" customFormat="false" ht="21.75" hidden="false" customHeight="true" outlineLevel="0" collapsed="false">
      <c r="A15" s="22" t="s">
        <v>8374</v>
      </c>
      <c r="B15" s="23" t="s">
        <v>3202</v>
      </c>
      <c r="C15" s="24" t="s">
        <v>3219</v>
      </c>
      <c r="D15" s="24" t="s">
        <v>2713</v>
      </c>
      <c r="E15" s="24" t="s">
        <v>3195</v>
      </c>
      <c r="F15" s="23" t="s">
        <v>3220</v>
      </c>
      <c r="G15" s="27" t="s">
        <v>119</v>
      </c>
      <c r="H15" s="24" t="n">
        <v>2</v>
      </c>
      <c r="I15" s="23" t="s">
        <v>3226</v>
      </c>
      <c r="J15" s="23" t="s">
        <v>3228</v>
      </c>
      <c r="K15" s="23" t="s">
        <v>90</v>
      </c>
      <c r="L15" s="23" t="s">
        <v>3227</v>
      </c>
      <c r="N15" s="24" t="n">
        <v>11</v>
      </c>
      <c r="O15" s="22" t="s">
        <v>8271</v>
      </c>
      <c r="P15" s="24" t="n">
        <v>1</v>
      </c>
      <c r="Q15" s="24" t="n">
        <v>4</v>
      </c>
      <c r="R15" s="24" t="n">
        <v>5</v>
      </c>
      <c r="S15" s="24" t="n">
        <v>3</v>
      </c>
      <c r="T15" s="24" t="n">
        <v>1</v>
      </c>
      <c r="U15" s="24" t="n">
        <v>9</v>
      </c>
    </row>
    <row r="16" customFormat="false" ht="21.75" hidden="false" customHeight="true" outlineLevel="0" collapsed="false">
      <c r="A16" s="22" t="s">
        <v>8377</v>
      </c>
      <c r="B16" s="23" t="s">
        <v>1119</v>
      </c>
      <c r="C16" s="24" t="s">
        <v>1111</v>
      </c>
      <c r="D16" s="24" t="s">
        <v>837</v>
      </c>
      <c r="E16" s="24" t="s">
        <v>1112</v>
      </c>
      <c r="F16" s="23" t="s">
        <v>1113</v>
      </c>
      <c r="G16" s="25" t="s">
        <v>90</v>
      </c>
      <c r="H16" s="24" t="n">
        <v>7</v>
      </c>
      <c r="I16" s="23" t="s">
        <v>87</v>
      </c>
      <c r="J16" s="23" t="s">
        <v>1121</v>
      </c>
      <c r="K16" s="23" t="s">
        <v>119</v>
      </c>
      <c r="L16" s="23" t="s">
        <v>1120</v>
      </c>
      <c r="N16" s="24" t="n">
        <v>12</v>
      </c>
      <c r="O16" s="22" t="s">
        <v>8256</v>
      </c>
      <c r="P16" s="24" t="n">
        <v>1</v>
      </c>
      <c r="Q16" s="24" t="n">
        <v>4</v>
      </c>
      <c r="R16" s="24" t="n">
        <v>5</v>
      </c>
      <c r="S16" s="24" t="n">
        <v>4</v>
      </c>
      <c r="T16" s="24" t="n">
        <v>0</v>
      </c>
      <c r="U16" s="24" t="n">
        <v>9</v>
      </c>
    </row>
    <row r="17" customFormat="false" ht="21.75" hidden="false" customHeight="true" outlineLevel="0" collapsed="false">
      <c r="A17" s="22" t="s">
        <v>8377</v>
      </c>
      <c r="B17" s="23" t="s">
        <v>1143</v>
      </c>
      <c r="C17" s="24" t="s">
        <v>1135</v>
      </c>
      <c r="D17" s="24" t="s">
        <v>837</v>
      </c>
      <c r="E17" s="24" t="s">
        <v>1112</v>
      </c>
      <c r="F17" s="23" t="s">
        <v>1136</v>
      </c>
      <c r="G17" s="27" t="s">
        <v>119</v>
      </c>
      <c r="H17" s="24" t="n">
        <v>2</v>
      </c>
      <c r="I17" s="23" t="s">
        <v>68</v>
      </c>
      <c r="J17" s="23" t="s">
        <v>1146</v>
      </c>
      <c r="K17" s="23" t="s">
        <v>74</v>
      </c>
      <c r="L17" s="23" t="s">
        <v>1145</v>
      </c>
      <c r="N17" s="24" t="n">
        <v>13</v>
      </c>
      <c r="O17" s="22" t="s">
        <v>8378</v>
      </c>
      <c r="P17" s="24" t="n">
        <v>0</v>
      </c>
      <c r="Q17" s="24" t="n">
        <v>5</v>
      </c>
      <c r="R17" s="24" t="n">
        <v>5</v>
      </c>
      <c r="S17" s="24" t="n">
        <v>1</v>
      </c>
      <c r="T17" s="24" t="n">
        <v>0</v>
      </c>
      <c r="U17" s="24" t="n">
        <v>6</v>
      </c>
    </row>
    <row r="18" customFormat="false" ht="21.75" hidden="false" customHeight="true" outlineLevel="0" collapsed="false">
      <c r="A18" s="22" t="s">
        <v>8377</v>
      </c>
      <c r="B18" s="23" t="s">
        <v>1130</v>
      </c>
      <c r="C18" s="24" t="s">
        <v>1123</v>
      </c>
      <c r="D18" s="24" t="s">
        <v>837</v>
      </c>
      <c r="E18" s="24" t="s">
        <v>1112</v>
      </c>
      <c r="F18" s="23" t="s">
        <v>1124</v>
      </c>
      <c r="G18" s="25" t="s">
        <v>90</v>
      </c>
      <c r="H18" s="24" t="n">
        <v>6</v>
      </c>
      <c r="I18" s="23" t="s">
        <v>1131</v>
      </c>
      <c r="J18" s="23" t="s">
        <v>1133</v>
      </c>
      <c r="K18" s="23" t="s">
        <v>74</v>
      </c>
      <c r="L18" s="23" t="s">
        <v>1132</v>
      </c>
      <c r="N18" s="24" t="n">
        <v>14</v>
      </c>
      <c r="O18" s="22" t="s">
        <v>8379</v>
      </c>
      <c r="P18" s="24" t="n">
        <v>2</v>
      </c>
      <c r="Q18" s="24" t="n">
        <v>2</v>
      </c>
      <c r="R18" s="24" t="n">
        <v>4</v>
      </c>
      <c r="S18" s="24" t="n">
        <v>3</v>
      </c>
      <c r="T18" s="24" t="n">
        <v>0</v>
      </c>
      <c r="U18" s="24" t="n">
        <v>7</v>
      </c>
    </row>
    <row r="19" customFormat="false" ht="21.75" hidden="false" customHeight="true" outlineLevel="0" collapsed="false">
      <c r="A19" s="22" t="s">
        <v>8366</v>
      </c>
      <c r="B19" s="23" t="s">
        <v>647</v>
      </c>
      <c r="C19" s="24" t="s">
        <v>639</v>
      </c>
      <c r="D19" s="24" t="s">
        <v>59</v>
      </c>
      <c r="E19" s="24" t="s">
        <v>640</v>
      </c>
      <c r="F19" s="23" t="s">
        <v>641</v>
      </c>
      <c r="G19" s="25" t="s">
        <v>90</v>
      </c>
      <c r="H19" s="24" t="n">
        <v>7</v>
      </c>
      <c r="I19" s="23" t="s">
        <v>648</v>
      </c>
      <c r="J19" s="23" t="s">
        <v>650</v>
      </c>
      <c r="K19" s="23" t="s">
        <v>74</v>
      </c>
      <c r="L19" s="23" t="s">
        <v>649</v>
      </c>
      <c r="N19" s="24" t="n">
        <v>15</v>
      </c>
      <c r="O19" s="22" t="s">
        <v>8239</v>
      </c>
      <c r="P19" s="24" t="n">
        <v>2</v>
      </c>
      <c r="Q19" s="24" t="n">
        <v>2</v>
      </c>
      <c r="R19" s="24" t="n">
        <v>4</v>
      </c>
      <c r="S19" s="24" t="n">
        <v>0</v>
      </c>
      <c r="T19" s="24" t="n">
        <v>0</v>
      </c>
      <c r="U19" s="24" t="n">
        <v>4</v>
      </c>
    </row>
    <row r="20" customFormat="false" ht="21.75" hidden="false" customHeight="true" outlineLevel="0" collapsed="false">
      <c r="A20" s="22" t="s">
        <v>8366</v>
      </c>
      <c r="B20" s="23" t="s">
        <v>1226</v>
      </c>
      <c r="C20" s="24" t="s">
        <v>1218</v>
      </c>
      <c r="D20" s="24" t="s">
        <v>837</v>
      </c>
      <c r="E20" s="24" t="s">
        <v>1219</v>
      </c>
      <c r="F20" s="23" t="s">
        <v>1220</v>
      </c>
      <c r="G20" s="26" t="s">
        <v>74</v>
      </c>
      <c r="H20" s="24" t="n">
        <v>5</v>
      </c>
      <c r="I20" s="23" t="s">
        <v>1227</v>
      </c>
      <c r="J20" s="23" t="s">
        <v>1230</v>
      </c>
      <c r="K20" s="23" t="s">
        <v>74</v>
      </c>
      <c r="L20" s="23" t="s">
        <v>1229</v>
      </c>
      <c r="N20" s="24" t="n">
        <v>16</v>
      </c>
      <c r="O20" s="22" t="s">
        <v>8380</v>
      </c>
      <c r="P20" s="24" t="n">
        <v>1</v>
      </c>
      <c r="Q20" s="24" t="n">
        <v>3</v>
      </c>
      <c r="R20" s="24" t="n">
        <v>4</v>
      </c>
      <c r="S20" s="24" t="n">
        <v>3</v>
      </c>
      <c r="T20" s="24" t="n">
        <v>0</v>
      </c>
      <c r="U20" s="24" t="n">
        <v>7</v>
      </c>
    </row>
    <row r="21" customFormat="false" ht="21.75" hidden="false" customHeight="true" outlineLevel="0" collapsed="false">
      <c r="A21" s="22" t="s">
        <v>8366</v>
      </c>
      <c r="B21" s="23" t="s">
        <v>2021</v>
      </c>
      <c r="C21" s="24" t="s">
        <v>2013</v>
      </c>
      <c r="D21" s="24" t="s">
        <v>1500</v>
      </c>
      <c r="E21" s="24" t="s">
        <v>2014</v>
      </c>
      <c r="F21" s="23" t="s">
        <v>2015</v>
      </c>
      <c r="G21" s="25" t="s">
        <v>90</v>
      </c>
      <c r="H21" s="24" t="n">
        <v>6</v>
      </c>
      <c r="I21" s="23" t="s">
        <v>2022</v>
      </c>
      <c r="J21" s="23" t="s">
        <v>2024</v>
      </c>
      <c r="K21" s="23" t="s">
        <v>74</v>
      </c>
      <c r="L21" s="23" t="s">
        <v>2023</v>
      </c>
      <c r="N21" s="24" t="n">
        <v>17</v>
      </c>
      <c r="O21" s="22" t="s">
        <v>8381</v>
      </c>
      <c r="P21" s="24" t="n">
        <v>1</v>
      </c>
      <c r="Q21" s="24" t="n">
        <v>3</v>
      </c>
      <c r="R21" s="24" t="n">
        <v>4</v>
      </c>
      <c r="S21" s="24" t="n">
        <v>2</v>
      </c>
      <c r="T21" s="24" t="n">
        <v>1</v>
      </c>
      <c r="U21" s="24" t="n">
        <v>7</v>
      </c>
    </row>
    <row r="22" customFormat="false" ht="21.75" hidden="false" customHeight="true" outlineLevel="0" collapsed="false">
      <c r="A22" s="22" t="s">
        <v>8366</v>
      </c>
      <c r="B22" s="23" t="s">
        <v>3428</v>
      </c>
      <c r="C22" s="24" t="s">
        <v>3420</v>
      </c>
      <c r="D22" s="24" t="s">
        <v>3291</v>
      </c>
      <c r="E22" s="24" t="s">
        <v>3421</v>
      </c>
      <c r="F22" s="23" t="s">
        <v>3422</v>
      </c>
      <c r="G22" s="26" t="s">
        <v>74</v>
      </c>
      <c r="H22" s="24" t="n">
        <v>5</v>
      </c>
      <c r="I22" s="23" t="s">
        <v>3429</v>
      </c>
      <c r="J22" s="23" t="s">
        <v>3431</v>
      </c>
      <c r="K22" s="23" t="s">
        <v>74</v>
      </c>
      <c r="L22" s="23" t="s">
        <v>3430</v>
      </c>
      <c r="N22" s="24" t="n">
        <v>18</v>
      </c>
      <c r="O22" s="22" t="s">
        <v>8382</v>
      </c>
      <c r="P22" s="24" t="n">
        <v>2</v>
      </c>
      <c r="Q22" s="24" t="n">
        <v>1</v>
      </c>
      <c r="R22" s="24" t="n">
        <v>3</v>
      </c>
      <c r="S22" s="24" t="n">
        <v>1</v>
      </c>
      <c r="T22" s="24" t="n">
        <v>0</v>
      </c>
      <c r="U22" s="24" t="n">
        <v>4</v>
      </c>
    </row>
    <row r="23" customFormat="false" ht="21.75" hidden="false" customHeight="true" outlineLevel="0" collapsed="false">
      <c r="A23" s="22" t="s">
        <v>8366</v>
      </c>
      <c r="B23" s="23" t="s">
        <v>235</v>
      </c>
      <c r="C23" s="24" t="s">
        <v>227</v>
      </c>
      <c r="D23" s="24" t="s">
        <v>59</v>
      </c>
      <c r="E23" s="24" t="s">
        <v>228</v>
      </c>
      <c r="F23" s="23" t="s">
        <v>229</v>
      </c>
      <c r="G23" s="25" t="s">
        <v>90</v>
      </c>
      <c r="H23" s="24" t="n">
        <v>7</v>
      </c>
      <c r="I23" s="23" t="s">
        <v>236</v>
      </c>
      <c r="J23" s="23" t="s">
        <v>238</v>
      </c>
      <c r="K23" s="23" t="s">
        <v>74</v>
      </c>
      <c r="L23" s="23" t="s">
        <v>237</v>
      </c>
      <c r="N23" s="24" t="n">
        <v>19</v>
      </c>
      <c r="O23" s="22" t="s">
        <v>8383</v>
      </c>
      <c r="P23" s="24" t="n">
        <v>1</v>
      </c>
      <c r="Q23" s="24" t="n">
        <v>2</v>
      </c>
      <c r="R23" s="24" t="n">
        <v>3</v>
      </c>
      <c r="S23" s="24" t="n">
        <v>2</v>
      </c>
      <c r="T23" s="24" t="n">
        <v>1</v>
      </c>
      <c r="U23" s="24" t="n">
        <v>6</v>
      </c>
    </row>
    <row r="24" customFormat="false" ht="21.75" hidden="false" customHeight="true" outlineLevel="0" collapsed="false">
      <c r="A24" s="22" t="s">
        <v>8366</v>
      </c>
      <c r="B24" s="23" t="s">
        <v>235</v>
      </c>
      <c r="C24" s="24" t="s">
        <v>354</v>
      </c>
      <c r="D24" s="24" t="s">
        <v>59</v>
      </c>
      <c r="E24" s="24" t="s">
        <v>329</v>
      </c>
      <c r="F24" s="23" t="s">
        <v>355</v>
      </c>
      <c r="G24" s="26" t="s">
        <v>74</v>
      </c>
      <c r="H24" s="24" t="n">
        <v>5</v>
      </c>
      <c r="I24" s="23" t="s">
        <v>361</v>
      </c>
      <c r="J24" s="23" t="s">
        <v>363</v>
      </c>
      <c r="K24" s="23" t="s">
        <v>74</v>
      </c>
      <c r="L24" s="23" t="s">
        <v>362</v>
      </c>
      <c r="N24" s="24" t="n">
        <v>20</v>
      </c>
      <c r="O24" s="22" t="s">
        <v>8384</v>
      </c>
      <c r="P24" s="24" t="n">
        <v>1</v>
      </c>
      <c r="Q24" s="24" t="n">
        <v>2</v>
      </c>
      <c r="R24" s="24" t="n">
        <v>3</v>
      </c>
      <c r="S24" s="24" t="n">
        <v>1</v>
      </c>
      <c r="T24" s="24" t="n">
        <v>0</v>
      </c>
      <c r="U24" s="24" t="n">
        <v>4</v>
      </c>
    </row>
    <row r="25" customFormat="false" ht="21.75" hidden="false" customHeight="true" outlineLevel="0" collapsed="false">
      <c r="A25" s="22" t="s">
        <v>8366</v>
      </c>
      <c r="B25" s="23" t="s">
        <v>235</v>
      </c>
      <c r="C25" s="24" t="s">
        <v>453</v>
      </c>
      <c r="D25" s="24" t="s">
        <v>59</v>
      </c>
      <c r="E25" s="24" t="s">
        <v>454</v>
      </c>
      <c r="F25" s="23" t="s">
        <v>455</v>
      </c>
      <c r="G25" s="25" t="s">
        <v>90</v>
      </c>
      <c r="H25" s="24" t="n">
        <v>7</v>
      </c>
      <c r="I25" s="23" t="s">
        <v>462</v>
      </c>
      <c r="J25" s="23" t="s">
        <v>464</v>
      </c>
      <c r="K25" s="23" t="s">
        <v>74</v>
      </c>
      <c r="L25" s="23" t="s">
        <v>463</v>
      </c>
      <c r="N25" s="24" t="n">
        <v>21</v>
      </c>
      <c r="O25" s="22" t="s">
        <v>8385</v>
      </c>
      <c r="P25" s="24" t="n">
        <v>1</v>
      </c>
      <c r="Q25" s="24" t="n">
        <v>2</v>
      </c>
      <c r="R25" s="24" t="n">
        <v>3</v>
      </c>
      <c r="S25" s="24" t="n">
        <v>1</v>
      </c>
      <c r="T25" s="24" t="n">
        <v>0</v>
      </c>
      <c r="U25" s="24" t="n">
        <v>4</v>
      </c>
    </row>
    <row r="26" customFormat="false" ht="21.75" hidden="false" customHeight="true" outlineLevel="0" collapsed="false">
      <c r="A26" s="22" t="s">
        <v>8366</v>
      </c>
      <c r="B26" s="23" t="s">
        <v>235</v>
      </c>
      <c r="C26" s="24" t="s">
        <v>466</v>
      </c>
      <c r="D26" s="24" t="s">
        <v>59</v>
      </c>
      <c r="E26" s="24" t="s">
        <v>467</v>
      </c>
      <c r="F26" s="23" t="s">
        <v>468</v>
      </c>
      <c r="G26" s="25" t="s">
        <v>90</v>
      </c>
      <c r="H26" s="24" t="n">
        <v>8</v>
      </c>
      <c r="I26" s="23" t="s">
        <v>474</v>
      </c>
      <c r="J26" s="23" t="s">
        <v>476</v>
      </c>
      <c r="K26" s="23" t="s">
        <v>74</v>
      </c>
      <c r="L26" s="23" t="s">
        <v>475</v>
      </c>
      <c r="N26" s="24" t="n">
        <v>22</v>
      </c>
      <c r="O26" s="22" t="s">
        <v>8386</v>
      </c>
      <c r="P26" s="24" t="n">
        <v>1</v>
      </c>
      <c r="Q26" s="24" t="n">
        <v>2</v>
      </c>
      <c r="R26" s="24" t="n">
        <v>3</v>
      </c>
      <c r="S26" s="24" t="n">
        <v>0</v>
      </c>
      <c r="T26" s="24" t="n">
        <v>0</v>
      </c>
      <c r="U26" s="24" t="n">
        <v>3</v>
      </c>
    </row>
    <row r="27" customFormat="false" ht="21.75" hidden="false" customHeight="true" outlineLevel="0" collapsed="false">
      <c r="A27" s="22" t="s">
        <v>8366</v>
      </c>
      <c r="B27" s="23" t="s">
        <v>235</v>
      </c>
      <c r="C27" s="24" t="s">
        <v>478</v>
      </c>
      <c r="D27" s="24" t="s">
        <v>59</v>
      </c>
      <c r="E27" s="24" t="s">
        <v>479</v>
      </c>
      <c r="F27" s="23" t="s">
        <v>480</v>
      </c>
      <c r="G27" s="25" t="s">
        <v>90</v>
      </c>
      <c r="H27" s="24" t="n">
        <v>7</v>
      </c>
      <c r="I27" s="23" t="s">
        <v>487</v>
      </c>
      <c r="J27" s="23" t="s">
        <v>489</v>
      </c>
      <c r="K27" s="23" t="s">
        <v>90</v>
      </c>
      <c r="L27" s="23" t="s">
        <v>488</v>
      </c>
      <c r="N27" s="24" t="n">
        <v>23</v>
      </c>
      <c r="O27" s="22" t="s">
        <v>8387</v>
      </c>
      <c r="P27" s="24" t="n">
        <v>0</v>
      </c>
      <c r="Q27" s="24" t="n">
        <v>3</v>
      </c>
      <c r="R27" s="24" t="n">
        <v>3</v>
      </c>
      <c r="S27" s="24" t="n">
        <v>1</v>
      </c>
      <c r="T27" s="24" t="n">
        <v>0</v>
      </c>
      <c r="U27" s="24" t="n">
        <v>4</v>
      </c>
    </row>
    <row r="28" customFormat="false" ht="21.75" hidden="false" customHeight="true" outlineLevel="0" collapsed="false">
      <c r="A28" s="22" t="s">
        <v>8366</v>
      </c>
      <c r="B28" s="23" t="s">
        <v>235</v>
      </c>
      <c r="C28" s="24" t="s">
        <v>501</v>
      </c>
      <c r="D28" s="24" t="s">
        <v>59</v>
      </c>
      <c r="E28" s="24" t="s">
        <v>479</v>
      </c>
      <c r="F28" s="23" t="s">
        <v>502</v>
      </c>
      <c r="G28" s="26" t="s">
        <v>74</v>
      </c>
      <c r="H28" s="24" t="n">
        <v>5</v>
      </c>
      <c r="I28" s="23" t="s">
        <v>508</v>
      </c>
      <c r="J28" s="23" t="s">
        <v>510</v>
      </c>
      <c r="K28" s="23" t="s">
        <v>74</v>
      </c>
      <c r="L28" s="23" t="s">
        <v>509</v>
      </c>
      <c r="N28" s="24" t="n">
        <v>24</v>
      </c>
      <c r="O28" s="22" t="s">
        <v>8388</v>
      </c>
      <c r="P28" s="24" t="n">
        <v>1</v>
      </c>
      <c r="Q28" s="24" t="n">
        <v>1</v>
      </c>
      <c r="R28" s="24" t="n">
        <v>2</v>
      </c>
      <c r="S28" s="24" t="n">
        <v>2</v>
      </c>
      <c r="T28" s="24" t="n">
        <v>0</v>
      </c>
      <c r="U28" s="24" t="n">
        <v>4</v>
      </c>
    </row>
    <row r="29" customFormat="false" ht="21.75" hidden="false" customHeight="true" outlineLevel="0" collapsed="false">
      <c r="A29" s="22" t="s">
        <v>8366</v>
      </c>
      <c r="B29" s="23" t="s">
        <v>235</v>
      </c>
      <c r="C29" s="24" t="s">
        <v>524</v>
      </c>
      <c r="D29" s="24" t="s">
        <v>59</v>
      </c>
      <c r="E29" s="24" t="s">
        <v>479</v>
      </c>
      <c r="F29" s="23" t="s">
        <v>525</v>
      </c>
      <c r="G29" s="27" t="s">
        <v>119</v>
      </c>
      <c r="H29" s="24" t="n">
        <v>2</v>
      </c>
      <c r="I29" s="23" t="s">
        <v>531</v>
      </c>
      <c r="J29" s="23" t="s">
        <v>533</v>
      </c>
      <c r="K29" s="23" t="s">
        <v>90</v>
      </c>
      <c r="L29" s="23" t="s">
        <v>532</v>
      </c>
      <c r="N29" s="24" t="n">
        <v>25</v>
      </c>
      <c r="O29" s="22" t="s">
        <v>8389</v>
      </c>
      <c r="P29" s="24" t="n">
        <v>1</v>
      </c>
      <c r="Q29" s="24" t="n">
        <v>1</v>
      </c>
      <c r="R29" s="24" t="n">
        <v>2</v>
      </c>
      <c r="S29" s="24" t="n">
        <v>1</v>
      </c>
      <c r="T29" s="24" t="n">
        <v>1</v>
      </c>
      <c r="U29" s="24" t="n">
        <v>4</v>
      </c>
    </row>
    <row r="30" customFormat="false" ht="21.75" hidden="false" customHeight="true" outlineLevel="0" collapsed="false">
      <c r="A30" s="22" t="s">
        <v>8366</v>
      </c>
      <c r="B30" s="23" t="s">
        <v>235</v>
      </c>
      <c r="C30" s="24" t="s">
        <v>535</v>
      </c>
      <c r="D30" s="24" t="s">
        <v>59</v>
      </c>
      <c r="E30" s="24" t="s">
        <v>536</v>
      </c>
      <c r="F30" s="23" t="s">
        <v>537</v>
      </c>
      <c r="G30" s="26" t="s">
        <v>74</v>
      </c>
      <c r="H30" s="24" t="n">
        <v>5</v>
      </c>
      <c r="I30" s="23" t="s">
        <v>543</v>
      </c>
      <c r="J30" s="23" t="s">
        <v>545</v>
      </c>
      <c r="K30" s="23" t="s">
        <v>74</v>
      </c>
      <c r="L30" s="23" t="s">
        <v>544</v>
      </c>
      <c r="N30" s="24" t="n">
        <v>26</v>
      </c>
      <c r="O30" s="22" t="s">
        <v>8390</v>
      </c>
      <c r="P30" s="24" t="n">
        <v>0</v>
      </c>
      <c r="Q30" s="24" t="n">
        <v>2</v>
      </c>
      <c r="R30" s="24" t="n">
        <v>2</v>
      </c>
      <c r="S30" s="24" t="n">
        <v>4</v>
      </c>
      <c r="T30" s="24" t="n">
        <v>1</v>
      </c>
      <c r="U30" s="24" t="n">
        <v>7</v>
      </c>
    </row>
    <row r="31" customFormat="false" ht="21.75" hidden="false" customHeight="true" outlineLevel="0" collapsed="false">
      <c r="A31" s="22" t="s">
        <v>8366</v>
      </c>
      <c r="B31" s="23" t="s">
        <v>259</v>
      </c>
      <c r="C31" s="24" t="s">
        <v>251</v>
      </c>
      <c r="D31" s="24" t="s">
        <v>59</v>
      </c>
      <c r="E31" s="24" t="s">
        <v>252</v>
      </c>
      <c r="F31" s="23" t="s">
        <v>253</v>
      </c>
      <c r="G31" s="25" t="s">
        <v>90</v>
      </c>
      <c r="H31" s="24" t="n">
        <v>8</v>
      </c>
      <c r="I31" s="23" t="s">
        <v>260</v>
      </c>
      <c r="J31" s="23" t="s">
        <v>262</v>
      </c>
      <c r="K31" s="23" t="s">
        <v>74</v>
      </c>
      <c r="L31" s="23" t="s">
        <v>261</v>
      </c>
      <c r="N31" s="24" t="n">
        <v>27</v>
      </c>
      <c r="O31" s="22" t="s">
        <v>8391</v>
      </c>
      <c r="P31" s="24" t="n">
        <v>0</v>
      </c>
      <c r="Q31" s="24" t="n">
        <v>2</v>
      </c>
      <c r="R31" s="24" t="n">
        <v>2</v>
      </c>
      <c r="S31" s="24" t="n">
        <v>1</v>
      </c>
      <c r="T31" s="24" t="n">
        <v>2</v>
      </c>
      <c r="U31" s="24" t="n">
        <v>5</v>
      </c>
    </row>
    <row r="32" customFormat="false" ht="21.75" hidden="false" customHeight="true" outlineLevel="0" collapsed="false">
      <c r="A32" s="22" t="s">
        <v>8366</v>
      </c>
      <c r="B32" s="23" t="s">
        <v>1892</v>
      </c>
      <c r="C32" s="24" t="s">
        <v>1885</v>
      </c>
      <c r="D32" s="24" t="s">
        <v>1500</v>
      </c>
      <c r="E32" s="24" t="s">
        <v>1873</v>
      </c>
      <c r="F32" s="23" t="s">
        <v>1886</v>
      </c>
      <c r="G32" s="26" t="s">
        <v>74</v>
      </c>
      <c r="H32" s="24" t="n">
        <v>5</v>
      </c>
      <c r="I32" s="23" t="s">
        <v>1893</v>
      </c>
      <c r="J32" s="23" t="s">
        <v>1895</v>
      </c>
      <c r="K32" s="23" t="s">
        <v>90</v>
      </c>
      <c r="L32" s="23" t="s">
        <v>1894</v>
      </c>
      <c r="N32" s="24" t="n">
        <v>28</v>
      </c>
      <c r="O32" s="22" t="s">
        <v>8365</v>
      </c>
      <c r="P32" s="24" t="n">
        <v>0</v>
      </c>
      <c r="Q32" s="24" t="n">
        <v>2</v>
      </c>
      <c r="R32" s="24" t="n">
        <v>2</v>
      </c>
      <c r="S32" s="24" t="n">
        <v>2</v>
      </c>
      <c r="T32" s="24" t="n">
        <v>0</v>
      </c>
      <c r="U32" s="24" t="n">
        <v>4</v>
      </c>
    </row>
    <row r="33" customFormat="false" ht="21.75" hidden="false" customHeight="true" outlineLevel="0" collapsed="false">
      <c r="A33" s="22" t="s">
        <v>8366</v>
      </c>
      <c r="B33" s="23" t="s">
        <v>2059</v>
      </c>
      <c r="C33" s="24" t="s">
        <v>2052</v>
      </c>
      <c r="D33" s="24" t="s">
        <v>1500</v>
      </c>
      <c r="E33" s="24" t="s">
        <v>2040</v>
      </c>
      <c r="F33" s="23" t="s">
        <v>2053</v>
      </c>
      <c r="G33" s="25" t="s">
        <v>90</v>
      </c>
      <c r="H33" s="24" t="n">
        <v>7</v>
      </c>
      <c r="I33" s="23" t="s">
        <v>2060</v>
      </c>
      <c r="J33" s="23" t="s">
        <v>2062</v>
      </c>
      <c r="K33" s="23" t="s">
        <v>74</v>
      </c>
      <c r="L33" s="23" t="s">
        <v>2061</v>
      </c>
      <c r="N33" s="24" t="n">
        <v>29</v>
      </c>
      <c r="O33" s="22" t="s">
        <v>8392</v>
      </c>
      <c r="P33" s="24" t="n">
        <v>0</v>
      </c>
      <c r="Q33" s="24" t="n">
        <v>2</v>
      </c>
      <c r="R33" s="24" t="n">
        <v>2</v>
      </c>
      <c r="S33" s="24" t="n">
        <v>2</v>
      </c>
      <c r="T33" s="24" t="n">
        <v>0</v>
      </c>
      <c r="U33" s="24" t="n">
        <v>4</v>
      </c>
    </row>
    <row r="34" customFormat="false" ht="21.75" hidden="false" customHeight="true" outlineLevel="0" collapsed="false">
      <c r="A34" s="22" t="s">
        <v>8366</v>
      </c>
      <c r="B34" s="23" t="s">
        <v>272</v>
      </c>
      <c r="C34" s="24" t="s">
        <v>264</v>
      </c>
      <c r="D34" s="24" t="s">
        <v>59</v>
      </c>
      <c r="E34" s="24" t="s">
        <v>265</v>
      </c>
      <c r="F34" s="23" t="s">
        <v>266</v>
      </c>
      <c r="G34" s="25" t="s">
        <v>90</v>
      </c>
      <c r="H34" s="24" t="n">
        <v>7</v>
      </c>
      <c r="I34" s="23" t="s">
        <v>273</v>
      </c>
      <c r="J34" s="23" t="s">
        <v>277</v>
      </c>
      <c r="K34" s="23" t="s">
        <v>74</v>
      </c>
      <c r="L34" s="23" t="s">
        <v>276</v>
      </c>
      <c r="N34" s="24" t="n">
        <v>30</v>
      </c>
      <c r="O34" s="22" t="s">
        <v>8374</v>
      </c>
      <c r="P34" s="24" t="n">
        <v>0</v>
      </c>
      <c r="Q34" s="24" t="n">
        <v>2</v>
      </c>
      <c r="R34" s="24" t="n">
        <v>2</v>
      </c>
      <c r="S34" s="24" t="n">
        <v>0</v>
      </c>
      <c r="T34" s="24" t="n">
        <v>1</v>
      </c>
      <c r="U34" s="24" t="n">
        <v>3</v>
      </c>
    </row>
    <row r="35" customFormat="false" ht="21.75" hidden="false" customHeight="true" outlineLevel="0" collapsed="false">
      <c r="A35" s="22" t="s">
        <v>8366</v>
      </c>
      <c r="B35" s="23" t="s">
        <v>272</v>
      </c>
      <c r="C35" s="24" t="s">
        <v>404</v>
      </c>
      <c r="D35" s="24" t="s">
        <v>59</v>
      </c>
      <c r="E35" s="24" t="s">
        <v>405</v>
      </c>
      <c r="F35" s="23" t="s">
        <v>406</v>
      </c>
      <c r="G35" s="26" t="s">
        <v>74</v>
      </c>
      <c r="H35" s="24" t="n">
        <v>5</v>
      </c>
      <c r="I35" s="23" t="s">
        <v>413</v>
      </c>
      <c r="J35" s="23" t="s">
        <v>415</v>
      </c>
      <c r="K35" s="23" t="s">
        <v>74</v>
      </c>
      <c r="L35" s="23" t="s">
        <v>414</v>
      </c>
      <c r="N35" s="24" t="n">
        <v>31</v>
      </c>
      <c r="O35" s="22" t="s">
        <v>8377</v>
      </c>
      <c r="P35" s="24" t="n">
        <v>0</v>
      </c>
      <c r="Q35" s="24" t="n">
        <v>2</v>
      </c>
      <c r="R35" s="24" t="n">
        <v>2</v>
      </c>
      <c r="S35" s="24" t="n">
        <v>0</v>
      </c>
      <c r="T35" s="24" t="n">
        <v>1</v>
      </c>
      <c r="U35" s="24" t="n">
        <v>3</v>
      </c>
    </row>
    <row r="36" customFormat="false" ht="32.25" hidden="false" customHeight="true" outlineLevel="0" collapsed="false">
      <c r="A36" s="22" t="s">
        <v>8366</v>
      </c>
      <c r="B36" s="23" t="s">
        <v>272</v>
      </c>
      <c r="C36" s="24" t="s">
        <v>696</v>
      </c>
      <c r="D36" s="24" t="s">
        <v>59</v>
      </c>
      <c r="E36" s="24" t="s">
        <v>697</v>
      </c>
      <c r="F36" s="23" t="s">
        <v>698</v>
      </c>
      <c r="G36" s="28" t="s">
        <v>73</v>
      </c>
      <c r="H36" s="24" t="n">
        <v>9</v>
      </c>
      <c r="I36" s="23" t="s">
        <v>704</v>
      </c>
      <c r="J36" s="23" t="s">
        <v>706</v>
      </c>
      <c r="K36" s="23" t="s">
        <v>119</v>
      </c>
      <c r="L36" s="23" t="s">
        <v>705</v>
      </c>
      <c r="N36" s="24" t="n">
        <v>32</v>
      </c>
      <c r="O36" s="22" t="s">
        <v>8393</v>
      </c>
      <c r="P36" s="24" t="n">
        <v>0</v>
      </c>
      <c r="Q36" s="24" t="n">
        <v>2</v>
      </c>
      <c r="R36" s="24" t="n">
        <v>2</v>
      </c>
      <c r="S36" s="24" t="n">
        <v>0</v>
      </c>
      <c r="T36" s="24" t="n">
        <v>0</v>
      </c>
      <c r="U36" s="24" t="n">
        <v>2</v>
      </c>
    </row>
    <row r="37" customFormat="false" ht="21.75" hidden="false" customHeight="true" outlineLevel="0" collapsed="false">
      <c r="A37" s="22" t="s">
        <v>8366</v>
      </c>
      <c r="B37" s="23" t="s">
        <v>272</v>
      </c>
      <c r="C37" s="24" t="s">
        <v>747</v>
      </c>
      <c r="D37" s="24" t="s">
        <v>59</v>
      </c>
      <c r="E37" s="24" t="s">
        <v>748</v>
      </c>
      <c r="F37" s="23" t="s">
        <v>749</v>
      </c>
      <c r="G37" s="25" t="s">
        <v>90</v>
      </c>
      <c r="H37" s="24" t="n">
        <v>7</v>
      </c>
      <c r="I37" s="23" t="s">
        <v>755</v>
      </c>
      <c r="J37" s="23" t="s">
        <v>757</v>
      </c>
      <c r="K37" s="23" t="s">
        <v>74</v>
      </c>
      <c r="L37" s="23" t="s">
        <v>756</v>
      </c>
      <c r="N37" s="24" t="n">
        <v>33</v>
      </c>
      <c r="O37" s="22" t="s">
        <v>8266</v>
      </c>
      <c r="P37" s="24" t="n">
        <v>1</v>
      </c>
      <c r="Q37" s="24" t="n">
        <v>0</v>
      </c>
      <c r="R37" s="24" t="n">
        <v>1</v>
      </c>
      <c r="S37" s="24" t="n">
        <v>0</v>
      </c>
      <c r="T37" s="24" t="n">
        <v>0</v>
      </c>
      <c r="U37" s="24" t="n">
        <v>1</v>
      </c>
    </row>
    <row r="38" customFormat="false" ht="21.75" hidden="false" customHeight="true" outlineLevel="0" collapsed="false">
      <c r="A38" s="22" t="s">
        <v>8366</v>
      </c>
      <c r="B38" s="23" t="s">
        <v>272</v>
      </c>
      <c r="C38" s="24" t="s">
        <v>825</v>
      </c>
      <c r="D38" s="24" t="s">
        <v>59</v>
      </c>
      <c r="E38" s="24" t="s">
        <v>812</v>
      </c>
      <c r="F38" s="23" t="s">
        <v>826</v>
      </c>
      <c r="G38" s="27" t="s">
        <v>119</v>
      </c>
      <c r="H38" s="24" t="n">
        <v>2</v>
      </c>
      <c r="I38" s="23" t="s">
        <v>832</v>
      </c>
      <c r="J38" s="23" t="s">
        <v>834</v>
      </c>
      <c r="K38" s="23" t="s">
        <v>74</v>
      </c>
      <c r="L38" s="23" t="s">
        <v>833</v>
      </c>
      <c r="N38" s="24" t="n">
        <v>34</v>
      </c>
      <c r="O38" s="22" t="s">
        <v>8394</v>
      </c>
      <c r="P38" s="24" t="n">
        <v>1</v>
      </c>
      <c r="Q38" s="24" t="n">
        <v>0</v>
      </c>
      <c r="R38" s="24" t="n">
        <v>1</v>
      </c>
      <c r="S38" s="24" t="n">
        <v>0</v>
      </c>
      <c r="T38" s="24" t="n">
        <v>0</v>
      </c>
      <c r="U38" s="24" t="n">
        <v>1</v>
      </c>
    </row>
    <row r="39" customFormat="false" ht="21.75" hidden="false" customHeight="true" outlineLevel="0" collapsed="false">
      <c r="A39" s="22" t="s">
        <v>8366</v>
      </c>
      <c r="B39" s="23" t="s">
        <v>374</v>
      </c>
      <c r="C39" s="24" t="s">
        <v>365</v>
      </c>
      <c r="D39" s="24" t="s">
        <v>59</v>
      </c>
      <c r="E39" s="24" t="s">
        <v>366</v>
      </c>
      <c r="F39" s="23" t="s">
        <v>367</v>
      </c>
      <c r="G39" s="25" t="s">
        <v>90</v>
      </c>
      <c r="H39" s="24" t="n">
        <v>7</v>
      </c>
      <c r="I39" s="23" t="s">
        <v>375</v>
      </c>
      <c r="J39" s="23" t="s">
        <v>377</v>
      </c>
      <c r="K39" s="23" t="s">
        <v>74</v>
      </c>
      <c r="L39" s="23" t="s">
        <v>376</v>
      </c>
      <c r="N39" s="24" t="n">
        <v>35</v>
      </c>
      <c r="O39" s="22" t="s">
        <v>8395</v>
      </c>
      <c r="P39" s="24" t="n">
        <v>1</v>
      </c>
      <c r="Q39" s="24" t="n">
        <v>0</v>
      </c>
      <c r="R39" s="24" t="n">
        <v>1</v>
      </c>
      <c r="S39" s="24" t="n">
        <v>0</v>
      </c>
      <c r="T39" s="24" t="n">
        <v>0</v>
      </c>
      <c r="U39" s="24" t="n">
        <v>1</v>
      </c>
    </row>
    <row r="40" customFormat="false" ht="21.75" hidden="false" customHeight="true" outlineLevel="0" collapsed="false">
      <c r="A40" s="22" t="s">
        <v>8366</v>
      </c>
      <c r="B40" s="23" t="s">
        <v>374</v>
      </c>
      <c r="C40" s="24" t="s">
        <v>379</v>
      </c>
      <c r="D40" s="24" t="s">
        <v>59</v>
      </c>
      <c r="E40" s="24" t="s">
        <v>366</v>
      </c>
      <c r="F40" s="23" t="s">
        <v>380</v>
      </c>
      <c r="G40" s="25" t="s">
        <v>90</v>
      </c>
      <c r="H40" s="24" t="n">
        <v>6</v>
      </c>
      <c r="I40" s="23" t="s">
        <v>387</v>
      </c>
      <c r="J40" s="23" t="s">
        <v>389</v>
      </c>
      <c r="K40" s="23" t="s">
        <v>74</v>
      </c>
      <c r="L40" s="23" t="s">
        <v>388</v>
      </c>
      <c r="N40" s="24" t="n">
        <v>36</v>
      </c>
      <c r="O40" s="22" t="s">
        <v>8396</v>
      </c>
      <c r="P40" s="24" t="n">
        <v>1</v>
      </c>
      <c r="Q40" s="24" t="n">
        <v>0</v>
      </c>
      <c r="R40" s="24" t="n">
        <v>1</v>
      </c>
      <c r="S40" s="24" t="n">
        <v>0</v>
      </c>
      <c r="T40" s="24" t="n">
        <v>0</v>
      </c>
      <c r="U40" s="24" t="n">
        <v>1</v>
      </c>
    </row>
    <row r="41" customFormat="false" ht="21.75" hidden="false" customHeight="true" outlineLevel="0" collapsed="false">
      <c r="A41" s="22" t="s">
        <v>8366</v>
      </c>
      <c r="B41" s="23" t="s">
        <v>247</v>
      </c>
      <c r="C41" s="24" t="s">
        <v>240</v>
      </c>
      <c r="D41" s="24" t="s">
        <v>59</v>
      </c>
      <c r="E41" s="24" t="s">
        <v>228</v>
      </c>
      <c r="F41" s="23" t="s">
        <v>241</v>
      </c>
      <c r="G41" s="26" t="s">
        <v>74</v>
      </c>
      <c r="H41" s="24" t="n">
        <v>5</v>
      </c>
      <c r="I41" s="23" t="s">
        <v>248</v>
      </c>
      <c r="J41" s="23" t="s">
        <v>250</v>
      </c>
      <c r="K41" s="23" t="s">
        <v>74</v>
      </c>
      <c r="L41" s="23" t="s">
        <v>249</v>
      </c>
      <c r="N41" s="24" t="n">
        <v>37</v>
      </c>
      <c r="O41" s="22" t="s">
        <v>8397</v>
      </c>
      <c r="P41" s="24" t="n">
        <v>1</v>
      </c>
      <c r="Q41" s="24" t="n">
        <v>0</v>
      </c>
      <c r="R41" s="24" t="n">
        <v>1</v>
      </c>
      <c r="S41" s="24" t="n">
        <v>0</v>
      </c>
      <c r="T41" s="24" t="n">
        <v>0</v>
      </c>
      <c r="U41" s="24" t="n">
        <v>1</v>
      </c>
    </row>
    <row r="42" customFormat="false" ht="21.75" hidden="false" customHeight="true" outlineLevel="0" collapsed="false">
      <c r="A42" s="22" t="s">
        <v>8366</v>
      </c>
      <c r="B42" s="23" t="s">
        <v>247</v>
      </c>
      <c r="C42" s="24" t="s">
        <v>279</v>
      </c>
      <c r="D42" s="24" t="s">
        <v>59</v>
      </c>
      <c r="E42" s="24" t="s">
        <v>280</v>
      </c>
      <c r="F42" s="23" t="s">
        <v>281</v>
      </c>
      <c r="G42" s="25" t="s">
        <v>90</v>
      </c>
      <c r="H42" s="24" t="n">
        <v>7</v>
      </c>
      <c r="I42" s="23" t="s">
        <v>287</v>
      </c>
      <c r="J42" s="23" t="s">
        <v>289</v>
      </c>
      <c r="K42" s="23" t="s">
        <v>74</v>
      </c>
      <c r="L42" s="23" t="s">
        <v>288</v>
      </c>
      <c r="N42" s="24" t="n">
        <v>38</v>
      </c>
      <c r="O42" s="22" t="s">
        <v>8398</v>
      </c>
      <c r="P42" s="24" t="n">
        <v>0</v>
      </c>
      <c r="Q42" s="24" t="n">
        <v>1</v>
      </c>
      <c r="R42" s="24" t="n">
        <v>1</v>
      </c>
      <c r="S42" s="24" t="n">
        <v>2</v>
      </c>
      <c r="T42" s="24" t="n">
        <v>1</v>
      </c>
      <c r="U42" s="24" t="n">
        <v>4</v>
      </c>
    </row>
    <row r="43" customFormat="false" ht="21.75" hidden="false" customHeight="true" outlineLevel="0" collapsed="false">
      <c r="A43" s="22" t="s">
        <v>8366</v>
      </c>
      <c r="B43" s="23" t="s">
        <v>247</v>
      </c>
      <c r="C43" s="24" t="s">
        <v>291</v>
      </c>
      <c r="D43" s="24" t="s">
        <v>59</v>
      </c>
      <c r="E43" s="24" t="s">
        <v>292</v>
      </c>
      <c r="F43" s="23" t="s">
        <v>293</v>
      </c>
      <c r="G43" s="25" t="s">
        <v>90</v>
      </c>
      <c r="H43" s="24" t="n">
        <v>7</v>
      </c>
      <c r="I43" s="23" t="s">
        <v>299</v>
      </c>
      <c r="J43" s="23" t="s">
        <v>302</v>
      </c>
      <c r="K43" s="23" t="s">
        <v>119</v>
      </c>
      <c r="L43" s="23" t="s">
        <v>301</v>
      </c>
      <c r="N43" s="24" t="n">
        <v>39</v>
      </c>
      <c r="O43" s="22" t="s">
        <v>8399</v>
      </c>
      <c r="P43" s="24" t="n">
        <v>0</v>
      </c>
      <c r="Q43" s="24" t="n">
        <v>1</v>
      </c>
      <c r="R43" s="24" t="n">
        <v>1</v>
      </c>
      <c r="S43" s="24" t="n">
        <v>1</v>
      </c>
      <c r="T43" s="24" t="n">
        <v>1</v>
      </c>
      <c r="U43" s="24" t="n">
        <v>3</v>
      </c>
    </row>
    <row r="44" customFormat="false" ht="21.75" hidden="false" customHeight="true" outlineLevel="0" collapsed="false">
      <c r="A44" s="22" t="s">
        <v>8366</v>
      </c>
      <c r="B44" s="23" t="s">
        <v>247</v>
      </c>
      <c r="C44" s="24" t="s">
        <v>417</v>
      </c>
      <c r="D44" s="24" t="s">
        <v>59</v>
      </c>
      <c r="E44" s="24" t="s">
        <v>418</v>
      </c>
      <c r="F44" s="23" t="s">
        <v>419</v>
      </c>
      <c r="G44" s="25" t="s">
        <v>90</v>
      </c>
      <c r="H44" s="24" t="n">
        <v>6</v>
      </c>
      <c r="I44" s="23" t="s">
        <v>425</v>
      </c>
      <c r="J44" s="23" t="s">
        <v>427</v>
      </c>
      <c r="K44" s="23" t="s">
        <v>74</v>
      </c>
      <c r="L44" s="23" t="s">
        <v>426</v>
      </c>
      <c r="N44" s="24" t="n">
        <v>40</v>
      </c>
      <c r="O44" s="22" t="s">
        <v>8400</v>
      </c>
      <c r="P44" s="24" t="n">
        <v>0</v>
      </c>
      <c r="Q44" s="24" t="n">
        <v>1</v>
      </c>
      <c r="R44" s="24" t="n">
        <v>1</v>
      </c>
      <c r="S44" s="24" t="n">
        <v>1</v>
      </c>
      <c r="T44" s="24" t="n">
        <v>1</v>
      </c>
      <c r="U44" s="24" t="n">
        <v>3</v>
      </c>
    </row>
    <row r="45" customFormat="false" ht="21.75" hidden="false" customHeight="true" outlineLevel="0" collapsed="false">
      <c r="A45" s="22" t="s">
        <v>8366</v>
      </c>
      <c r="B45" s="23" t="s">
        <v>247</v>
      </c>
      <c r="C45" s="24" t="s">
        <v>441</v>
      </c>
      <c r="D45" s="24" t="s">
        <v>59</v>
      </c>
      <c r="E45" s="24" t="s">
        <v>442</v>
      </c>
      <c r="F45" s="23" t="s">
        <v>443</v>
      </c>
      <c r="G45" s="28" t="s">
        <v>73</v>
      </c>
      <c r="H45" s="24" t="n">
        <v>9</v>
      </c>
      <c r="I45" s="23" t="s">
        <v>449</v>
      </c>
      <c r="J45" s="23" t="s">
        <v>451</v>
      </c>
      <c r="K45" s="23" t="s">
        <v>119</v>
      </c>
      <c r="L45" s="23" t="s">
        <v>450</v>
      </c>
      <c r="N45" s="24" t="n">
        <v>41</v>
      </c>
      <c r="O45" s="22" t="s">
        <v>8401</v>
      </c>
      <c r="P45" s="24" t="n">
        <v>0</v>
      </c>
      <c r="Q45" s="24" t="n">
        <v>1</v>
      </c>
      <c r="R45" s="24" t="n">
        <v>1</v>
      </c>
      <c r="S45" s="24" t="n">
        <v>2</v>
      </c>
      <c r="T45" s="24" t="n">
        <v>0</v>
      </c>
      <c r="U45" s="24" t="n">
        <v>3</v>
      </c>
    </row>
    <row r="46" customFormat="false" ht="21.75" hidden="false" customHeight="true" outlineLevel="0" collapsed="false">
      <c r="A46" s="22" t="s">
        <v>8366</v>
      </c>
      <c r="B46" s="23" t="s">
        <v>581</v>
      </c>
      <c r="C46" s="24" t="s">
        <v>573</v>
      </c>
      <c r="D46" s="24" t="s">
        <v>59</v>
      </c>
      <c r="E46" s="24" t="s">
        <v>574</v>
      </c>
      <c r="F46" s="23" t="s">
        <v>575</v>
      </c>
      <c r="G46" s="28" t="s">
        <v>73</v>
      </c>
      <c r="H46" s="24" t="n">
        <v>9</v>
      </c>
      <c r="I46" s="23" t="s">
        <v>582</v>
      </c>
      <c r="J46" s="23" t="s">
        <v>584</v>
      </c>
      <c r="K46" s="23" t="s">
        <v>119</v>
      </c>
      <c r="L46" s="23" t="s">
        <v>583</v>
      </c>
      <c r="N46" s="24" t="n">
        <v>42</v>
      </c>
      <c r="O46" s="22" t="s">
        <v>8402</v>
      </c>
      <c r="P46" s="24" t="n">
        <v>0</v>
      </c>
      <c r="Q46" s="24" t="n">
        <v>1</v>
      </c>
      <c r="R46" s="24" t="n">
        <v>1</v>
      </c>
      <c r="S46" s="24" t="n">
        <v>1</v>
      </c>
      <c r="T46" s="24" t="n">
        <v>1</v>
      </c>
      <c r="U46" s="24" t="n">
        <v>3</v>
      </c>
    </row>
    <row r="47" customFormat="false" ht="21.75" hidden="false" customHeight="true" outlineLevel="0" collapsed="false">
      <c r="A47" s="22" t="s">
        <v>8366</v>
      </c>
      <c r="B47" s="23" t="s">
        <v>741</v>
      </c>
      <c r="C47" s="24" t="s">
        <v>733</v>
      </c>
      <c r="D47" s="24" t="s">
        <v>59</v>
      </c>
      <c r="E47" s="24" t="s">
        <v>734</v>
      </c>
      <c r="F47" s="23" t="s">
        <v>735</v>
      </c>
      <c r="G47" s="26" t="s">
        <v>74</v>
      </c>
      <c r="H47" s="24" t="n">
        <v>4</v>
      </c>
      <c r="I47" s="23" t="s">
        <v>742</v>
      </c>
      <c r="J47" s="23" t="s">
        <v>745</v>
      </c>
      <c r="K47" s="23" t="s">
        <v>90</v>
      </c>
      <c r="L47" s="23" t="s">
        <v>744</v>
      </c>
      <c r="N47" s="24" t="n">
        <v>43</v>
      </c>
      <c r="O47" s="22" t="s">
        <v>8403</v>
      </c>
      <c r="P47" s="24" t="n">
        <v>0</v>
      </c>
      <c r="Q47" s="24" t="n">
        <v>1</v>
      </c>
      <c r="R47" s="24" t="n">
        <v>1</v>
      </c>
      <c r="S47" s="24" t="n">
        <v>1</v>
      </c>
      <c r="T47" s="24" t="n">
        <v>0</v>
      </c>
      <c r="U47" s="24" t="n">
        <v>2</v>
      </c>
    </row>
    <row r="48" customFormat="false" ht="21.75" hidden="false" customHeight="true" outlineLevel="0" collapsed="false">
      <c r="A48" s="22" t="s">
        <v>8366</v>
      </c>
      <c r="B48" s="23" t="s">
        <v>1880</v>
      </c>
      <c r="C48" s="24" t="s">
        <v>1872</v>
      </c>
      <c r="D48" s="24" t="s">
        <v>1500</v>
      </c>
      <c r="E48" s="24" t="s">
        <v>1873</v>
      </c>
      <c r="F48" s="23" t="s">
        <v>1874</v>
      </c>
      <c r="G48" s="26" t="s">
        <v>74</v>
      </c>
      <c r="H48" s="24" t="n">
        <v>5</v>
      </c>
      <c r="I48" s="23" t="s">
        <v>1881</v>
      </c>
      <c r="J48" s="23" t="s">
        <v>1883</v>
      </c>
      <c r="K48" s="23" t="s">
        <v>74</v>
      </c>
      <c r="L48" s="23" t="s">
        <v>1882</v>
      </c>
      <c r="N48" s="24" t="n">
        <v>44</v>
      </c>
      <c r="O48" s="22" t="s">
        <v>8404</v>
      </c>
      <c r="P48" s="24" t="n">
        <v>0</v>
      </c>
      <c r="Q48" s="24" t="n">
        <v>1</v>
      </c>
      <c r="R48" s="24" t="n">
        <v>1</v>
      </c>
      <c r="S48" s="24" t="n">
        <v>1</v>
      </c>
      <c r="T48" s="24" t="n">
        <v>0</v>
      </c>
      <c r="U48" s="24" t="n">
        <v>2</v>
      </c>
    </row>
    <row r="49" customFormat="false" ht="21.75" hidden="false" customHeight="true" outlineLevel="0" collapsed="false">
      <c r="A49" s="22" t="s">
        <v>8366</v>
      </c>
      <c r="B49" s="23" t="s">
        <v>555</v>
      </c>
      <c r="C49" s="24" t="s">
        <v>547</v>
      </c>
      <c r="D49" s="24" t="s">
        <v>59</v>
      </c>
      <c r="E49" s="24" t="s">
        <v>548</v>
      </c>
      <c r="F49" s="23" t="s">
        <v>549</v>
      </c>
      <c r="G49" s="26" t="s">
        <v>74</v>
      </c>
      <c r="H49" s="24" t="n">
        <v>5</v>
      </c>
      <c r="I49" s="23" t="s">
        <v>556</v>
      </c>
      <c r="J49" s="23" t="s">
        <v>558</v>
      </c>
      <c r="K49" s="23" t="s">
        <v>74</v>
      </c>
      <c r="L49" s="23" t="s">
        <v>557</v>
      </c>
      <c r="N49" s="24" t="n">
        <v>45</v>
      </c>
      <c r="O49" s="22" t="s">
        <v>8405</v>
      </c>
      <c r="P49" s="24" t="n">
        <v>0</v>
      </c>
      <c r="Q49" s="24" t="n">
        <v>1</v>
      </c>
      <c r="R49" s="24" t="n">
        <v>1</v>
      </c>
      <c r="S49" s="24" t="n">
        <v>1</v>
      </c>
      <c r="T49" s="24" t="n">
        <v>0</v>
      </c>
      <c r="U49" s="24" t="n">
        <v>2</v>
      </c>
    </row>
    <row r="50" customFormat="false" ht="21.75" hidden="false" customHeight="true" outlineLevel="0" collapsed="false">
      <c r="A50" s="22" t="s">
        <v>8366</v>
      </c>
      <c r="B50" s="23" t="s">
        <v>819</v>
      </c>
      <c r="C50" s="24" t="s">
        <v>811</v>
      </c>
      <c r="D50" s="24" t="s">
        <v>59</v>
      </c>
      <c r="E50" s="24" t="s">
        <v>812</v>
      </c>
      <c r="F50" s="23" t="s">
        <v>813</v>
      </c>
      <c r="G50" s="27" t="s">
        <v>119</v>
      </c>
      <c r="H50" s="24" t="n">
        <v>2</v>
      </c>
      <c r="I50" s="23" t="s">
        <v>820</v>
      </c>
      <c r="J50" s="23" t="s">
        <v>823</v>
      </c>
      <c r="K50" s="23" t="s">
        <v>74</v>
      </c>
      <c r="L50" s="23" t="s">
        <v>822</v>
      </c>
      <c r="N50" s="24" t="n">
        <v>46</v>
      </c>
      <c r="O50" s="22" t="s">
        <v>8406</v>
      </c>
      <c r="P50" s="24" t="n">
        <v>0</v>
      </c>
      <c r="Q50" s="24" t="n">
        <v>1</v>
      </c>
      <c r="R50" s="24" t="n">
        <v>1</v>
      </c>
      <c r="S50" s="24" t="n">
        <v>1</v>
      </c>
      <c r="T50" s="24" t="n">
        <v>0</v>
      </c>
      <c r="U50" s="24" t="n">
        <v>2</v>
      </c>
    </row>
    <row r="51" customFormat="false" ht="21.75" hidden="false" customHeight="true" outlineLevel="0" collapsed="false">
      <c r="A51" s="22" t="s">
        <v>8366</v>
      </c>
      <c r="B51" s="23" t="s">
        <v>183</v>
      </c>
      <c r="C51" s="24" t="s">
        <v>176</v>
      </c>
      <c r="D51" s="24" t="s">
        <v>59</v>
      </c>
      <c r="E51" s="24" t="s">
        <v>151</v>
      </c>
      <c r="F51" s="23" t="s">
        <v>177</v>
      </c>
      <c r="G51" s="26" t="s">
        <v>74</v>
      </c>
      <c r="H51" s="24" t="n">
        <v>5</v>
      </c>
      <c r="I51" s="23" t="s">
        <v>184</v>
      </c>
      <c r="J51" s="23" t="s">
        <v>187</v>
      </c>
      <c r="K51" s="23" t="s">
        <v>74</v>
      </c>
      <c r="L51" s="23" t="s">
        <v>186</v>
      </c>
      <c r="N51" s="24" t="n">
        <v>47</v>
      </c>
      <c r="O51" s="22" t="s">
        <v>8407</v>
      </c>
      <c r="P51" s="24" t="n">
        <v>0</v>
      </c>
      <c r="Q51" s="24" t="n">
        <v>1</v>
      </c>
      <c r="R51" s="24" t="n">
        <v>1</v>
      </c>
      <c r="S51" s="24" t="n">
        <v>1</v>
      </c>
      <c r="T51" s="24" t="n">
        <v>0</v>
      </c>
      <c r="U51" s="24" t="n">
        <v>2</v>
      </c>
    </row>
    <row r="52" customFormat="false" ht="21.75" hidden="false" customHeight="true" outlineLevel="0" collapsed="false">
      <c r="A52" s="22" t="s">
        <v>8366</v>
      </c>
      <c r="B52" s="23" t="s">
        <v>222</v>
      </c>
      <c r="C52" s="24" t="s">
        <v>213</v>
      </c>
      <c r="D52" s="24" t="s">
        <v>59</v>
      </c>
      <c r="E52" s="24" t="s">
        <v>214</v>
      </c>
      <c r="F52" s="23" t="s">
        <v>215</v>
      </c>
      <c r="G52" s="28" t="s">
        <v>73</v>
      </c>
      <c r="H52" s="24" t="n">
        <v>9</v>
      </c>
      <c r="I52" s="23" t="s">
        <v>223</v>
      </c>
      <c r="J52" s="23" t="s">
        <v>225</v>
      </c>
      <c r="K52" s="23" t="s">
        <v>119</v>
      </c>
      <c r="L52" s="23" t="s">
        <v>224</v>
      </c>
      <c r="N52" s="24" t="n">
        <v>48</v>
      </c>
      <c r="O52" s="22" t="s">
        <v>8408</v>
      </c>
      <c r="P52" s="24" t="n">
        <v>0</v>
      </c>
      <c r="Q52" s="24" t="n">
        <v>1</v>
      </c>
      <c r="R52" s="24" t="n">
        <v>1</v>
      </c>
      <c r="S52" s="24" t="n">
        <v>0</v>
      </c>
      <c r="T52" s="24" t="n">
        <v>0</v>
      </c>
      <c r="U52" s="24" t="n">
        <v>1</v>
      </c>
    </row>
    <row r="53" customFormat="false" ht="21.75" hidden="false" customHeight="true" outlineLevel="0" collapsed="false">
      <c r="A53" s="22" t="s">
        <v>8366</v>
      </c>
      <c r="B53" s="23" t="s">
        <v>222</v>
      </c>
      <c r="C53" s="24" t="s">
        <v>3645</v>
      </c>
      <c r="D53" s="24" t="s">
        <v>3291</v>
      </c>
      <c r="E53" s="24" t="s">
        <v>3646</v>
      </c>
      <c r="F53" s="23" t="s">
        <v>3647</v>
      </c>
      <c r="G53" s="26" t="s">
        <v>74</v>
      </c>
      <c r="H53" s="24" t="n">
        <v>5</v>
      </c>
      <c r="I53" s="23" t="s">
        <v>3653</v>
      </c>
      <c r="J53" s="23" t="s">
        <v>3655</v>
      </c>
      <c r="K53" s="23" t="s">
        <v>90</v>
      </c>
      <c r="L53" s="23" t="s">
        <v>3654</v>
      </c>
      <c r="N53" s="24" t="n">
        <v>49</v>
      </c>
      <c r="O53" s="22" t="s">
        <v>938</v>
      </c>
      <c r="P53" s="24" t="n">
        <v>0</v>
      </c>
      <c r="Q53" s="24" t="n">
        <v>1</v>
      </c>
      <c r="R53" s="24" t="n">
        <v>1</v>
      </c>
      <c r="S53" s="24" t="n">
        <v>0</v>
      </c>
      <c r="T53" s="24" t="n">
        <v>0</v>
      </c>
      <c r="U53" s="24" t="n">
        <v>1</v>
      </c>
    </row>
    <row r="54" customFormat="false" ht="21.75" hidden="false" customHeight="true" outlineLevel="0" collapsed="false">
      <c r="A54" s="22" t="s">
        <v>8366</v>
      </c>
      <c r="B54" s="23" t="s">
        <v>159</v>
      </c>
      <c r="C54" s="24" t="s">
        <v>150</v>
      </c>
      <c r="D54" s="24" t="s">
        <v>59</v>
      </c>
      <c r="E54" s="24" t="s">
        <v>151</v>
      </c>
      <c r="F54" s="23" t="s">
        <v>152</v>
      </c>
      <c r="G54" s="25" t="s">
        <v>90</v>
      </c>
      <c r="H54" s="24" t="n">
        <v>8</v>
      </c>
      <c r="I54" s="23" t="s">
        <v>160</v>
      </c>
      <c r="J54" s="23" t="s">
        <v>162</v>
      </c>
      <c r="K54" s="23" t="s">
        <v>74</v>
      </c>
      <c r="L54" s="23" t="s">
        <v>161</v>
      </c>
      <c r="N54" s="24" t="n">
        <v>50</v>
      </c>
      <c r="O54" s="22" t="s">
        <v>8409</v>
      </c>
      <c r="P54" s="24" t="n">
        <v>0</v>
      </c>
      <c r="Q54" s="24" t="n">
        <v>1</v>
      </c>
      <c r="R54" s="24" t="n">
        <v>1</v>
      </c>
      <c r="S54" s="24" t="n">
        <v>0</v>
      </c>
      <c r="T54" s="24" t="n">
        <v>0</v>
      </c>
      <c r="U54" s="24" t="n">
        <v>1</v>
      </c>
    </row>
    <row r="55" customFormat="false" ht="21.75" hidden="false" customHeight="true" outlineLevel="0" collapsed="false">
      <c r="A55" s="22" t="s">
        <v>8366</v>
      </c>
      <c r="B55" s="23" t="s">
        <v>159</v>
      </c>
      <c r="C55" s="24" t="s">
        <v>512</v>
      </c>
      <c r="D55" s="24" t="s">
        <v>59</v>
      </c>
      <c r="E55" s="24" t="s">
        <v>479</v>
      </c>
      <c r="F55" s="23" t="s">
        <v>513</v>
      </c>
      <c r="G55" s="27" t="s">
        <v>119</v>
      </c>
      <c r="H55" s="24" t="n">
        <v>2</v>
      </c>
      <c r="I55" s="23" t="s">
        <v>520</v>
      </c>
      <c r="J55" s="23" t="s">
        <v>522</v>
      </c>
      <c r="K55" s="23" t="s">
        <v>90</v>
      </c>
      <c r="L55" s="23" t="s">
        <v>521</v>
      </c>
      <c r="N55" s="24" t="n">
        <v>51</v>
      </c>
      <c r="O55" s="22" t="s">
        <v>8410</v>
      </c>
      <c r="P55" s="24" t="n">
        <v>0</v>
      </c>
      <c r="Q55" s="24" t="n">
        <v>1</v>
      </c>
      <c r="R55" s="24" t="n">
        <v>1</v>
      </c>
      <c r="S55" s="24" t="n">
        <v>0</v>
      </c>
      <c r="T55" s="24" t="n">
        <v>0</v>
      </c>
      <c r="U55" s="24" t="n">
        <v>1</v>
      </c>
    </row>
    <row r="56" customFormat="false" ht="21.75" hidden="false" customHeight="true" outlineLevel="0" collapsed="false">
      <c r="A56" s="22" t="s">
        <v>8366</v>
      </c>
      <c r="B56" s="23" t="s">
        <v>159</v>
      </c>
      <c r="C56" s="24" t="s">
        <v>560</v>
      </c>
      <c r="D56" s="24" t="s">
        <v>59</v>
      </c>
      <c r="E56" s="24" t="s">
        <v>561</v>
      </c>
      <c r="F56" s="23" t="s">
        <v>562</v>
      </c>
      <c r="G56" s="27" t="s">
        <v>119</v>
      </c>
      <c r="H56" s="24" t="n">
        <v>2</v>
      </c>
      <c r="I56" s="23" t="s">
        <v>569</v>
      </c>
      <c r="J56" s="23" t="s">
        <v>571</v>
      </c>
      <c r="K56" s="23" t="s">
        <v>90</v>
      </c>
      <c r="L56" s="23" t="s">
        <v>570</v>
      </c>
      <c r="N56" s="24" t="n">
        <v>52</v>
      </c>
      <c r="O56" s="22" t="s">
        <v>8369</v>
      </c>
      <c r="P56" s="24" t="n">
        <v>0</v>
      </c>
      <c r="Q56" s="24" t="n">
        <v>0</v>
      </c>
      <c r="R56" s="24" t="n">
        <v>0</v>
      </c>
      <c r="S56" s="24" t="n">
        <v>3</v>
      </c>
      <c r="T56" s="24" t="n">
        <v>1</v>
      </c>
      <c r="U56" s="24" t="n">
        <v>4</v>
      </c>
    </row>
    <row r="57" customFormat="false" ht="21.75" hidden="false" customHeight="true" outlineLevel="0" collapsed="false">
      <c r="A57" s="22" t="s">
        <v>8366</v>
      </c>
      <c r="B57" s="23" t="s">
        <v>101</v>
      </c>
      <c r="C57" s="24" t="s">
        <v>94</v>
      </c>
      <c r="D57" s="24" t="s">
        <v>59</v>
      </c>
      <c r="E57" s="24" t="s">
        <v>79</v>
      </c>
      <c r="F57" s="23" t="s">
        <v>95</v>
      </c>
      <c r="G57" s="25" t="s">
        <v>90</v>
      </c>
      <c r="H57" s="24" t="n">
        <v>8</v>
      </c>
      <c r="I57" s="23" t="s">
        <v>102</v>
      </c>
      <c r="J57" s="23" t="s">
        <v>104</v>
      </c>
      <c r="K57" s="23" t="s">
        <v>74</v>
      </c>
      <c r="L57" s="23" t="s">
        <v>103</v>
      </c>
      <c r="N57" s="24" t="n">
        <v>53</v>
      </c>
      <c r="O57" s="22" t="s">
        <v>8411</v>
      </c>
      <c r="P57" s="24" t="n">
        <v>0</v>
      </c>
      <c r="Q57" s="24" t="n">
        <v>0</v>
      </c>
      <c r="R57" s="24" t="n">
        <v>0</v>
      </c>
      <c r="S57" s="24" t="n">
        <v>2</v>
      </c>
      <c r="T57" s="24" t="n">
        <v>2</v>
      </c>
      <c r="U57" s="24" t="n">
        <v>4</v>
      </c>
    </row>
    <row r="58" customFormat="false" ht="21.75" hidden="false" customHeight="true" outlineLevel="0" collapsed="false">
      <c r="A58" s="22" t="s">
        <v>8366</v>
      </c>
      <c r="B58" s="23" t="s">
        <v>1970</v>
      </c>
      <c r="C58" s="24" t="s">
        <v>1963</v>
      </c>
      <c r="D58" s="24" t="s">
        <v>1500</v>
      </c>
      <c r="E58" s="24" t="s">
        <v>1911</v>
      </c>
      <c r="F58" s="23" t="s">
        <v>1964</v>
      </c>
      <c r="G58" s="27" t="s">
        <v>119</v>
      </c>
      <c r="H58" s="24" t="n">
        <v>2</v>
      </c>
      <c r="I58" s="23" t="s">
        <v>1971</v>
      </c>
      <c r="J58" s="23" t="s">
        <v>1973</v>
      </c>
      <c r="K58" s="23" t="s">
        <v>90</v>
      </c>
      <c r="L58" s="23" t="s">
        <v>1972</v>
      </c>
      <c r="N58" s="24" t="n">
        <v>54</v>
      </c>
      <c r="O58" s="22" t="s">
        <v>8412</v>
      </c>
      <c r="P58" s="24" t="n">
        <v>0</v>
      </c>
      <c r="Q58" s="24" t="n">
        <v>0</v>
      </c>
      <c r="R58" s="24" t="n">
        <v>0</v>
      </c>
      <c r="S58" s="24" t="n">
        <v>1</v>
      </c>
      <c r="T58" s="24" t="n">
        <v>1</v>
      </c>
      <c r="U58" s="24" t="n">
        <v>2</v>
      </c>
    </row>
    <row r="59" customFormat="false" ht="21.75" hidden="false" customHeight="true" outlineLevel="0" collapsed="false">
      <c r="A59" s="22" t="s">
        <v>8366</v>
      </c>
      <c r="B59" s="23" t="s">
        <v>171</v>
      </c>
      <c r="C59" s="24" t="s">
        <v>164</v>
      </c>
      <c r="D59" s="24" t="s">
        <v>59</v>
      </c>
      <c r="E59" s="24" t="s">
        <v>151</v>
      </c>
      <c r="F59" s="23" t="s">
        <v>165</v>
      </c>
      <c r="G59" s="25" t="s">
        <v>90</v>
      </c>
      <c r="H59" s="24" t="n">
        <v>7</v>
      </c>
      <c r="I59" s="23" t="s">
        <v>172</v>
      </c>
      <c r="J59" s="23" t="s">
        <v>174</v>
      </c>
      <c r="K59" s="23" t="s">
        <v>74</v>
      </c>
      <c r="L59" s="23" t="s">
        <v>173</v>
      </c>
      <c r="N59" s="24" t="n">
        <v>55</v>
      </c>
      <c r="O59" s="22" t="s">
        <v>8413</v>
      </c>
      <c r="P59" s="24" t="n">
        <v>0</v>
      </c>
      <c r="Q59" s="24" t="n">
        <v>0</v>
      </c>
      <c r="R59" s="24" t="n">
        <v>0</v>
      </c>
      <c r="S59" s="24" t="n">
        <v>1</v>
      </c>
      <c r="T59" s="24" t="n">
        <v>1</v>
      </c>
      <c r="U59" s="24" t="n">
        <v>2</v>
      </c>
    </row>
    <row r="60" customFormat="false" ht="21.75" hidden="false" customHeight="true" outlineLevel="0" collapsed="false">
      <c r="A60" s="22" t="s">
        <v>8366</v>
      </c>
      <c r="B60" s="23" t="s">
        <v>336</v>
      </c>
      <c r="C60" s="24" t="s">
        <v>328</v>
      </c>
      <c r="D60" s="24" t="s">
        <v>59</v>
      </c>
      <c r="E60" s="24" t="s">
        <v>329</v>
      </c>
      <c r="F60" s="23" t="s">
        <v>330</v>
      </c>
      <c r="G60" s="25" t="s">
        <v>90</v>
      </c>
      <c r="H60" s="24" t="n">
        <v>7</v>
      </c>
      <c r="I60" s="23" t="s">
        <v>337</v>
      </c>
      <c r="J60" s="23" t="s">
        <v>339</v>
      </c>
      <c r="K60" s="23" t="s">
        <v>74</v>
      </c>
      <c r="L60" s="23" t="s">
        <v>338</v>
      </c>
      <c r="N60" s="24" t="n">
        <v>56</v>
      </c>
      <c r="O60" s="22" t="s">
        <v>8414</v>
      </c>
      <c r="P60" s="24" t="n">
        <v>0</v>
      </c>
      <c r="Q60" s="24" t="n">
        <v>0</v>
      </c>
      <c r="R60" s="24" t="n">
        <v>0</v>
      </c>
      <c r="S60" s="24" t="n">
        <v>1</v>
      </c>
      <c r="T60" s="24" t="n">
        <v>1</v>
      </c>
      <c r="U60" s="24" t="n">
        <v>2</v>
      </c>
    </row>
    <row r="61" customFormat="false" ht="21.75" hidden="false" customHeight="true" outlineLevel="0" collapsed="false">
      <c r="A61" s="22" t="s">
        <v>8366</v>
      </c>
      <c r="B61" s="23" t="s">
        <v>336</v>
      </c>
      <c r="C61" s="24" t="s">
        <v>491</v>
      </c>
      <c r="D61" s="24" t="s">
        <v>59</v>
      </c>
      <c r="E61" s="24" t="s">
        <v>479</v>
      </c>
      <c r="F61" s="23" t="s">
        <v>492</v>
      </c>
      <c r="G61" s="26" t="s">
        <v>74</v>
      </c>
      <c r="H61" s="24" t="n">
        <v>5</v>
      </c>
      <c r="I61" s="23" t="s">
        <v>223</v>
      </c>
      <c r="J61" s="23" t="s">
        <v>499</v>
      </c>
      <c r="K61" s="23" t="s">
        <v>74</v>
      </c>
      <c r="L61" s="23" t="s">
        <v>498</v>
      </c>
      <c r="N61" s="24" t="n">
        <v>57</v>
      </c>
      <c r="O61" s="22" t="s">
        <v>8415</v>
      </c>
      <c r="P61" s="24" t="n">
        <v>0</v>
      </c>
      <c r="Q61" s="24" t="n">
        <v>0</v>
      </c>
      <c r="R61" s="24" t="n">
        <v>0</v>
      </c>
      <c r="S61" s="24" t="n">
        <v>1</v>
      </c>
      <c r="T61" s="24" t="n">
        <v>1</v>
      </c>
      <c r="U61" s="24" t="n">
        <v>2</v>
      </c>
    </row>
    <row r="62" customFormat="false" ht="21.75" hidden="false" customHeight="true" outlineLevel="0" collapsed="false">
      <c r="A62" s="22" t="s">
        <v>8366</v>
      </c>
      <c r="B62" s="23" t="s">
        <v>399</v>
      </c>
      <c r="C62" s="24" t="s">
        <v>391</v>
      </c>
      <c r="D62" s="24" t="s">
        <v>59</v>
      </c>
      <c r="E62" s="24" t="s">
        <v>392</v>
      </c>
      <c r="F62" s="23" t="s">
        <v>393</v>
      </c>
      <c r="G62" s="25" t="s">
        <v>90</v>
      </c>
      <c r="H62" s="24" t="n">
        <v>7</v>
      </c>
      <c r="I62" s="23" t="s">
        <v>400</v>
      </c>
      <c r="J62" s="23" t="s">
        <v>402</v>
      </c>
      <c r="K62" s="23" t="s">
        <v>119</v>
      </c>
      <c r="L62" s="23" t="s">
        <v>401</v>
      </c>
      <c r="N62" s="24" t="n">
        <v>58</v>
      </c>
      <c r="O62" s="22" t="s">
        <v>8297</v>
      </c>
      <c r="P62" s="24" t="n">
        <v>0</v>
      </c>
      <c r="Q62" s="24" t="n">
        <v>0</v>
      </c>
      <c r="R62" s="24" t="n">
        <v>0</v>
      </c>
      <c r="S62" s="24" t="n">
        <v>0</v>
      </c>
      <c r="T62" s="24" t="n">
        <v>1</v>
      </c>
      <c r="U62" s="24" t="n">
        <v>1</v>
      </c>
    </row>
    <row r="63" customFormat="false" ht="21.75" hidden="false" customHeight="true" outlineLevel="0" collapsed="false">
      <c r="A63" s="22" t="s">
        <v>8366</v>
      </c>
      <c r="B63" s="23" t="s">
        <v>3823</v>
      </c>
      <c r="C63" s="24" t="s">
        <v>3815</v>
      </c>
      <c r="D63" s="24" t="s">
        <v>3291</v>
      </c>
      <c r="E63" s="24" t="s">
        <v>3816</v>
      </c>
      <c r="F63" s="23" t="s">
        <v>3817</v>
      </c>
      <c r="G63" s="25" t="s">
        <v>90</v>
      </c>
      <c r="H63" s="24" t="n">
        <v>8</v>
      </c>
      <c r="I63" s="23" t="s">
        <v>3824</v>
      </c>
      <c r="J63" s="23" t="s">
        <v>3826</v>
      </c>
      <c r="K63" s="23" t="s">
        <v>119</v>
      </c>
      <c r="L63" s="23" t="s">
        <v>3825</v>
      </c>
      <c r="N63" s="24" t="n">
        <v>59</v>
      </c>
      <c r="O63" s="22" t="s">
        <v>8416</v>
      </c>
      <c r="P63" s="24" t="n">
        <v>0</v>
      </c>
      <c r="Q63" s="24" t="n">
        <v>0</v>
      </c>
      <c r="R63" s="24" t="n">
        <v>0</v>
      </c>
      <c r="S63" s="24" t="n">
        <v>1</v>
      </c>
      <c r="T63" s="24" t="n">
        <v>0</v>
      </c>
      <c r="U63" s="24" t="n">
        <v>1</v>
      </c>
    </row>
    <row r="64" customFormat="false" ht="21.75" hidden="false" customHeight="true" outlineLevel="0" collapsed="false">
      <c r="A64" s="22" t="s">
        <v>8366</v>
      </c>
      <c r="B64" s="23" t="s">
        <v>196</v>
      </c>
      <c r="C64" s="24" t="s">
        <v>189</v>
      </c>
      <c r="D64" s="24" t="s">
        <v>59</v>
      </c>
      <c r="E64" s="24" t="s">
        <v>151</v>
      </c>
      <c r="F64" s="23" t="s">
        <v>190</v>
      </c>
      <c r="G64" s="27" t="s">
        <v>119</v>
      </c>
      <c r="H64" s="24" t="n">
        <v>2</v>
      </c>
      <c r="I64" s="23" t="s">
        <v>197</v>
      </c>
      <c r="J64" s="23" t="s">
        <v>199</v>
      </c>
      <c r="K64" s="23" t="s">
        <v>90</v>
      </c>
      <c r="L64" s="23" t="s">
        <v>198</v>
      </c>
      <c r="N64" s="24" t="n">
        <v>60</v>
      </c>
      <c r="O64" s="22" t="s">
        <v>8417</v>
      </c>
      <c r="P64" s="24" t="n">
        <v>0</v>
      </c>
      <c r="Q64" s="24" t="n">
        <v>0</v>
      </c>
      <c r="R64" s="24" t="n">
        <v>0</v>
      </c>
      <c r="S64" s="24" t="n">
        <v>1</v>
      </c>
      <c r="T64" s="24" t="n">
        <v>0</v>
      </c>
      <c r="U64" s="24" t="n">
        <v>1</v>
      </c>
    </row>
    <row r="65" customFormat="false" ht="21.75" hidden="false" customHeight="true" outlineLevel="0" collapsed="false">
      <c r="A65" s="22" t="s">
        <v>8366</v>
      </c>
      <c r="B65" s="23" t="s">
        <v>68</v>
      </c>
      <c r="C65" s="24" t="s">
        <v>58</v>
      </c>
      <c r="D65" s="24" t="s">
        <v>59</v>
      </c>
      <c r="E65" s="24" t="s">
        <v>60</v>
      </c>
      <c r="F65" s="23" t="s">
        <v>61</v>
      </c>
      <c r="G65" s="28" t="s">
        <v>73</v>
      </c>
      <c r="H65" s="24" t="n">
        <v>9</v>
      </c>
      <c r="I65" s="23" t="s">
        <v>69</v>
      </c>
      <c r="J65" s="23" t="s">
        <v>76</v>
      </c>
      <c r="K65" s="23" t="s">
        <v>74</v>
      </c>
      <c r="L65" s="23" t="s">
        <v>75</v>
      </c>
      <c r="N65" s="24" t="n">
        <v>61</v>
      </c>
      <c r="O65" s="22" t="s">
        <v>8418</v>
      </c>
      <c r="P65" s="24" t="n">
        <v>0</v>
      </c>
      <c r="Q65" s="24" t="n">
        <v>0</v>
      </c>
      <c r="R65" s="24" t="n">
        <v>0</v>
      </c>
      <c r="S65" s="24" t="n">
        <v>1</v>
      </c>
      <c r="T65" s="24" t="n">
        <v>0</v>
      </c>
      <c r="U65" s="24" t="n">
        <v>1</v>
      </c>
    </row>
    <row r="66" customFormat="false" ht="21.75" hidden="false" customHeight="true" outlineLevel="0" collapsed="false">
      <c r="A66" s="22" t="s">
        <v>8366</v>
      </c>
      <c r="B66" s="23" t="s">
        <v>68</v>
      </c>
      <c r="C66" s="24" t="s">
        <v>1836</v>
      </c>
      <c r="D66" s="24" t="s">
        <v>1500</v>
      </c>
      <c r="E66" s="24" t="s">
        <v>1837</v>
      </c>
      <c r="F66" s="23" t="s">
        <v>1838</v>
      </c>
      <c r="G66" s="26" t="s">
        <v>74</v>
      </c>
      <c r="H66" s="24" t="n">
        <v>5</v>
      </c>
      <c r="I66" s="23" t="s">
        <v>1844</v>
      </c>
      <c r="J66" s="23" t="s">
        <v>1846</v>
      </c>
      <c r="K66" s="23" t="s">
        <v>90</v>
      </c>
      <c r="L66" s="23" t="s">
        <v>1845</v>
      </c>
      <c r="N66" s="24" t="n">
        <v>62</v>
      </c>
      <c r="O66" s="22" t="s">
        <v>8419</v>
      </c>
      <c r="P66" s="24" t="n">
        <v>0</v>
      </c>
      <c r="Q66" s="24" t="n">
        <v>0</v>
      </c>
      <c r="R66" s="24" t="n">
        <v>0</v>
      </c>
      <c r="S66" s="24" t="n">
        <v>1</v>
      </c>
      <c r="T66" s="24" t="n">
        <v>0</v>
      </c>
      <c r="U66" s="24" t="n">
        <v>1</v>
      </c>
    </row>
    <row r="67" customFormat="false" ht="21.75" hidden="false" customHeight="true" outlineLevel="0" collapsed="false">
      <c r="A67" s="22" t="s">
        <v>8366</v>
      </c>
      <c r="B67" s="23" t="s">
        <v>691</v>
      </c>
      <c r="C67" s="24" t="s">
        <v>682</v>
      </c>
      <c r="D67" s="24" t="s">
        <v>59</v>
      </c>
      <c r="E67" s="24" t="s">
        <v>683</v>
      </c>
      <c r="F67" s="23" t="s">
        <v>684</v>
      </c>
      <c r="G67" s="25" t="s">
        <v>90</v>
      </c>
      <c r="H67" s="24" t="n">
        <v>8</v>
      </c>
      <c r="I67" s="23" t="s">
        <v>692</v>
      </c>
      <c r="J67" s="23" t="s">
        <v>694</v>
      </c>
      <c r="K67" s="23" t="s">
        <v>119</v>
      </c>
      <c r="L67" s="23" t="s">
        <v>693</v>
      </c>
      <c r="N67" s="24" t="n">
        <v>63</v>
      </c>
      <c r="O67" s="22" t="s">
        <v>8420</v>
      </c>
      <c r="P67" s="24" t="n">
        <v>0</v>
      </c>
      <c r="Q67" s="24" t="n">
        <v>0</v>
      </c>
      <c r="R67" s="24" t="n">
        <v>0</v>
      </c>
      <c r="S67" s="24" t="n">
        <v>1</v>
      </c>
      <c r="T67" s="24" t="n">
        <v>0</v>
      </c>
      <c r="U67" s="24" t="n">
        <v>1</v>
      </c>
    </row>
    <row r="68" customFormat="false" ht="21.75" hidden="false" customHeight="true" outlineLevel="0" collapsed="false">
      <c r="A68" s="22" t="s">
        <v>8366</v>
      </c>
      <c r="B68" s="23" t="s">
        <v>963</v>
      </c>
      <c r="C68" s="24" t="s">
        <v>955</v>
      </c>
      <c r="D68" s="24" t="s">
        <v>837</v>
      </c>
      <c r="E68" s="24" t="s">
        <v>943</v>
      </c>
      <c r="F68" s="23" t="s">
        <v>956</v>
      </c>
      <c r="G68" s="25" t="s">
        <v>90</v>
      </c>
      <c r="H68" s="24" t="n">
        <v>6</v>
      </c>
      <c r="I68" s="23" t="s">
        <v>964</v>
      </c>
      <c r="J68" s="23" t="s">
        <v>966</v>
      </c>
      <c r="K68" s="23" t="s">
        <v>74</v>
      </c>
      <c r="L68" s="23" t="s">
        <v>965</v>
      </c>
      <c r="N68" s="24" t="n">
        <v>64</v>
      </c>
      <c r="O68" s="22" t="s">
        <v>8347</v>
      </c>
      <c r="P68" s="24" t="n">
        <v>0</v>
      </c>
      <c r="Q68" s="24" t="n">
        <v>0</v>
      </c>
      <c r="R68" s="24" t="n">
        <v>0</v>
      </c>
      <c r="S68" s="24" t="n">
        <v>1</v>
      </c>
      <c r="T68" s="24" t="n">
        <v>0</v>
      </c>
      <c r="U68" s="24" t="n">
        <v>1</v>
      </c>
    </row>
    <row r="69" customFormat="false" ht="21.75" hidden="false" customHeight="true" outlineLevel="0" collapsed="false">
      <c r="A69" s="22" t="s">
        <v>8366</v>
      </c>
      <c r="B69" s="23" t="s">
        <v>1157</v>
      </c>
      <c r="C69" s="24" t="s">
        <v>1148</v>
      </c>
      <c r="D69" s="24" t="s">
        <v>837</v>
      </c>
      <c r="E69" s="24" t="s">
        <v>1149</v>
      </c>
      <c r="F69" s="23" t="s">
        <v>1150</v>
      </c>
      <c r="G69" s="27" t="s">
        <v>119</v>
      </c>
      <c r="H69" s="24" t="n">
        <v>2</v>
      </c>
      <c r="I69" s="23" t="s">
        <v>1158</v>
      </c>
      <c r="J69" s="23" t="s">
        <v>1160</v>
      </c>
      <c r="K69" s="23" t="s">
        <v>74</v>
      </c>
      <c r="L69" s="23" t="s">
        <v>1159</v>
      </c>
      <c r="N69" s="24" t="n">
        <v>65</v>
      </c>
      <c r="O69" s="22" t="s">
        <v>8421</v>
      </c>
      <c r="P69" s="24" t="n">
        <v>0</v>
      </c>
      <c r="Q69" s="24" t="n">
        <v>0</v>
      </c>
      <c r="R69" s="24" t="n">
        <v>0</v>
      </c>
      <c r="S69" s="24" t="n">
        <v>0</v>
      </c>
      <c r="T69" s="24" t="n">
        <v>1</v>
      </c>
      <c r="U69" s="24" t="n">
        <v>1</v>
      </c>
    </row>
    <row r="70" customFormat="false" ht="21.75" hidden="false" customHeight="true" outlineLevel="0" collapsed="false">
      <c r="A70" s="22" t="s">
        <v>8366</v>
      </c>
      <c r="B70" s="23" t="s">
        <v>924</v>
      </c>
      <c r="C70" s="24" t="s">
        <v>916</v>
      </c>
      <c r="D70" s="24" t="s">
        <v>837</v>
      </c>
      <c r="E70" s="24" t="s">
        <v>917</v>
      </c>
      <c r="F70" s="23" t="s">
        <v>918</v>
      </c>
      <c r="G70" s="28" t="s">
        <v>73</v>
      </c>
      <c r="H70" s="24" t="n">
        <v>9</v>
      </c>
      <c r="I70" s="23" t="s">
        <v>925</v>
      </c>
      <c r="J70" s="23" t="s">
        <v>927</v>
      </c>
      <c r="K70" s="23" t="s">
        <v>119</v>
      </c>
      <c r="L70" s="23" t="s">
        <v>926</v>
      </c>
      <c r="N70" s="24" t="n">
        <v>66</v>
      </c>
      <c r="O70" s="22" t="s">
        <v>8422</v>
      </c>
      <c r="P70" s="24" t="n">
        <v>0</v>
      </c>
      <c r="Q70" s="24" t="n">
        <v>0</v>
      </c>
      <c r="R70" s="24" t="n">
        <v>0</v>
      </c>
      <c r="S70" s="24" t="n">
        <v>0</v>
      </c>
      <c r="T70" s="24" t="n">
        <v>1</v>
      </c>
      <c r="U70" s="24" t="n">
        <v>1</v>
      </c>
    </row>
    <row r="71" customFormat="false" ht="21.75" hidden="false" customHeight="true" outlineLevel="0" collapsed="false">
      <c r="A71" s="22" t="s">
        <v>8366</v>
      </c>
      <c r="B71" s="23" t="s">
        <v>349</v>
      </c>
      <c r="C71" s="24" t="s">
        <v>341</v>
      </c>
      <c r="D71" s="24" t="s">
        <v>59</v>
      </c>
      <c r="E71" s="24" t="s">
        <v>329</v>
      </c>
      <c r="F71" s="23" t="s">
        <v>342</v>
      </c>
      <c r="G71" s="26" t="s">
        <v>74</v>
      </c>
      <c r="H71" s="24" t="n">
        <v>5</v>
      </c>
      <c r="I71" s="23" t="s">
        <v>350</v>
      </c>
      <c r="J71" s="23" t="s">
        <v>352</v>
      </c>
      <c r="K71" s="23" t="s">
        <v>74</v>
      </c>
      <c r="L71" s="23" t="s">
        <v>351</v>
      </c>
      <c r="N71" s="24" t="n">
        <v>67</v>
      </c>
      <c r="O71" s="22" t="s">
        <v>8423</v>
      </c>
      <c r="P71" s="24" t="n">
        <v>0</v>
      </c>
      <c r="Q71" s="24" t="n">
        <v>0</v>
      </c>
      <c r="R71" s="24" t="n">
        <v>0</v>
      </c>
      <c r="S71" s="24" t="n">
        <v>1</v>
      </c>
      <c r="T71" s="24" t="n">
        <v>0</v>
      </c>
      <c r="U71" s="24" t="n">
        <v>1</v>
      </c>
    </row>
    <row r="72" customFormat="false" ht="21.75" hidden="false" customHeight="true" outlineLevel="0" collapsed="false">
      <c r="A72" s="22" t="s">
        <v>8366</v>
      </c>
      <c r="B72" s="23" t="s">
        <v>728</v>
      </c>
      <c r="C72" s="24" t="s">
        <v>721</v>
      </c>
      <c r="D72" s="24" t="s">
        <v>59</v>
      </c>
      <c r="E72" s="24" t="s">
        <v>709</v>
      </c>
      <c r="F72" s="23" t="s">
        <v>722</v>
      </c>
      <c r="G72" s="26" t="s">
        <v>74</v>
      </c>
      <c r="H72" s="24" t="n">
        <v>5</v>
      </c>
      <c r="I72" s="23" t="s">
        <v>729</v>
      </c>
      <c r="J72" s="23" t="s">
        <v>731</v>
      </c>
      <c r="K72" s="23" t="s">
        <v>119</v>
      </c>
      <c r="L72" s="23" t="s">
        <v>730</v>
      </c>
      <c r="N72" s="24" t="n">
        <v>68</v>
      </c>
      <c r="O72" s="22" t="s">
        <v>8424</v>
      </c>
      <c r="P72" s="24" t="n">
        <v>0</v>
      </c>
      <c r="Q72" s="24" t="n">
        <v>0</v>
      </c>
      <c r="R72" s="24" t="n">
        <v>0</v>
      </c>
      <c r="S72" s="24" t="n">
        <v>0</v>
      </c>
      <c r="T72" s="24" t="n">
        <v>1</v>
      </c>
      <c r="U72" s="24" t="n">
        <v>1</v>
      </c>
    </row>
    <row r="73" customFormat="false" ht="21.75" hidden="false" customHeight="true" outlineLevel="0" collapsed="false">
      <c r="A73" s="22" t="s">
        <v>8366</v>
      </c>
      <c r="B73" s="23" t="s">
        <v>1003</v>
      </c>
      <c r="C73" s="24" t="s">
        <v>995</v>
      </c>
      <c r="D73" s="24" t="s">
        <v>837</v>
      </c>
      <c r="E73" s="24" t="s">
        <v>982</v>
      </c>
      <c r="F73" s="23" t="s">
        <v>996</v>
      </c>
      <c r="G73" s="25" t="s">
        <v>90</v>
      </c>
      <c r="H73" s="24" t="n">
        <v>7</v>
      </c>
      <c r="I73" s="23" t="s">
        <v>1004</v>
      </c>
      <c r="J73" s="23" t="s">
        <v>1006</v>
      </c>
      <c r="K73" s="23" t="s">
        <v>74</v>
      </c>
      <c r="L73" s="23" t="s">
        <v>1005</v>
      </c>
      <c r="N73" s="24" t="n">
        <v>69</v>
      </c>
      <c r="O73" s="22" t="s">
        <v>8425</v>
      </c>
      <c r="P73" s="24" t="n">
        <v>0</v>
      </c>
      <c r="Q73" s="24" t="n">
        <v>0</v>
      </c>
      <c r="R73" s="24" t="n">
        <v>0</v>
      </c>
      <c r="S73" s="24" t="n">
        <v>1</v>
      </c>
      <c r="T73" s="24" t="n">
        <v>0</v>
      </c>
      <c r="U73" s="24" t="n">
        <v>1</v>
      </c>
    </row>
    <row r="74" customFormat="false" ht="21.75" hidden="false" customHeight="true" outlineLevel="0" collapsed="false">
      <c r="A74" s="22" t="s">
        <v>8366</v>
      </c>
      <c r="B74" s="23" t="s">
        <v>87</v>
      </c>
      <c r="C74" s="24" t="s">
        <v>78</v>
      </c>
      <c r="D74" s="24" t="s">
        <v>59</v>
      </c>
      <c r="E74" s="24" t="s">
        <v>79</v>
      </c>
      <c r="F74" s="23" t="s">
        <v>80</v>
      </c>
      <c r="G74" s="25" t="s">
        <v>90</v>
      </c>
      <c r="H74" s="24" t="n">
        <v>7</v>
      </c>
      <c r="I74" s="23" t="s">
        <v>88</v>
      </c>
      <c r="J74" s="23" t="s">
        <v>92</v>
      </c>
      <c r="K74" s="23" t="s">
        <v>74</v>
      </c>
      <c r="L74" s="23" t="s">
        <v>91</v>
      </c>
      <c r="N74" s="24" t="n">
        <v>70</v>
      </c>
      <c r="O74" s="22" t="s">
        <v>8426</v>
      </c>
      <c r="P74" s="24" t="n">
        <v>0</v>
      </c>
      <c r="Q74" s="24" t="n">
        <v>0</v>
      </c>
      <c r="R74" s="24" t="n">
        <v>0</v>
      </c>
      <c r="S74" s="24" t="n">
        <v>1</v>
      </c>
      <c r="T74" s="24" t="n">
        <v>0</v>
      </c>
      <c r="U74" s="24" t="n">
        <v>1</v>
      </c>
    </row>
    <row r="75" customFormat="false" ht="21.75" hidden="false" customHeight="true" outlineLevel="0" collapsed="false">
      <c r="A75" s="22" t="s">
        <v>8366</v>
      </c>
      <c r="B75" s="23" t="s">
        <v>87</v>
      </c>
      <c r="C75" s="24" t="s">
        <v>304</v>
      </c>
      <c r="D75" s="24" t="s">
        <v>59</v>
      </c>
      <c r="E75" s="24" t="s">
        <v>305</v>
      </c>
      <c r="F75" s="23" t="s">
        <v>306</v>
      </c>
      <c r="G75" s="26" t="s">
        <v>74</v>
      </c>
      <c r="H75" s="24" t="n">
        <v>5</v>
      </c>
      <c r="I75" s="23" t="s">
        <v>312</v>
      </c>
      <c r="J75" s="23" t="s">
        <v>314</v>
      </c>
      <c r="K75" s="23" t="s">
        <v>74</v>
      </c>
      <c r="L75" s="23" t="s">
        <v>313</v>
      </c>
      <c r="N75" s="24" t="n">
        <v>71</v>
      </c>
      <c r="O75" s="22" t="s">
        <v>8427</v>
      </c>
      <c r="P75" s="24" t="n">
        <v>0</v>
      </c>
      <c r="Q75" s="24" t="n">
        <v>0</v>
      </c>
      <c r="R75" s="24" t="n">
        <v>0</v>
      </c>
      <c r="S75" s="24" t="n">
        <v>0</v>
      </c>
      <c r="T75" s="24" t="n">
        <v>1</v>
      </c>
      <c r="U75" s="24" t="n">
        <v>1</v>
      </c>
    </row>
    <row r="76" customFormat="false" ht="21.75" hidden="false" customHeight="true" outlineLevel="0" collapsed="false">
      <c r="A76" s="22" t="s">
        <v>8366</v>
      </c>
      <c r="B76" s="23" t="s">
        <v>87</v>
      </c>
      <c r="C76" s="24" t="s">
        <v>316</v>
      </c>
      <c r="D76" s="24" t="s">
        <v>59</v>
      </c>
      <c r="E76" s="24" t="s">
        <v>317</v>
      </c>
      <c r="F76" s="23" t="s">
        <v>318</v>
      </c>
      <c r="G76" s="26" t="s">
        <v>74</v>
      </c>
      <c r="H76" s="24" t="n">
        <v>5</v>
      </c>
      <c r="I76" s="23" t="s">
        <v>324</v>
      </c>
      <c r="J76" s="23" t="s">
        <v>326</v>
      </c>
      <c r="K76" s="23" t="s">
        <v>74</v>
      </c>
      <c r="L76" s="23" t="s">
        <v>325</v>
      </c>
      <c r="N76" s="24" t="n">
        <v>72</v>
      </c>
      <c r="O76" s="22" t="s">
        <v>8428</v>
      </c>
      <c r="P76" s="24" t="n">
        <v>0</v>
      </c>
      <c r="Q76" s="24" t="n">
        <v>0</v>
      </c>
      <c r="R76" s="24" t="n">
        <v>0</v>
      </c>
      <c r="S76" s="24" t="n">
        <v>1</v>
      </c>
      <c r="T76" s="24" t="n">
        <v>0</v>
      </c>
      <c r="U76" s="24" t="n">
        <v>1</v>
      </c>
    </row>
    <row r="77" customFormat="false" ht="21.75" hidden="false" customHeight="true" outlineLevel="0" collapsed="false">
      <c r="A77" s="22" t="s">
        <v>8366</v>
      </c>
      <c r="B77" s="23" t="s">
        <v>87</v>
      </c>
      <c r="C77" s="24" t="s">
        <v>429</v>
      </c>
      <c r="D77" s="24" t="s">
        <v>59</v>
      </c>
      <c r="E77" s="24" t="s">
        <v>430</v>
      </c>
      <c r="F77" s="23" t="s">
        <v>431</v>
      </c>
      <c r="G77" s="26" t="s">
        <v>74</v>
      </c>
      <c r="H77" s="24" t="n">
        <v>4</v>
      </c>
      <c r="I77" s="23" t="s">
        <v>437</v>
      </c>
      <c r="J77" s="23" t="s">
        <v>439</v>
      </c>
      <c r="K77" s="23" t="s">
        <v>74</v>
      </c>
      <c r="L77" s="23" t="s">
        <v>438</v>
      </c>
      <c r="N77" s="24" t="n">
        <v>73</v>
      </c>
      <c r="O77" s="22" t="s">
        <v>8429</v>
      </c>
      <c r="P77" s="24" t="n">
        <v>0</v>
      </c>
      <c r="Q77" s="24" t="n">
        <v>0</v>
      </c>
      <c r="R77" s="24" t="n">
        <v>0</v>
      </c>
      <c r="S77" s="24" t="n">
        <v>1</v>
      </c>
      <c r="T77" s="24" t="n">
        <v>0</v>
      </c>
      <c r="U77" s="24" t="n">
        <v>1</v>
      </c>
    </row>
    <row r="78" customFormat="false" ht="21.75" hidden="false" customHeight="true" outlineLevel="0" collapsed="false">
      <c r="A78" s="22" t="s">
        <v>8366</v>
      </c>
      <c r="B78" s="23" t="s">
        <v>3640</v>
      </c>
      <c r="C78" s="24" t="s">
        <v>3631</v>
      </c>
      <c r="D78" s="24" t="s">
        <v>3291</v>
      </c>
      <c r="E78" s="24" t="s">
        <v>3632</v>
      </c>
      <c r="F78" s="23" t="s">
        <v>3633</v>
      </c>
      <c r="G78" s="28" t="s">
        <v>73</v>
      </c>
      <c r="H78" s="24" t="n">
        <v>9</v>
      </c>
      <c r="I78" s="23" t="s">
        <v>3641</v>
      </c>
      <c r="J78" s="23" t="s">
        <v>3643</v>
      </c>
      <c r="K78" s="23" t="s">
        <v>119</v>
      </c>
      <c r="L78" s="23" t="s">
        <v>3642</v>
      </c>
    </row>
    <row r="79" customFormat="false" ht="21.75" hidden="false" customHeight="true" outlineLevel="0" collapsed="false">
      <c r="A79" s="22" t="s">
        <v>8366</v>
      </c>
      <c r="B79" s="23" t="s">
        <v>3678</v>
      </c>
      <c r="C79" s="24" t="s">
        <v>3670</v>
      </c>
      <c r="D79" s="24" t="s">
        <v>3291</v>
      </c>
      <c r="E79" s="24" t="s">
        <v>3671</v>
      </c>
      <c r="F79" s="23" t="s">
        <v>3672</v>
      </c>
      <c r="G79" s="26" t="s">
        <v>74</v>
      </c>
      <c r="H79" s="24" t="n">
        <v>5</v>
      </c>
      <c r="I79" s="23" t="s">
        <v>3679</v>
      </c>
      <c r="J79" s="23" t="s">
        <v>3681</v>
      </c>
      <c r="K79" s="23" t="s">
        <v>74</v>
      </c>
      <c r="L79" s="23" t="s">
        <v>3680</v>
      </c>
    </row>
    <row r="80" customFormat="false" ht="21.75" hidden="false" customHeight="true" outlineLevel="0" collapsed="false">
      <c r="A80" s="22" t="s">
        <v>8366</v>
      </c>
      <c r="B80" s="23" t="s">
        <v>1945</v>
      </c>
      <c r="C80" s="24" t="s">
        <v>1937</v>
      </c>
      <c r="D80" s="24" t="s">
        <v>1500</v>
      </c>
      <c r="E80" s="24" t="s">
        <v>1938</v>
      </c>
      <c r="F80" s="23" t="s">
        <v>1939</v>
      </c>
      <c r="G80" s="25" t="s">
        <v>90</v>
      </c>
      <c r="H80" s="24" t="n">
        <v>7</v>
      </c>
      <c r="I80" s="23" t="s">
        <v>1946</v>
      </c>
      <c r="J80" s="23" t="s">
        <v>1948</v>
      </c>
      <c r="K80" s="23" t="s">
        <v>119</v>
      </c>
      <c r="L80" s="23" t="s">
        <v>1947</v>
      </c>
    </row>
    <row r="81" customFormat="false" ht="21.75" hidden="false" customHeight="true" outlineLevel="0" collapsed="false">
      <c r="A81" s="22" t="s">
        <v>8366</v>
      </c>
      <c r="B81" s="23" t="s">
        <v>1713</v>
      </c>
      <c r="C81" s="24" t="s">
        <v>1705</v>
      </c>
      <c r="D81" s="24" t="s">
        <v>1500</v>
      </c>
      <c r="E81" s="24" t="s">
        <v>1706</v>
      </c>
      <c r="F81" s="23" t="s">
        <v>1707</v>
      </c>
      <c r="G81" s="25" t="s">
        <v>90</v>
      </c>
      <c r="H81" s="24" t="n">
        <v>7</v>
      </c>
      <c r="I81" s="23" t="s">
        <v>1714</v>
      </c>
      <c r="J81" s="23" t="s">
        <v>1716</v>
      </c>
      <c r="K81" s="23" t="s">
        <v>74</v>
      </c>
      <c r="L81" s="23" t="s">
        <v>1715</v>
      </c>
    </row>
    <row r="82" customFormat="false" ht="21.75" hidden="false" customHeight="true" outlineLevel="0" collapsed="false">
      <c r="A82" s="22" t="s">
        <v>8408</v>
      </c>
      <c r="B82" s="23" t="s">
        <v>5053</v>
      </c>
      <c r="C82" s="24" t="s">
        <v>5044</v>
      </c>
      <c r="D82" s="24" t="s">
        <v>4949</v>
      </c>
      <c r="E82" s="24" t="s">
        <v>5045</v>
      </c>
      <c r="F82" s="23" t="s">
        <v>5046</v>
      </c>
      <c r="G82" s="25" t="s">
        <v>90</v>
      </c>
      <c r="H82" s="24" t="n">
        <v>6</v>
      </c>
      <c r="I82" s="23" t="s">
        <v>5054</v>
      </c>
      <c r="J82" s="23" t="s">
        <v>5056</v>
      </c>
      <c r="K82" s="23" t="s">
        <v>90</v>
      </c>
      <c r="L82" s="23" t="s">
        <v>5055</v>
      </c>
    </row>
    <row r="83" customFormat="false" ht="21.75" hidden="false" customHeight="true" outlineLevel="0" collapsed="false">
      <c r="A83" s="22" t="s">
        <v>8266</v>
      </c>
      <c r="B83" s="23" t="s">
        <v>767</v>
      </c>
      <c r="C83" s="24" t="s">
        <v>759</v>
      </c>
      <c r="D83" s="24" t="s">
        <v>59</v>
      </c>
      <c r="E83" s="24" t="s">
        <v>760</v>
      </c>
      <c r="F83" s="23" t="s">
        <v>761</v>
      </c>
      <c r="G83" s="28" t="s">
        <v>73</v>
      </c>
      <c r="H83" s="24" t="n">
        <v>9</v>
      </c>
      <c r="I83" s="23" t="s">
        <v>768</v>
      </c>
      <c r="J83" s="23" t="s">
        <v>771</v>
      </c>
      <c r="K83" s="23" t="s">
        <v>74</v>
      </c>
      <c r="L83" s="23" t="s">
        <v>770</v>
      </c>
    </row>
    <row r="84" customFormat="false" ht="21.75" hidden="false" customHeight="true" outlineLevel="0" collapsed="false">
      <c r="A84" s="22" t="s">
        <v>8384</v>
      </c>
      <c r="B84" s="23" t="s">
        <v>1689</v>
      </c>
      <c r="C84" s="24" t="s">
        <v>1680</v>
      </c>
      <c r="D84" s="24" t="s">
        <v>1500</v>
      </c>
      <c r="E84" s="24" t="s">
        <v>1681</v>
      </c>
      <c r="F84" s="23" t="s">
        <v>1682</v>
      </c>
      <c r="G84" s="25" t="s">
        <v>90</v>
      </c>
      <c r="H84" s="24" t="n">
        <v>7</v>
      </c>
      <c r="I84" s="23" t="s">
        <v>976</v>
      </c>
      <c r="J84" s="23" t="s">
        <v>1691</v>
      </c>
      <c r="K84" s="23" t="s">
        <v>74</v>
      </c>
      <c r="L84" s="23" t="s">
        <v>1690</v>
      </c>
    </row>
    <row r="85" customFormat="false" ht="21.75" hidden="false" customHeight="true" outlineLevel="0" collapsed="false">
      <c r="A85" s="22" t="s">
        <v>8384</v>
      </c>
      <c r="B85" s="23" t="s">
        <v>1171</v>
      </c>
      <c r="C85" s="24" t="s">
        <v>1162</v>
      </c>
      <c r="D85" s="24" t="s">
        <v>837</v>
      </c>
      <c r="E85" s="24" t="s">
        <v>1163</v>
      </c>
      <c r="F85" s="23" t="s">
        <v>1164</v>
      </c>
      <c r="G85" s="25" t="s">
        <v>90</v>
      </c>
      <c r="H85" s="24" t="n">
        <v>7</v>
      </c>
      <c r="I85" s="23" t="s">
        <v>1172</v>
      </c>
      <c r="J85" s="23" t="s">
        <v>1175</v>
      </c>
      <c r="K85" s="23" t="s">
        <v>74</v>
      </c>
      <c r="L85" s="23" t="s">
        <v>1174</v>
      </c>
    </row>
    <row r="86" customFormat="false" ht="21.75" hidden="false" customHeight="true" outlineLevel="0" collapsed="false">
      <c r="A86" s="22" t="s">
        <v>8384</v>
      </c>
      <c r="B86" s="23" t="s">
        <v>1750</v>
      </c>
      <c r="C86" s="24" t="s">
        <v>1743</v>
      </c>
      <c r="D86" s="24" t="s">
        <v>1500</v>
      </c>
      <c r="E86" s="24" t="s">
        <v>1681</v>
      </c>
      <c r="F86" s="23" t="s">
        <v>1744</v>
      </c>
      <c r="G86" s="28" t="s">
        <v>73</v>
      </c>
      <c r="H86" s="24" t="n">
        <v>9</v>
      </c>
      <c r="I86" s="23" t="s">
        <v>1751</v>
      </c>
      <c r="J86" s="23" t="s">
        <v>1754</v>
      </c>
      <c r="K86" s="23" t="s">
        <v>119</v>
      </c>
      <c r="L86" s="23" t="s">
        <v>1753</v>
      </c>
    </row>
    <row r="87" customFormat="false" ht="21.75" hidden="false" customHeight="true" outlineLevel="0" collapsed="false">
      <c r="A87" s="22" t="s">
        <v>8384</v>
      </c>
      <c r="B87" s="23" t="s">
        <v>1958</v>
      </c>
      <c r="C87" s="24" t="s">
        <v>1950</v>
      </c>
      <c r="D87" s="24" t="s">
        <v>1500</v>
      </c>
      <c r="E87" s="24" t="s">
        <v>1951</v>
      </c>
      <c r="F87" s="23" t="s">
        <v>1952</v>
      </c>
      <c r="G87" s="26" t="s">
        <v>74</v>
      </c>
      <c r="H87" s="24" t="n">
        <v>5</v>
      </c>
      <c r="I87" s="23" t="s">
        <v>1959</v>
      </c>
      <c r="J87" s="23" t="s">
        <v>1961</v>
      </c>
      <c r="K87" s="23" t="s">
        <v>74</v>
      </c>
      <c r="L87" s="23" t="s">
        <v>1960</v>
      </c>
    </row>
    <row r="88" customFormat="false" ht="21.75" hidden="false" customHeight="true" outlineLevel="0" collapsed="false">
      <c r="A88" s="22" t="s">
        <v>2161</v>
      </c>
      <c r="B88" s="23" t="s">
        <v>2161</v>
      </c>
      <c r="C88" s="24" t="s">
        <v>2153</v>
      </c>
      <c r="D88" s="24" t="s">
        <v>2140</v>
      </c>
      <c r="E88" s="24" t="s">
        <v>2154</v>
      </c>
      <c r="F88" s="23" t="s">
        <v>2155</v>
      </c>
      <c r="G88" s="25" t="s">
        <v>90</v>
      </c>
      <c r="H88" s="24" t="n">
        <v>7</v>
      </c>
      <c r="I88" s="23" t="s">
        <v>2162</v>
      </c>
      <c r="J88" s="23" t="s">
        <v>2164</v>
      </c>
      <c r="K88" s="23" t="s">
        <v>74</v>
      </c>
      <c r="L88" s="23" t="s">
        <v>2163</v>
      </c>
    </row>
    <row r="89" customFormat="false" ht="21.75" hidden="false" customHeight="true" outlineLevel="0" collapsed="false">
      <c r="A89" s="22" t="s">
        <v>2161</v>
      </c>
      <c r="B89" s="23" t="s">
        <v>2161</v>
      </c>
      <c r="C89" s="24" t="s">
        <v>2241</v>
      </c>
      <c r="D89" s="24" t="s">
        <v>2140</v>
      </c>
      <c r="E89" s="24" t="s">
        <v>2242</v>
      </c>
      <c r="F89" s="23" t="s">
        <v>2243</v>
      </c>
      <c r="G89" s="27" t="s">
        <v>119</v>
      </c>
      <c r="H89" s="24" t="n">
        <v>2</v>
      </c>
      <c r="I89" s="23" t="s">
        <v>2249</v>
      </c>
      <c r="J89" s="23" t="s">
        <v>2251</v>
      </c>
      <c r="K89" s="23" t="s">
        <v>90</v>
      </c>
      <c r="L89" s="23" t="s">
        <v>2250</v>
      </c>
    </row>
    <row r="90" customFormat="false" ht="21.75" hidden="false" customHeight="true" outlineLevel="0" collapsed="false">
      <c r="A90" s="22" t="s">
        <v>2161</v>
      </c>
      <c r="B90" s="23" t="s">
        <v>2161</v>
      </c>
      <c r="C90" s="24" t="s">
        <v>2365</v>
      </c>
      <c r="D90" s="24" t="s">
        <v>2140</v>
      </c>
      <c r="E90" s="24" t="s">
        <v>2366</v>
      </c>
      <c r="F90" s="23" t="s">
        <v>2367</v>
      </c>
      <c r="G90" s="26" t="s">
        <v>74</v>
      </c>
      <c r="H90" s="24" t="n">
        <v>4</v>
      </c>
      <c r="I90" s="23" t="s">
        <v>2373</v>
      </c>
      <c r="J90" s="23" t="s">
        <v>2375</v>
      </c>
      <c r="K90" s="23" t="s">
        <v>90</v>
      </c>
      <c r="L90" s="23" t="s">
        <v>2374</v>
      </c>
    </row>
    <row r="91" customFormat="false" ht="15" hidden="false" customHeight="true" outlineLevel="0" collapsed="false">
      <c r="A91" s="22" t="s">
        <v>2161</v>
      </c>
      <c r="B91" s="23" t="s">
        <v>208</v>
      </c>
      <c r="C91" s="24" t="s">
        <v>201</v>
      </c>
      <c r="D91" s="24" t="s">
        <v>59</v>
      </c>
      <c r="E91" s="24" t="s">
        <v>151</v>
      </c>
      <c r="F91" s="23" t="s">
        <v>202</v>
      </c>
      <c r="G91" s="27" t="s">
        <v>119</v>
      </c>
      <c r="H91" s="24" t="n">
        <v>2</v>
      </c>
      <c r="I91" s="23" t="s">
        <v>209</v>
      </c>
      <c r="J91" s="23" t="s">
        <v>211</v>
      </c>
      <c r="K91" s="23" t="s">
        <v>90</v>
      </c>
      <c r="L91" s="23" t="s">
        <v>210</v>
      </c>
    </row>
    <row r="92" customFormat="false" ht="21.75" hidden="false" customHeight="true" outlineLevel="0" collapsed="false">
      <c r="A92" s="22" t="s">
        <v>2161</v>
      </c>
      <c r="B92" s="23" t="s">
        <v>2411</v>
      </c>
      <c r="C92" s="24" t="s">
        <v>2403</v>
      </c>
      <c r="D92" s="24" t="s">
        <v>2140</v>
      </c>
      <c r="E92" s="24" t="s">
        <v>2390</v>
      </c>
      <c r="F92" s="23" t="s">
        <v>2404</v>
      </c>
      <c r="G92" s="26" t="s">
        <v>74</v>
      </c>
      <c r="H92" s="24" t="n">
        <v>5</v>
      </c>
      <c r="I92" s="23" t="s">
        <v>2412</v>
      </c>
      <c r="J92" s="23" t="s">
        <v>2414</v>
      </c>
      <c r="K92" s="23" t="s">
        <v>74</v>
      </c>
      <c r="L92" s="23" t="s">
        <v>2413</v>
      </c>
    </row>
    <row r="93" customFormat="false" ht="21.75" hidden="false" customHeight="true" outlineLevel="0" collapsed="false">
      <c r="A93" s="22" t="s">
        <v>2161</v>
      </c>
      <c r="B93" s="23" t="s">
        <v>2682</v>
      </c>
      <c r="C93" s="24" t="s">
        <v>2674</v>
      </c>
      <c r="D93" s="24" t="s">
        <v>2140</v>
      </c>
      <c r="E93" s="24" t="s">
        <v>2675</v>
      </c>
      <c r="F93" s="23" t="s">
        <v>2676</v>
      </c>
      <c r="G93" s="27" t="s">
        <v>119</v>
      </c>
      <c r="H93" s="24" t="n">
        <v>2</v>
      </c>
      <c r="I93" s="23" t="s">
        <v>2683</v>
      </c>
      <c r="J93" s="23" t="s">
        <v>2685</v>
      </c>
      <c r="K93" s="23" t="s">
        <v>74</v>
      </c>
      <c r="L93" s="23" t="s">
        <v>2684</v>
      </c>
    </row>
    <row r="94" customFormat="false" ht="21.75" hidden="false" customHeight="true" outlineLevel="0" collapsed="false">
      <c r="A94" s="22" t="s">
        <v>2161</v>
      </c>
      <c r="B94" s="23" t="s">
        <v>2175</v>
      </c>
      <c r="C94" s="24" t="s">
        <v>2166</v>
      </c>
      <c r="D94" s="24" t="s">
        <v>2140</v>
      </c>
      <c r="E94" s="24" t="s">
        <v>2167</v>
      </c>
      <c r="F94" s="23" t="s">
        <v>2168</v>
      </c>
      <c r="G94" s="26" t="s">
        <v>74</v>
      </c>
      <c r="H94" s="24" t="n">
        <v>5</v>
      </c>
      <c r="I94" s="23" t="s">
        <v>2176</v>
      </c>
      <c r="J94" s="23" t="s">
        <v>2178</v>
      </c>
      <c r="K94" s="23" t="s">
        <v>74</v>
      </c>
      <c r="L94" s="23" t="s">
        <v>2177</v>
      </c>
    </row>
    <row r="95" customFormat="false" ht="21.75" hidden="false" customHeight="true" outlineLevel="0" collapsed="false">
      <c r="A95" s="22" t="s">
        <v>2161</v>
      </c>
      <c r="B95" s="23" t="s">
        <v>2175</v>
      </c>
      <c r="C95" s="24" t="s">
        <v>2253</v>
      </c>
      <c r="D95" s="24" t="s">
        <v>2140</v>
      </c>
      <c r="E95" s="24" t="s">
        <v>2254</v>
      </c>
      <c r="F95" s="23" t="s">
        <v>2255</v>
      </c>
      <c r="G95" s="28" t="s">
        <v>73</v>
      </c>
      <c r="H95" s="24" t="n">
        <v>9</v>
      </c>
      <c r="I95" s="23" t="s">
        <v>2262</v>
      </c>
      <c r="J95" s="23" t="s">
        <v>2264</v>
      </c>
      <c r="K95" s="23" t="s">
        <v>119</v>
      </c>
      <c r="L95" s="23" t="s">
        <v>2263</v>
      </c>
    </row>
    <row r="96" customFormat="false" ht="21.75" hidden="false" customHeight="true" outlineLevel="0" collapsed="false">
      <c r="A96" s="22" t="s">
        <v>2161</v>
      </c>
      <c r="B96" s="23" t="s">
        <v>2175</v>
      </c>
      <c r="C96" s="24" t="s">
        <v>2266</v>
      </c>
      <c r="D96" s="24" t="s">
        <v>2140</v>
      </c>
      <c r="E96" s="24" t="s">
        <v>2254</v>
      </c>
      <c r="F96" s="23" t="s">
        <v>2267</v>
      </c>
      <c r="G96" s="25" t="s">
        <v>90</v>
      </c>
      <c r="H96" s="24" t="n">
        <v>8</v>
      </c>
      <c r="I96" s="23" t="s">
        <v>2273</v>
      </c>
      <c r="J96" s="23" t="s">
        <v>2275</v>
      </c>
      <c r="K96" s="23" t="s">
        <v>74</v>
      </c>
      <c r="L96" s="23" t="s">
        <v>2274</v>
      </c>
    </row>
    <row r="97" customFormat="false" ht="21.75" hidden="false" customHeight="true" outlineLevel="0" collapsed="false">
      <c r="A97" s="22" t="s">
        <v>2161</v>
      </c>
      <c r="B97" s="23" t="s">
        <v>2175</v>
      </c>
      <c r="C97" s="24" t="s">
        <v>2276</v>
      </c>
      <c r="D97" s="24" t="s">
        <v>2140</v>
      </c>
      <c r="E97" s="24" t="s">
        <v>2254</v>
      </c>
      <c r="F97" s="23" t="s">
        <v>2277</v>
      </c>
      <c r="G97" s="26" t="s">
        <v>74</v>
      </c>
      <c r="H97" s="24" t="n">
        <v>4</v>
      </c>
      <c r="I97" s="23" t="s">
        <v>621</v>
      </c>
      <c r="J97" s="23" t="s">
        <v>2285</v>
      </c>
      <c r="K97" s="23" t="s">
        <v>74</v>
      </c>
      <c r="L97" s="23" t="s">
        <v>2284</v>
      </c>
    </row>
    <row r="98" customFormat="false" ht="21.75" hidden="false" customHeight="true" outlineLevel="0" collapsed="false">
      <c r="A98" s="22" t="s">
        <v>2161</v>
      </c>
      <c r="B98" s="23" t="s">
        <v>2175</v>
      </c>
      <c r="C98" s="24" t="s">
        <v>2301</v>
      </c>
      <c r="D98" s="24" t="s">
        <v>2140</v>
      </c>
      <c r="E98" s="24" t="s">
        <v>2302</v>
      </c>
      <c r="F98" s="23" t="s">
        <v>2303</v>
      </c>
      <c r="G98" s="25" t="s">
        <v>90</v>
      </c>
      <c r="H98" s="24" t="n">
        <v>7</v>
      </c>
      <c r="I98" s="23" t="s">
        <v>2309</v>
      </c>
      <c r="J98" s="23" t="s">
        <v>2311</v>
      </c>
      <c r="K98" s="23" t="s">
        <v>74</v>
      </c>
      <c r="L98" s="23" t="s">
        <v>2310</v>
      </c>
    </row>
    <row r="99" customFormat="false" ht="21.75" hidden="false" customHeight="true" outlineLevel="0" collapsed="false">
      <c r="A99" s="22" t="s">
        <v>2161</v>
      </c>
      <c r="B99" s="23" t="s">
        <v>2175</v>
      </c>
      <c r="C99" s="24" t="s">
        <v>2700</v>
      </c>
      <c r="D99" s="24" t="s">
        <v>2140</v>
      </c>
      <c r="E99" s="24" t="s">
        <v>2688</v>
      </c>
      <c r="F99" s="23" t="s">
        <v>2701</v>
      </c>
      <c r="G99" s="25" t="s">
        <v>90</v>
      </c>
      <c r="H99" s="24" t="n">
        <v>7</v>
      </c>
      <c r="I99" s="23" t="s">
        <v>2708</v>
      </c>
      <c r="J99" s="23" t="s">
        <v>2710</v>
      </c>
      <c r="K99" s="23" t="s">
        <v>119</v>
      </c>
      <c r="L99" s="23" t="s">
        <v>2709</v>
      </c>
    </row>
    <row r="100" customFormat="false" ht="21.75" hidden="false" customHeight="true" outlineLevel="0" collapsed="false">
      <c r="A100" s="22" t="s">
        <v>2161</v>
      </c>
      <c r="B100" s="23" t="s">
        <v>2212</v>
      </c>
      <c r="C100" s="24" t="s">
        <v>2203</v>
      </c>
      <c r="D100" s="24" t="s">
        <v>2140</v>
      </c>
      <c r="E100" s="24" t="s">
        <v>2204</v>
      </c>
      <c r="F100" s="23" t="s">
        <v>2205</v>
      </c>
      <c r="G100" s="28" t="s">
        <v>73</v>
      </c>
      <c r="H100" s="24" t="n">
        <v>10</v>
      </c>
      <c r="I100" s="23" t="s">
        <v>2213</v>
      </c>
      <c r="J100" s="23" t="s">
        <v>2215</v>
      </c>
      <c r="K100" s="23" t="s">
        <v>119</v>
      </c>
      <c r="L100" s="23" t="s">
        <v>2214</v>
      </c>
    </row>
    <row r="101" customFormat="false" ht="21.75" hidden="false" customHeight="true" outlineLevel="0" collapsed="false">
      <c r="A101" s="22" t="s">
        <v>2161</v>
      </c>
      <c r="B101" s="23" t="s">
        <v>2212</v>
      </c>
      <c r="C101" s="24" t="s">
        <v>2353</v>
      </c>
      <c r="D101" s="24" t="s">
        <v>2140</v>
      </c>
      <c r="E101" s="24" t="s">
        <v>2354</v>
      </c>
      <c r="F101" s="23" t="s">
        <v>2355</v>
      </c>
      <c r="G101" s="25" t="s">
        <v>90</v>
      </c>
      <c r="H101" s="24" t="n">
        <v>8</v>
      </c>
      <c r="I101" s="23" t="s">
        <v>2361</v>
      </c>
      <c r="J101" s="23" t="s">
        <v>2363</v>
      </c>
      <c r="K101" s="23" t="s">
        <v>74</v>
      </c>
      <c r="L101" s="23" t="s">
        <v>2362</v>
      </c>
    </row>
    <row r="102" customFormat="false" ht="21.75" hidden="false" customHeight="true" outlineLevel="0" collapsed="false">
      <c r="A102" s="22" t="s">
        <v>2161</v>
      </c>
      <c r="B102" s="23" t="s">
        <v>2348</v>
      </c>
      <c r="C102" s="24" t="s">
        <v>2339</v>
      </c>
      <c r="D102" s="24" t="s">
        <v>2140</v>
      </c>
      <c r="E102" s="24" t="s">
        <v>2340</v>
      </c>
      <c r="F102" s="23" t="s">
        <v>2341</v>
      </c>
      <c r="G102" s="25" t="s">
        <v>90</v>
      </c>
      <c r="H102" s="24" t="n">
        <v>7</v>
      </c>
      <c r="I102" s="23" t="s">
        <v>2349</v>
      </c>
      <c r="J102" s="23" t="s">
        <v>2351</v>
      </c>
      <c r="K102" s="23" t="s">
        <v>119</v>
      </c>
      <c r="L102" s="23" t="s">
        <v>2350</v>
      </c>
    </row>
    <row r="103" customFormat="false" ht="21.75" hidden="false" customHeight="true" outlineLevel="0" collapsed="false">
      <c r="A103" s="22" t="s">
        <v>2161</v>
      </c>
      <c r="B103" s="23" t="s">
        <v>2334</v>
      </c>
      <c r="C103" s="24" t="s">
        <v>2325</v>
      </c>
      <c r="D103" s="24" t="s">
        <v>2140</v>
      </c>
      <c r="E103" s="24" t="s">
        <v>2326</v>
      </c>
      <c r="F103" s="23" t="s">
        <v>2327</v>
      </c>
      <c r="G103" s="26" t="s">
        <v>74</v>
      </c>
      <c r="H103" s="24" t="n">
        <v>5</v>
      </c>
      <c r="I103" s="23" t="s">
        <v>2335</v>
      </c>
      <c r="J103" s="23" t="s">
        <v>2337</v>
      </c>
      <c r="K103" s="23" t="s">
        <v>74</v>
      </c>
      <c r="L103" s="23" t="s">
        <v>2336</v>
      </c>
    </row>
    <row r="104" customFormat="false" ht="21.75" hidden="false" customHeight="true" outlineLevel="0" collapsed="false">
      <c r="A104" s="22" t="s">
        <v>2161</v>
      </c>
      <c r="B104" s="23" t="s">
        <v>2488</v>
      </c>
      <c r="C104" s="24" t="s">
        <v>2481</v>
      </c>
      <c r="D104" s="24" t="s">
        <v>2140</v>
      </c>
      <c r="E104" s="24" t="s">
        <v>2468</v>
      </c>
      <c r="F104" s="23" t="s">
        <v>2482</v>
      </c>
      <c r="G104" s="25" t="s">
        <v>90</v>
      </c>
      <c r="H104" s="24" t="n">
        <v>7</v>
      </c>
      <c r="I104" s="23" t="s">
        <v>2489</v>
      </c>
      <c r="J104" s="23" t="s">
        <v>2491</v>
      </c>
      <c r="K104" s="23" t="s">
        <v>74</v>
      </c>
      <c r="L104" s="23" t="s">
        <v>2490</v>
      </c>
    </row>
    <row r="105" customFormat="false" ht="21.75" hidden="false" customHeight="true" outlineLevel="0" collapsed="false">
      <c r="A105" s="22" t="s">
        <v>2161</v>
      </c>
      <c r="B105" s="23" t="s">
        <v>2199</v>
      </c>
      <c r="C105" s="24" t="s">
        <v>2191</v>
      </c>
      <c r="D105" s="24" t="s">
        <v>2140</v>
      </c>
      <c r="E105" s="24" t="s">
        <v>2192</v>
      </c>
      <c r="F105" s="23" t="s">
        <v>2193</v>
      </c>
      <c r="G105" s="28" t="s">
        <v>73</v>
      </c>
      <c r="H105" s="24" t="n">
        <v>9</v>
      </c>
      <c r="I105" s="23" t="s">
        <v>87</v>
      </c>
      <c r="J105" s="23" t="s">
        <v>2201</v>
      </c>
      <c r="K105" s="23" t="s">
        <v>119</v>
      </c>
      <c r="L105" s="23" t="s">
        <v>2200</v>
      </c>
    </row>
    <row r="106" customFormat="false" ht="21.75" hidden="false" customHeight="true" outlineLevel="0" collapsed="false">
      <c r="A106" s="22" t="s">
        <v>2161</v>
      </c>
      <c r="B106" s="23" t="s">
        <v>2320</v>
      </c>
      <c r="C106" s="24" t="s">
        <v>2313</v>
      </c>
      <c r="D106" s="24" t="s">
        <v>2140</v>
      </c>
      <c r="E106" s="24" t="s">
        <v>2288</v>
      </c>
      <c r="F106" s="23" t="s">
        <v>2314</v>
      </c>
      <c r="G106" s="25" t="s">
        <v>90</v>
      </c>
      <c r="H106" s="24" t="n">
        <v>7</v>
      </c>
      <c r="I106" s="23" t="s">
        <v>2321</v>
      </c>
      <c r="J106" s="23" t="s">
        <v>2323</v>
      </c>
      <c r="K106" s="23" t="s">
        <v>74</v>
      </c>
      <c r="L106" s="23" t="s">
        <v>2322</v>
      </c>
    </row>
    <row r="107" customFormat="false" ht="21.75" hidden="false" customHeight="true" outlineLevel="0" collapsed="false">
      <c r="A107" s="22" t="s">
        <v>2161</v>
      </c>
      <c r="B107" s="23" t="s">
        <v>2476</v>
      </c>
      <c r="C107" s="24" t="s">
        <v>2467</v>
      </c>
      <c r="D107" s="24" t="s">
        <v>2140</v>
      </c>
      <c r="E107" s="24" t="s">
        <v>2468</v>
      </c>
      <c r="F107" s="23" t="s">
        <v>2469</v>
      </c>
      <c r="G107" s="28" t="s">
        <v>73</v>
      </c>
      <c r="H107" s="24" t="n">
        <v>9</v>
      </c>
      <c r="I107" s="23" t="s">
        <v>2477</v>
      </c>
      <c r="J107" s="23" t="s">
        <v>2479</v>
      </c>
      <c r="K107" s="23" t="s">
        <v>119</v>
      </c>
      <c r="L107" s="23" t="s">
        <v>2478</v>
      </c>
    </row>
    <row r="108" customFormat="false" ht="21.75" hidden="false" customHeight="true" outlineLevel="0" collapsed="false">
      <c r="A108" s="22" t="s">
        <v>2161</v>
      </c>
      <c r="B108" s="23" t="s">
        <v>2958</v>
      </c>
      <c r="C108" s="24" t="s">
        <v>2950</v>
      </c>
      <c r="D108" s="24" t="s">
        <v>2713</v>
      </c>
      <c r="E108" s="24" t="s">
        <v>2925</v>
      </c>
      <c r="F108" s="23" t="s">
        <v>2951</v>
      </c>
      <c r="G108" s="25" t="s">
        <v>90</v>
      </c>
      <c r="H108" s="24" t="n">
        <v>7</v>
      </c>
      <c r="I108" s="23" t="s">
        <v>2959</v>
      </c>
      <c r="J108" s="23" t="s">
        <v>2961</v>
      </c>
      <c r="K108" s="23" t="s">
        <v>74</v>
      </c>
      <c r="L108" s="23" t="s">
        <v>2960</v>
      </c>
    </row>
    <row r="109" customFormat="false" ht="21.75" hidden="false" customHeight="true" outlineLevel="0" collapsed="false">
      <c r="A109" s="22" t="s">
        <v>2161</v>
      </c>
      <c r="B109" s="23" t="s">
        <v>2385</v>
      </c>
      <c r="C109" s="24" t="s">
        <v>2377</v>
      </c>
      <c r="D109" s="24" t="s">
        <v>2140</v>
      </c>
      <c r="E109" s="24" t="s">
        <v>2378</v>
      </c>
      <c r="F109" s="23" t="s">
        <v>2379</v>
      </c>
      <c r="G109" s="27" t="s">
        <v>119</v>
      </c>
      <c r="H109" s="24" t="n">
        <v>2</v>
      </c>
      <c r="I109" s="23" t="s">
        <v>2262</v>
      </c>
      <c r="J109" s="23" t="s">
        <v>2387</v>
      </c>
      <c r="K109" s="23" t="s">
        <v>74</v>
      </c>
      <c r="L109" s="23" t="s">
        <v>2386</v>
      </c>
    </row>
    <row r="110" customFormat="false" ht="21.75" hidden="false" customHeight="true" outlineLevel="0" collapsed="false">
      <c r="A110" s="22" t="s">
        <v>2161</v>
      </c>
      <c r="B110" s="23" t="s">
        <v>2564</v>
      </c>
      <c r="C110" s="24" t="s">
        <v>2557</v>
      </c>
      <c r="D110" s="24" t="s">
        <v>2140</v>
      </c>
      <c r="E110" s="24" t="s">
        <v>2517</v>
      </c>
      <c r="F110" s="23" t="s">
        <v>2558</v>
      </c>
      <c r="G110" s="27" t="s">
        <v>119</v>
      </c>
      <c r="H110" s="24" t="n">
        <v>2</v>
      </c>
      <c r="I110" s="23" t="s">
        <v>2565</v>
      </c>
      <c r="J110" s="23" t="s">
        <v>2567</v>
      </c>
      <c r="K110" s="23" t="s">
        <v>74</v>
      </c>
      <c r="L110" s="23" t="s">
        <v>2566</v>
      </c>
    </row>
    <row r="111" customFormat="false" ht="21.75" hidden="false" customHeight="true" outlineLevel="0" collapsed="false">
      <c r="A111" s="22" t="s">
        <v>2161</v>
      </c>
      <c r="B111" s="23" t="s">
        <v>2525</v>
      </c>
      <c r="C111" s="24" t="s">
        <v>2516</v>
      </c>
      <c r="D111" s="24" t="s">
        <v>2140</v>
      </c>
      <c r="E111" s="24" t="s">
        <v>2517</v>
      </c>
      <c r="F111" s="23" t="s">
        <v>2518</v>
      </c>
      <c r="G111" s="28" t="s">
        <v>73</v>
      </c>
      <c r="H111" s="24" t="n">
        <v>9</v>
      </c>
      <c r="I111" s="23" t="s">
        <v>2526</v>
      </c>
      <c r="J111" s="23" t="s">
        <v>2528</v>
      </c>
      <c r="K111" s="23" t="s">
        <v>119</v>
      </c>
      <c r="L111" s="23" t="s">
        <v>2527</v>
      </c>
    </row>
    <row r="112" customFormat="false" ht="21.75" hidden="false" customHeight="true" outlineLevel="0" collapsed="false">
      <c r="A112" s="22" t="s">
        <v>2161</v>
      </c>
      <c r="B112" s="23" t="s">
        <v>2398</v>
      </c>
      <c r="C112" s="24" t="s">
        <v>2389</v>
      </c>
      <c r="D112" s="24" t="s">
        <v>2140</v>
      </c>
      <c r="E112" s="24" t="s">
        <v>2390</v>
      </c>
      <c r="F112" s="23" t="s">
        <v>2391</v>
      </c>
      <c r="G112" s="25" t="s">
        <v>90</v>
      </c>
      <c r="H112" s="24" t="n">
        <v>7</v>
      </c>
      <c r="I112" s="23" t="s">
        <v>2399</v>
      </c>
      <c r="J112" s="23" t="s">
        <v>2401</v>
      </c>
      <c r="K112" s="23" t="s">
        <v>119</v>
      </c>
      <c r="L112" s="23" t="s">
        <v>2400</v>
      </c>
    </row>
    <row r="113" customFormat="false" ht="21.75" hidden="false" customHeight="true" outlineLevel="0" collapsed="false">
      <c r="A113" s="22" t="s">
        <v>2161</v>
      </c>
      <c r="B113" s="23" t="s">
        <v>2236</v>
      </c>
      <c r="C113" s="24" t="s">
        <v>2229</v>
      </c>
      <c r="D113" s="24" t="s">
        <v>2140</v>
      </c>
      <c r="E113" s="24" t="s">
        <v>2204</v>
      </c>
      <c r="F113" s="23" t="s">
        <v>2230</v>
      </c>
      <c r="G113" s="26" t="s">
        <v>74</v>
      </c>
      <c r="H113" s="24" t="n">
        <v>5</v>
      </c>
      <c r="I113" s="23" t="s">
        <v>2237</v>
      </c>
      <c r="J113" s="23" t="s">
        <v>2239</v>
      </c>
      <c r="K113" s="23" t="s">
        <v>90</v>
      </c>
      <c r="L113" s="23" t="s">
        <v>2238</v>
      </c>
    </row>
    <row r="114" customFormat="false" ht="21.75" hidden="false" customHeight="true" outlineLevel="0" collapsed="false">
      <c r="A114" s="22" t="s">
        <v>2161</v>
      </c>
      <c r="B114" s="23" t="s">
        <v>3574</v>
      </c>
      <c r="C114" s="24" t="s">
        <v>3566</v>
      </c>
      <c r="D114" s="24" t="s">
        <v>3291</v>
      </c>
      <c r="E114" s="24" t="s">
        <v>3567</v>
      </c>
      <c r="F114" s="23" t="s">
        <v>3568</v>
      </c>
      <c r="G114" s="25" t="s">
        <v>90</v>
      </c>
      <c r="H114" s="24" t="n">
        <v>6</v>
      </c>
      <c r="I114" s="23" t="s">
        <v>3575</v>
      </c>
      <c r="J114" s="23" t="s">
        <v>3577</v>
      </c>
      <c r="K114" s="23" t="s">
        <v>74</v>
      </c>
      <c r="L114" s="23" t="s">
        <v>3576</v>
      </c>
    </row>
    <row r="115" customFormat="false" ht="21.75" hidden="false" customHeight="true" outlineLevel="0" collapsed="false">
      <c r="A115" s="22" t="s">
        <v>2161</v>
      </c>
      <c r="B115" s="23" t="s">
        <v>2148</v>
      </c>
      <c r="C115" s="24" t="s">
        <v>2139</v>
      </c>
      <c r="D115" s="24" t="s">
        <v>2140</v>
      </c>
      <c r="E115" s="24" t="s">
        <v>2141</v>
      </c>
      <c r="F115" s="23" t="s">
        <v>2142</v>
      </c>
      <c r="G115" s="28" t="s">
        <v>73</v>
      </c>
      <c r="H115" s="24" t="n">
        <v>9</v>
      </c>
      <c r="I115" s="23" t="s">
        <v>2149</v>
      </c>
      <c r="J115" s="23" t="s">
        <v>2151</v>
      </c>
      <c r="K115" s="23" t="s">
        <v>119</v>
      </c>
      <c r="L115" s="23" t="s">
        <v>2150</v>
      </c>
    </row>
    <row r="116" customFormat="false" ht="21.75" hidden="false" customHeight="true" outlineLevel="0" collapsed="false">
      <c r="A116" s="22" t="s">
        <v>2161</v>
      </c>
      <c r="B116" s="23" t="s">
        <v>2148</v>
      </c>
      <c r="C116" s="24" t="s">
        <v>2180</v>
      </c>
      <c r="D116" s="24" t="s">
        <v>2140</v>
      </c>
      <c r="E116" s="24" t="s">
        <v>2141</v>
      </c>
      <c r="F116" s="23" t="s">
        <v>2181</v>
      </c>
      <c r="G116" s="25" t="s">
        <v>90</v>
      </c>
      <c r="H116" s="24" t="n">
        <v>8</v>
      </c>
      <c r="I116" s="23" t="s">
        <v>2187</v>
      </c>
      <c r="J116" s="23" t="s">
        <v>2189</v>
      </c>
      <c r="K116" s="23" t="s">
        <v>74</v>
      </c>
      <c r="L116" s="23" t="s">
        <v>2188</v>
      </c>
    </row>
    <row r="117" customFormat="false" ht="21.75" hidden="false" customHeight="true" outlineLevel="0" collapsed="false">
      <c r="A117" s="22" t="s">
        <v>2161</v>
      </c>
      <c r="B117" s="23" t="s">
        <v>2148</v>
      </c>
      <c r="C117" s="24" t="s">
        <v>2217</v>
      </c>
      <c r="D117" s="24" t="s">
        <v>2140</v>
      </c>
      <c r="E117" s="24" t="s">
        <v>2204</v>
      </c>
      <c r="F117" s="23" t="s">
        <v>2218</v>
      </c>
      <c r="G117" s="26" t="s">
        <v>74</v>
      </c>
      <c r="H117" s="24" t="n">
        <v>5</v>
      </c>
      <c r="I117" s="23" t="s">
        <v>2225</v>
      </c>
      <c r="J117" s="23" t="s">
        <v>2227</v>
      </c>
      <c r="K117" s="23" t="s">
        <v>74</v>
      </c>
      <c r="L117" s="23" t="s">
        <v>2226</v>
      </c>
    </row>
    <row r="118" customFormat="false" ht="21.75" hidden="false" customHeight="true" outlineLevel="0" collapsed="false">
      <c r="A118" s="22" t="s">
        <v>2161</v>
      </c>
      <c r="B118" s="23" t="s">
        <v>2148</v>
      </c>
      <c r="C118" s="24" t="s">
        <v>2687</v>
      </c>
      <c r="D118" s="24" t="s">
        <v>2140</v>
      </c>
      <c r="E118" s="24" t="s">
        <v>2688</v>
      </c>
      <c r="F118" s="23" t="s">
        <v>2689</v>
      </c>
      <c r="G118" s="27" t="s">
        <v>119</v>
      </c>
      <c r="H118" s="24" t="n">
        <v>2</v>
      </c>
      <c r="I118" s="23" t="s">
        <v>2695</v>
      </c>
      <c r="J118" s="23" t="s">
        <v>2698</v>
      </c>
      <c r="K118" s="23" t="s">
        <v>90</v>
      </c>
      <c r="L118" s="23" t="s">
        <v>2697</v>
      </c>
    </row>
    <row r="119" customFormat="false" ht="21.75" hidden="false" customHeight="true" outlineLevel="0" collapsed="false">
      <c r="A119" s="22" t="s">
        <v>2161</v>
      </c>
      <c r="B119" s="23" t="s">
        <v>2656</v>
      </c>
      <c r="C119" s="24" t="s">
        <v>2648</v>
      </c>
      <c r="D119" s="24" t="s">
        <v>2140</v>
      </c>
      <c r="E119" s="24" t="s">
        <v>2649</v>
      </c>
      <c r="F119" s="23" t="s">
        <v>2650</v>
      </c>
      <c r="G119" s="25" t="s">
        <v>90</v>
      </c>
      <c r="H119" s="24" t="n">
        <v>8</v>
      </c>
      <c r="I119" s="23" t="s">
        <v>2657</v>
      </c>
      <c r="J119" s="23" t="s">
        <v>2659</v>
      </c>
      <c r="K119" s="23" t="s">
        <v>119</v>
      </c>
      <c r="L119" s="23" t="s">
        <v>2658</v>
      </c>
    </row>
    <row r="120" customFormat="false" ht="21.75" hidden="false" customHeight="true" outlineLevel="0" collapsed="false">
      <c r="A120" s="22" t="s">
        <v>8271</v>
      </c>
      <c r="B120" s="23" t="s">
        <v>3850</v>
      </c>
      <c r="C120" s="24" t="s">
        <v>3841</v>
      </c>
      <c r="D120" s="24" t="s">
        <v>3842</v>
      </c>
      <c r="E120" s="24" t="s">
        <v>3843</v>
      </c>
      <c r="F120" s="23" t="s">
        <v>3844</v>
      </c>
      <c r="G120" s="25" t="s">
        <v>90</v>
      </c>
      <c r="H120" s="24" t="n">
        <v>7</v>
      </c>
      <c r="I120" s="23" t="s">
        <v>3851</v>
      </c>
      <c r="J120" s="23" t="s">
        <v>3853</v>
      </c>
      <c r="K120" s="23" t="s">
        <v>74</v>
      </c>
      <c r="L120" s="23" t="s">
        <v>3852</v>
      </c>
    </row>
    <row r="121" customFormat="false" ht="21.75" hidden="false" customHeight="true" outlineLevel="0" collapsed="false">
      <c r="A121" s="22" t="s">
        <v>8271</v>
      </c>
      <c r="B121" s="23" t="s">
        <v>3850</v>
      </c>
      <c r="C121" s="24" t="s">
        <v>3855</v>
      </c>
      <c r="D121" s="24" t="s">
        <v>3842</v>
      </c>
      <c r="E121" s="24" t="s">
        <v>3843</v>
      </c>
      <c r="F121" s="23" t="s">
        <v>3856</v>
      </c>
      <c r="G121" s="25" t="s">
        <v>90</v>
      </c>
      <c r="H121" s="24" t="n">
        <v>7</v>
      </c>
      <c r="I121" s="23" t="s">
        <v>3862</v>
      </c>
      <c r="J121" s="23" t="s">
        <v>3864</v>
      </c>
      <c r="K121" s="23" t="s">
        <v>74</v>
      </c>
      <c r="L121" s="23" t="s">
        <v>3863</v>
      </c>
    </row>
    <row r="122" customFormat="false" ht="21.75" hidden="false" customHeight="true" outlineLevel="0" collapsed="false">
      <c r="A122" s="22" t="s">
        <v>8271</v>
      </c>
      <c r="B122" s="23" t="s">
        <v>4171</v>
      </c>
      <c r="C122" s="24" t="s">
        <v>4162</v>
      </c>
      <c r="D122" s="24" t="s">
        <v>3842</v>
      </c>
      <c r="E122" s="24" t="s">
        <v>4163</v>
      </c>
      <c r="F122" s="23" t="s">
        <v>4164</v>
      </c>
      <c r="G122" s="26" t="s">
        <v>74</v>
      </c>
      <c r="H122" s="24" t="n">
        <v>5</v>
      </c>
      <c r="I122" s="23" t="s">
        <v>4172</v>
      </c>
      <c r="J122" s="23" t="s">
        <v>4174</v>
      </c>
      <c r="K122" s="23" t="s">
        <v>74</v>
      </c>
      <c r="L122" s="23" t="s">
        <v>4173</v>
      </c>
    </row>
    <row r="123" customFormat="false" ht="21.75" hidden="false" customHeight="true" outlineLevel="0" collapsed="false">
      <c r="A123" s="22" t="s">
        <v>8271</v>
      </c>
      <c r="B123" s="23" t="s">
        <v>4031</v>
      </c>
      <c r="C123" s="24" t="s">
        <v>4022</v>
      </c>
      <c r="D123" s="24" t="s">
        <v>3842</v>
      </c>
      <c r="E123" s="24" t="s">
        <v>4023</v>
      </c>
      <c r="F123" s="23" t="s">
        <v>4024</v>
      </c>
      <c r="G123" s="27" t="s">
        <v>119</v>
      </c>
      <c r="H123" s="24" t="n">
        <v>2</v>
      </c>
      <c r="I123" s="23" t="s">
        <v>4032</v>
      </c>
      <c r="J123" s="23" t="s">
        <v>4034</v>
      </c>
      <c r="K123" s="23" t="s">
        <v>90</v>
      </c>
      <c r="L123" s="23" t="s">
        <v>4033</v>
      </c>
    </row>
    <row r="124" customFormat="false" ht="21.75" hidden="false" customHeight="true" outlineLevel="0" collapsed="false">
      <c r="A124" s="22" t="s">
        <v>8271</v>
      </c>
      <c r="B124" s="23" t="s">
        <v>2630</v>
      </c>
      <c r="C124" s="24" t="s">
        <v>2621</v>
      </c>
      <c r="D124" s="24" t="s">
        <v>2140</v>
      </c>
      <c r="E124" s="24" t="s">
        <v>2622</v>
      </c>
      <c r="F124" s="23" t="s">
        <v>2623</v>
      </c>
      <c r="G124" s="25" t="s">
        <v>90</v>
      </c>
      <c r="H124" s="24" t="n">
        <v>8</v>
      </c>
      <c r="I124" s="23" t="s">
        <v>2631</v>
      </c>
      <c r="J124" s="23" t="s">
        <v>2633</v>
      </c>
      <c r="K124" s="23" t="s">
        <v>119</v>
      </c>
      <c r="L124" s="23" t="s">
        <v>2632</v>
      </c>
    </row>
    <row r="125" customFormat="false" ht="21.75" hidden="false" customHeight="true" outlineLevel="0" collapsed="false">
      <c r="A125" s="22" t="s">
        <v>8271</v>
      </c>
      <c r="B125" s="23" t="s">
        <v>2630</v>
      </c>
      <c r="C125" s="24" t="s">
        <v>4112</v>
      </c>
      <c r="D125" s="24" t="s">
        <v>3842</v>
      </c>
      <c r="E125" s="24" t="s">
        <v>4100</v>
      </c>
      <c r="F125" s="23" t="s">
        <v>4113</v>
      </c>
      <c r="G125" s="28" t="s">
        <v>73</v>
      </c>
      <c r="H125" s="24" t="n">
        <v>9</v>
      </c>
      <c r="I125" s="23" t="s">
        <v>4119</v>
      </c>
      <c r="J125" s="23" t="s">
        <v>4121</v>
      </c>
      <c r="K125" s="23" t="s">
        <v>119</v>
      </c>
      <c r="L125" s="23" t="s">
        <v>4120</v>
      </c>
    </row>
    <row r="126" customFormat="false" ht="15" hidden="false" customHeight="true" outlineLevel="0" collapsed="false">
      <c r="A126" s="22" t="s">
        <v>8271</v>
      </c>
      <c r="B126" s="23" t="s">
        <v>3874</v>
      </c>
      <c r="C126" s="24" t="s">
        <v>3865</v>
      </c>
      <c r="D126" s="24" t="s">
        <v>3842</v>
      </c>
      <c r="E126" s="24" t="s">
        <v>3866</v>
      </c>
      <c r="F126" s="23" t="s">
        <v>3867</v>
      </c>
      <c r="G126" s="26" t="s">
        <v>74</v>
      </c>
      <c r="H126" s="24" t="n">
        <v>5</v>
      </c>
      <c r="I126" s="23" t="s">
        <v>3875</v>
      </c>
      <c r="J126" s="23" t="s">
        <v>3877</v>
      </c>
      <c r="K126" s="23" t="s">
        <v>74</v>
      </c>
      <c r="L126" s="23" t="s">
        <v>3876</v>
      </c>
    </row>
    <row r="127" customFormat="false" ht="21.75" hidden="false" customHeight="true" outlineLevel="0" collapsed="false">
      <c r="A127" s="22" t="s">
        <v>8271</v>
      </c>
      <c r="B127" s="23" t="s">
        <v>3874</v>
      </c>
      <c r="C127" s="24" t="s">
        <v>3879</v>
      </c>
      <c r="D127" s="24" t="s">
        <v>3842</v>
      </c>
      <c r="E127" s="24" t="s">
        <v>3880</v>
      </c>
      <c r="F127" s="23" t="s">
        <v>3881</v>
      </c>
      <c r="G127" s="26" t="s">
        <v>74</v>
      </c>
      <c r="H127" s="24" t="n">
        <v>4</v>
      </c>
      <c r="I127" s="23" t="s">
        <v>3888</v>
      </c>
      <c r="J127" s="23" t="s">
        <v>3890</v>
      </c>
      <c r="K127" s="23" t="s">
        <v>90</v>
      </c>
      <c r="L127" s="23" t="s">
        <v>3889</v>
      </c>
    </row>
    <row r="128" customFormat="false" ht="21.75" hidden="false" customHeight="true" outlineLevel="0" collapsed="false">
      <c r="A128" s="22" t="s">
        <v>8271</v>
      </c>
      <c r="B128" s="23" t="s">
        <v>4083</v>
      </c>
      <c r="C128" s="24" t="s">
        <v>4075</v>
      </c>
      <c r="D128" s="24" t="s">
        <v>3842</v>
      </c>
      <c r="E128" s="24" t="s">
        <v>4076</v>
      </c>
      <c r="F128" s="23" t="s">
        <v>4077</v>
      </c>
      <c r="G128" s="25" t="s">
        <v>90</v>
      </c>
      <c r="H128" s="24" t="n">
        <v>7</v>
      </c>
      <c r="I128" s="23" t="s">
        <v>4084</v>
      </c>
      <c r="J128" s="23" t="s">
        <v>4086</v>
      </c>
      <c r="K128" s="23" t="s">
        <v>74</v>
      </c>
      <c r="L128" s="23" t="s">
        <v>4085</v>
      </c>
    </row>
    <row r="129" customFormat="false" ht="21.75" hidden="false" customHeight="true" outlineLevel="0" collapsed="false">
      <c r="A129" s="22" t="s">
        <v>8382</v>
      </c>
      <c r="B129" s="23" t="s">
        <v>4017</v>
      </c>
      <c r="C129" s="24" t="s">
        <v>4010</v>
      </c>
      <c r="D129" s="24" t="s">
        <v>3842</v>
      </c>
      <c r="E129" s="24" t="s">
        <v>3998</v>
      </c>
      <c r="F129" s="23" t="s">
        <v>4011</v>
      </c>
      <c r="G129" s="25" t="s">
        <v>90</v>
      </c>
      <c r="H129" s="24" t="n">
        <v>8</v>
      </c>
      <c r="I129" s="23" t="s">
        <v>4018</v>
      </c>
      <c r="J129" s="23" t="s">
        <v>4020</v>
      </c>
      <c r="K129" s="23" t="s">
        <v>119</v>
      </c>
      <c r="L129" s="23" t="s">
        <v>4019</v>
      </c>
    </row>
    <row r="130" customFormat="false" ht="21.75" hidden="false" customHeight="true" outlineLevel="0" collapsed="false">
      <c r="A130" s="22" t="s">
        <v>8382</v>
      </c>
      <c r="B130" s="23" t="s">
        <v>3951</v>
      </c>
      <c r="C130" s="24" t="s">
        <v>3944</v>
      </c>
      <c r="D130" s="24" t="s">
        <v>3842</v>
      </c>
      <c r="E130" s="24" t="s">
        <v>3931</v>
      </c>
      <c r="F130" s="23" t="s">
        <v>3945</v>
      </c>
      <c r="G130" s="28" t="s">
        <v>73</v>
      </c>
      <c r="H130" s="24" t="n">
        <v>9</v>
      </c>
      <c r="I130" s="23" t="s">
        <v>3952</v>
      </c>
      <c r="J130" s="23" t="s">
        <v>3954</v>
      </c>
      <c r="K130" s="23" t="s">
        <v>119</v>
      </c>
      <c r="L130" s="23" t="s">
        <v>3953</v>
      </c>
    </row>
    <row r="131" customFormat="false" ht="21.75" hidden="false" customHeight="true" outlineLevel="0" collapsed="false">
      <c r="A131" s="22" t="s">
        <v>8382</v>
      </c>
      <c r="B131" s="23" t="s">
        <v>4057</v>
      </c>
      <c r="C131" s="24" t="s">
        <v>4049</v>
      </c>
      <c r="D131" s="24" t="s">
        <v>3842</v>
      </c>
      <c r="E131" s="24" t="s">
        <v>4050</v>
      </c>
      <c r="F131" s="23" t="s">
        <v>4051</v>
      </c>
      <c r="G131" s="26" t="s">
        <v>74</v>
      </c>
      <c r="H131" s="24" t="n">
        <v>4</v>
      </c>
      <c r="I131" s="23" t="s">
        <v>4058</v>
      </c>
      <c r="J131" s="23" t="s">
        <v>4060</v>
      </c>
      <c r="K131" s="23" t="s">
        <v>90</v>
      </c>
      <c r="L131" s="23" t="s">
        <v>4059</v>
      </c>
    </row>
    <row r="132" customFormat="false" ht="21.75" hidden="false" customHeight="true" outlineLevel="0" collapsed="false">
      <c r="A132" s="22" t="s">
        <v>8382</v>
      </c>
      <c r="B132" s="23" t="s">
        <v>3912</v>
      </c>
      <c r="C132" s="24" t="s">
        <v>3905</v>
      </c>
      <c r="D132" s="24" t="s">
        <v>3842</v>
      </c>
      <c r="E132" s="24" t="s">
        <v>3866</v>
      </c>
      <c r="F132" s="23" t="s">
        <v>3906</v>
      </c>
      <c r="G132" s="28" t="s">
        <v>73</v>
      </c>
      <c r="H132" s="24" t="n">
        <v>9</v>
      </c>
      <c r="I132" s="23" t="s">
        <v>3913</v>
      </c>
      <c r="J132" s="23" t="s">
        <v>3915</v>
      </c>
      <c r="K132" s="23" t="s">
        <v>119</v>
      </c>
      <c r="L132" s="23" t="s">
        <v>3914</v>
      </c>
    </row>
    <row r="133" customFormat="false" ht="21.75" hidden="false" customHeight="true" outlineLevel="0" collapsed="false">
      <c r="A133" s="22" t="s">
        <v>8297</v>
      </c>
      <c r="B133" s="23" t="s">
        <v>1983</v>
      </c>
      <c r="C133" s="24" t="s">
        <v>1975</v>
      </c>
      <c r="D133" s="24" t="s">
        <v>1500</v>
      </c>
      <c r="E133" s="24" t="s">
        <v>1976</v>
      </c>
      <c r="F133" s="23" t="s">
        <v>1977</v>
      </c>
      <c r="G133" s="27" t="s">
        <v>119</v>
      </c>
      <c r="H133" s="24" t="n">
        <v>2</v>
      </c>
      <c r="I133" s="23" t="s">
        <v>1984</v>
      </c>
      <c r="J133" s="23" t="s">
        <v>1986</v>
      </c>
      <c r="K133" s="23" t="s">
        <v>90</v>
      </c>
      <c r="L133" s="23" t="s">
        <v>1985</v>
      </c>
    </row>
    <row r="134" customFormat="false" ht="21.75" hidden="false" customHeight="true" outlineLevel="0" collapsed="false">
      <c r="A134" s="22" t="s">
        <v>8388</v>
      </c>
      <c r="B134" s="23" t="s">
        <v>675</v>
      </c>
      <c r="C134" s="24" t="s">
        <v>666</v>
      </c>
      <c r="D134" s="24" t="s">
        <v>59</v>
      </c>
      <c r="E134" s="24" t="s">
        <v>667</v>
      </c>
      <c r="F134" s="23" t="s">
        <v>668</v>
      </c>
      <c r="G134" s="26" t="s">
        <v>74</v>
      </c>
      <c r="H134" s="24" t="n">
        <v>5</v>
      </c>
      <c r="I134" s="23" t="s">
        <v>676</v>
      </c>
      <c r="J134" s="23" t="s">
        <v>680</v>
      </c>
      <c r="K134" s="23" t="s">
        <v>119</v>
      </c>
      <c r="L134" s="23" t="s">
        <v>679</v>
      </c>
    </row>
    <row r="135" customFormat="false" ht="21.75" hidden="false" customHeight="true" outlineLevel="0" collapsed="false">
      <c r="A135" s="22" t="s">
        <v>8388</v>
      </c>
      <c r="B135" s="23" t="s">
        <v>781</v>
      </c>
      <c r="C135" s="24" t="s">
        <v>773</v>
      </c>
      <c r="D135" s="24" t="s">
        <v>59</v>
      </c>
      <c r="E135" s="24" t="s">
        <v>774</v>
      </c>
      <c r="F135" s="23" t="s">
        <v>775</v>
      </c>
      <c r="G135" s="26" t="s">
        <v>74</v>
      </c>
      <c r="H135" s="24" t="n">
        <v>5</v>
      </c>
      <c r="I135" s="23" t="s">
        <v>782</v>
      </c>
      <c r="J135" s="23" t="s">
        <v>784</v>
      </c>
      <c r="K135" s="23" t="s">
        <v>74</v>
      </c>
      <c r="L135" s="23" t="s">
        <v>783</v>
      </c>
    </row>
    <row r="136" customFormat="false" ht="21.75" hidden="false" customHeight="true" outlineLevel="0" collapsed="false">
      <c r="A136" s="22" t="s">
        <v>8388</v>
      </c>
      <c r="B136" s="23" t="s">
        <v>781</v>
      </c>
      <c r="C136" s="24" t="s">
        <v>800</v>
      </c>
      <c r="D136" s="24" t="s">
        <v>59</v>
      </c>
      <c r="E136" s="24" t="s">
        <v>774</v>
      </c>
      <c r="F136" s="23" t="s">
        <v>801</v>
      </c>
      <c r="G136" s="28" t="s">
        <v>73</v>
      </c>
      <c r="H136" s="24" t="n">
        <v>10</v>
      </c>
      <c r="I136" s="23" t="s">
        <v>807</v>
      </c>
      <c r="J136" s="23" t="s">
        <v>809</v>
      </c>
      <c r="K136" s="23" t="s">
        <v>119</v>
      </c>
      <c r="L136" s="23" t="s">
        <v>808</v>
      </c>
    </row>
    <row r="137" customFormat="false" ht="21.75" hidden="false" customHeight="true" outlineLevel="0" collapsed="false">
      <c r="A137" s="22" t="s">
        <v>8388</v>
      </c>
      <c r="B137" s="23" t="s">
        <v>794</v>
      </c>
      <c r="C137" s="24" t="s">
        <v>786</v>
      </c>
      <c r="D137" s="24" t="s">
        <v>59</v>
      </c>
      <c r="E137" s="24" t="s">
        <v>774</v>
      </c>
      <c r="F137" s="23" t="s">
        <v>787</v>
      </c>
      <c r="G137" s="25" t="s">
        <v>90</v>
      </c>
      <c r="H137" s="24" t="n">
        <v>8</v>
      </c>
      <c r="I137" s="23" t="s">
        <v>795</v>
      </c>
      <c r="J137" s="23" t="s">
        <v>798</v>
      </c>
      <c r="K137" s="23" t="s">
        <v>119</v>
      </c>
      <c r="L137" s="23" t="s">
        <v>797</v>
      </c>
    </row>
    <row r="138" customFormat="false" ht="21.75" hidden="false" customHeight="true" outlineLevel="0" collapsed="false">
      <c r="A138" s="22" t="s">
        <v>8399</v>
      </c>
      <c r="B138" s="23" t="s">
        <v>2084</v>
      </c>
      <c r="C138" s="24" t="s">
        <v>2076</v>
      </c>
      <c r="D138" s="24" t="s">
        <v>1500</v>
      </c>
      <c r="E138" s="24" t="s">
        <v>2077</v>
      </c>
      <c r="F138" s="23" t="s">
        <v>2078</v>
      </c>
      <c r="G138" s="26" t="s">
        <v>74</v>
      </c>
      <c r="H138" s="24" t="n">
        <v>5</v>
      </c>
      <c r="I138" s="23" t="s">
        <v>2085</v>
      </c>
      <c r="J138" s="23" t="s">
        <v>2087</v>
      </c>
      <c r="K138" s="23" t="s">
        <v>74</v>
      </c>
      <c r="L138" s="23" t="s">
        <v>2086</v>
      </c>
    </row>
    <row r="139" customFormat="false" ht="21.75" hidden="false" customHeight="true" outlineLevel="0" collapsed="false">
      <c r="A139" s="22" t="s">
        <v>8399</v>
      </c>
      <c r="B139" s="23" t="s">
        <v>2084</v>
      </c>
      <c r="C139" s="24" t="s">
        <v>2089</v>
      </c>
      <c r="D139" s="24" t="s">
        <v>1500</v>
      </c>
      <c r="E139" s="24" t="s">
        <v>2077</v>
      </c>
      <c r="F139" s="23" t="s">
        <v>2090</v>
      </c>
      <c r="G139" s="27" t="s">
        <v>119</v>
      </c>
      <c r="H139" s="24" t="n">
        <v>2</v>
      </c>
      <c r="I139" s="23" t="s">
        <v>2096</v>
      </c>
      <c r="J139" s="23" t="s">
        <v>2098</v>
      </c>
      <c r="K139" s="23" t="s">
        <v>90</v>
      </c>
      <c r="L139" s="23" t="s">
        <v>2097</v>
      </c>
    </row>
    <row r="140" customFormat="false" ht="21.75" hidden="false" customHeight="true" outlineLevel="0" collapsed="false">
      <c r="A140" s="22" t="s">
        <v>8399</v>
      </c>
      <c r="B140" s="23" t="s">
        <v>2107</v>
      </c>
      <c r="C140" s="24" t="s">
        <v>2100</v>
      </c>
      <c r="D140" s="24" t="s">
        <v>1500</v>
      </c>
      <c r="E140" s="24" t="s">
        <v>2077</v>
      </c>
      <c r="F140" s="23" t="s">
        <v>2101</v>
      </c>
      <c r="G140" s="25" t="s">
        <v>90</v>
      </c>
      <c r="H140" s="24" t="n">
        <v>7</v>
      </c>
      <c r="I140" s="23" t="s">
        <v>2108</v>
      </c>
      <c r="J140" s="23" t="s">
        <v>2110</v>
      </c>
      <c r="K140" s="23" t="s">
        <v>74</v>
      </c>
      <c r="L140" s="23" t="s">
        <v>2109</v>
      </c>
    </row>
    <row r="141" customFormat="false" ht="21.75" hidden="false" customHeight="true" outlineLevel="0" collapsed="false">
      <c r="A141" s="22" t="s">
        <v>8389</v>
      </c>
      <c r="B141" s="23" t="s">
        <v>2578</v>
      </c>
      <c r="C141" s="24" t="s">
        <v>2569</v>
      </c>
      <c r="D141" s="24" t="s">
        <v>2140</v>
      </c>
      <c r="E141" s="24" t="s">
        <v>2570</v>
      </c>
      <c r="F141" s="23" t="s">
        <v>2571</v>
      </c>
      <c r="G141" s="25" t="s">
        <v>90</v>
      </c>
      <c r="H141" s="24" t="n">
        <v>7</v>
      </c>
      <c r="I141" s="23" t="s">
        <v>2579</v>
      </c>
      <c r="J141" s="23" t="s">
        <v>2581</v>
      </c>
      <c r="K141" s="23" t="s">
        <v>119</v>
      </c>
      <c r="L141" s="23" t="s">
        <v>2580</v>
      </c>
    </row>
    <row r="142" customFormat="false" ht="21.75" hidden="false" customHeight="true" outlineLevel="0" collapsed="false">
      <c r="A142" s="22" t="s">
        <v>8389</v>
      </c>
      <c r="B142" s="23" t="s">
        <v>2539</v>
      </c>
      <c r="C142" s="24" t="s">
        <v>2530</v>
      </c>
      <c r="D142" s="24" t="s">
        <v>2140</v>
      </c>
      <c r="E142" s="24" t="s">
        <v>2531</v>
      </c>
      <c r="F142" s="23" t="s">
        <v>2532</v>
      </c>
      <c r="G142" s="26" t="s">
        <v>74</v>
      </c>
      <c r="H142" s="24" t="n">
        <v>4</v>
      </c>
      <c r="I142" s="23" t="s">
        <v>2540</v>
      </c>
      <c r="J142" s="23" t="s">
        <v>2542</v>
      </c>
      <c r="K142" s="23" t="s">
        <v>74</v>
      </c>
      <c r="L142" s="23" t="s">
        <v>2541</v>
      </c>
    </row>
    <row r="143" customFormat="false" ht="32.25" hidden="false" customHeight="true" outlineLevel="0" collapsed="false">
      <c r="A143" s="22" t="s">
        <v>8389</v>
      </c>
      <c r="B143" s="23" t="s">
        <v>2590</v>
      </c>
      <c r="C143" s="24" t="s">
        <v>2583</v>
      </c>
      <c r="D143" s="24" t="s">
        <v>2140</v>
      </c>
      <c r="E143" s="24" t="s">
        <v>2531</v>
      </c>
      <c r="F143" s="23" t="s">
        <v>2584</v>
      </c>
      <c r="G143" s="27" t="s">
        <v>119</v>
      </c>
      <c r="H143" s="24" t="n">
        <v>2</v>
      </c>
      <c r="I143" s="23" t="s">
        <v>2591</v>
      </c>
      <c r="J143" s="23" t="s">
        <v>2593</v>
      </c>
      <c r="K143" s="23" t="s">
        <v>90</v>
      </c>
      <c r="L143" s="23" t="s">
        <v>2592</v>
      </c>
    </row>
    <row r="144" customFormat="false" ht="21.75" hidden="false" customHeight="true" outlineLevel="0" collapsed="false">
      <c r="A144" s="22" t="s">
        <v>8389</v>
      </c>
      <c r="B144" s="23" t="s">
        <v>2553</v>
      </c>
      <c r="C144" s="24" t="s">
        <v>5004</v>
      </c>
      <c r="D144" s="24" t="s">
        <v>4949</v>
      </c>
      <c r="E144" s="24" t="s">
        <v>5005</v>
      </c>
      <c r="F144" s="23" t="s">
        <v>5006</v>
      </c>
      <c r="G144" s="28" t="s">
        <v>73</v>
      </c>
      <c r="H144" s="24" t="n">
        <v>9</v>
      </c>
      <c r="I144" s="23" t="s">
        <v>5013</v>
      </c>
      <c r="J144" s="23" t="s">
        <v>5015</v>
      </c>
      <c r="K144" s="23" t="s">
        <v>119</v>
      </c>
      <c r="L144" s="23" t="s">
        <v>5014</v>
      </c>
    </row>
    <row r="145" customFormat="false" ht="21.75" hidden="false" customHeight="true" outlineLevel="0" collapsed="false">
      <c r="A145" s="22" t="s">
        <v>8416</v>
      </c>
      <c r="B145" s="23" t="s">
        <v>2552</v>
      </c>
      <c r="C145" s="24" t="s">
        <v>2544</v>
      </c>
      <c r="D145" s="24" t="s">
        <v>2140</v>
      </c>
      <c r="E145" s="24" t="s">
        <v>2545</v>
      </c>
      <c r="F145" s="23" t="s">
        <v>2546</v>
      </c>
      <c r="G145" s="26" t="s">
        <v>74</v>
      </c>
      <c r="H145" s="24" t="n">
        <v>5</v>
      </c>
      <c r="I145" s="23" t="s">
        <v>2553</v>
      </c>
      <c r="J145" s="23" t="s">
        <v>2555</v>
      </c>
      <c r="K145" s="23" t="s">
        <v>74</v>
      </c>
      <c r="L145" s="23" t="s">
        <v>2554</v>
      </c>
    </row>
    <row r="146" customFormat="false" ht="21.75" hidden="false" customHeight="true" outlineLevel="0" collapsed="false">
      <c r="A146" s="22" t="s">
        <v>8412</v>
      </c>
      <c r="B146" s="23" t="s">
        <v>3992</v>
      </c>
      <c r="C146" s="24" t="s">
        <v>3983</v>
      </c>
      <c r="D146" s="24" t="s">
        <v>3842</v>
      </c>
      <c r="E146" s="24" t="s">
        <v>3984</v>
      </c>
      <c r="F146" s="23" t="s">
        <v>3985</v>
      </c>
      <c r="G146" s="26" t="s">
        <v>74</v>
      </c>
      <c r="H146" s="24" t="n">
        <v>5</v>
      </c>
      <c r="I146" s="23" t="s">
        <v>3993</v>
      </c>
      <c r="J146" s="23" t="s">
        <v>3995</v>
      </c>
      <c r="K146" s="23" t="s">
        <v>74</v>
      </c>
      <c r="L146" s="23" t="s">
        <v>3994</v>
      </c>
    </row>
    <row r="147" customFormat="false" ht="21.75" hidden="false" customHeight="true" outlineLevel="0" collapsed="false">
      <c r="A147" s="22" t="s">
        <v>8412</v>
      </c>
      <c r="B147" s="23" t="s">
        <v>4184</v>
      </c>
      <c r="C147" s="24" t="s">
        <v>4176</v>
      </c>
      <c r="D147" s="24" t="s">
        <v>3842</v>
      </c>
      <c r="E147" s="24" t="s">
        <v>4177</v>
      </c>
      <c r="F147" s="23" t="s">
        <v>4178</v>
      </c>
      <c r="G147" s="27" t="s">
        <v>119</v>
      </c>
      <c r="H147" s="24" t="n">
        <v>2</v>
      </c>
      <c r="I147" s="23" t="s">
        <v>4185</v>
      </c>
      <c r="J147" s="23" t="s">
        <v>4187</v>
      </c>
      <c r="K147" s="23" t="s">
        <v>90</v>
      </c>
      <c r="L147" s="23" t="s">
        <v>4186</v>
      </c>
    </row>
    <row r="148" customFormat="false" ht="21.75" hidden="false" customHeight="true" outlineLevel="0" collapsed="false">
      <c r="A148" s="22" t="s">
        <v>8403</v>
      </c>
      <c r="B148" s="23" t="s">
        <v>4145</v>
      </c>
      <c r="C148" s="24" t="s">
        <v>4137</v>
      </c>
      <c r="D148" s="24" t="s">
        <v>3842</v>
      </c>
      <c r="E148" s="24" t="s">
        <v>4124</v>
      </c>
      <c r="F148" s="23" t="s">
        <v>4138</v>
      </c>
      <c r="G148" s="25" t="s">
        <v>90</v>
      </c>
      <c r="H148" s="24" t="n">
        <v>8</v>
      </c>
      <c r="I148" s="23" t="s">
        <v>4146</v>
      </c>
      <c r="J148" s="23" t="s">
        <v>4148</v>
      </c>
      <c r="K148" s="23" t="s">
        <v>119</v>
      </c>
      <c r="L148" s="23" t="s">
        <v>4147</v>
      </c>
    </row>
    <row r="149" customFormat="false" ht="21.75" hidden="false" customHeight="true" outlineLevel="0" collapsed="false">
      <c r="A149" s="22" t="s">
        <v>8403</v>
      </c>
      <c r="B149" s="23" t="s">
        <v>4132</v>
      </c>
      <c r="C149" s="24" t="s">
        <v>4123</v>
      </c>
      <c r="D149" s="24" t="s">
        <v>3842</v>
      </c>
      <c r="E149" s="24" t="s">
        <v>4124</v>
      </c>
      <c r="F149" s="23" t="s">
        <v>4125</v>
      </c>
      <c r="G149" s="26" t="s">
        <v>74</v>
      </c>
      <c r="H149" s="24" t="n">
        <v>5</v>
      </c>
      <c r="I149" s="23" t="s">
        <v>4133</v>
      </c>
      <c r="J149" s="23" t="s">
        <v>4135</v>
      </c>
      <c r="K149" s="23" t="s">
        <v>74</v>
      </c>
      <c r="L149" s="23" t="s">
        <v>4134</v>
      </c>
    </row>
    <row r="150" customFormat="false" ht="21.75" hidden="false" customHeight="true" outlineLevel="0" collapsed="false">
      <c r="A150" s="22" t="s">
        <v>8400</v>
      </c>
      <c r="B150" s="23" t="s">
        <v>1583</v>
      </c>
      <c r="C150" s="24" t="s">
        <v>1575</v>
      </c>
      <c r="D150" s="24" t="s">
        <v>1500</v>
      </c>
      <c r="E150" s="24" t="s">
        <v>1576</v>
      </c>
      <c r="F150" s="23" t="s">
        <v>1577</v>
      </c>
      <c r="G150" s="26" t="s">
        <v>74</v>
      </c>
      <c r="H150" s="24" t="n">
        <v>5</v>
      </c>
      <c r="I150" s="23" t="s">
        <v>1584</v>
      </c>
      <c r="J150" s="23" t="s">
        <v>1586</v>
      </c>
      <c r="K150" s="23" t="s">
        <v>74</v>
      </c>
      <c r="L150" s="23" t="s">
        <v>1585</v>
      </c>
    </row>
    <row r="151" customFormat="false" ht="21.75" hidden="false" customHeight="true" outlineLevel="0" collapsed="false">
      <c r="A151" s="22" t="s">
        <v>8400</v>
      </c>
      <c r="B151" s="23" t="s">
        <v>1622</v>
      </c>
      <c r="C151" s="24" t="s">
        <v>1615</v>
      </c>
      <c r="D151" s="24" t="s">
        <v>1500</v>
      </c>
      <c r="E151" s="24" t="s">
        <v>1602</v>
      </c>
      <c r="F151" s="23" t="s">
        <v>1616</v>
      </c>
      <c r="G151" s="27" t="s">
        <v>119</v>
      </c>
      <c r="H151" s="24" t="n">
        <v>2</v>
      </c>
      <c r="I151" s="23" t="s">
        <v>1623</v>
      </c>
      <c r="J151" s="23" t="s">
        <v>1625</v>
      </c>
      <c r="K151" s="23" t="s">
        <v>90</v>
      </c>
      <c r="L151" s="23" t="s">
        <v>1624</v>
      </c>
    </row>
    <row r="152" customFormat="false" ht="21.75" hidden="false" customHeight="true" outlineLevel="0" collapsed="false">
      <c r="A152" s="22" t="s">
        <v>8400</v>
      </c>
      <c r="B152" s="23" t="s">
        <v>1508</v>
      </c>
      <c r="C152" s="24" t="s">
        <v>1499</v>
      </c>
      <c r="D152" s="24" t="s">
        <v>1500</v>
      </c>
      <c r="E152" s="24" t="s">
        <v>1501</v>
      </c>
      <c r="F152" s="23" t="s">
        <v>1502</v>
      </c>
      <c r="G152" s="25" t="s">
        <v>90</v>
      </c>
      <c r="H152" s="24" t="n">
        <v>7</v>
      </c>
      <c r="I152" s="23" t="s">
        <v>1509</v>
      </c>
      <c r="J152" s="23" t="s">
        <v>1511</v>
      </c>
      <c r="K152" s="23" t="s">
        <v>74</v>
      </c>
      <c r="L152" s="23" t="s">
        <v>1510</v>
      </c>
    </row>
    <row r="153" customFormat="false" ht="21.75" hidden="false" customHeight="true" outlineLevel="0" collapsed="false">
      <c r="A153" s="22" t="s">
        <v>8380</v>
      </c>
      <c r="B153" s="23" t="s">
        <v>1094</v>
      </c>
      <c r="C153" s="24" t="s">
        <v>1086</v>
      </c>
      <c r="D153" s="24" t="s">
        <v>837</v>
      </c>
      <c r="E153" s="24" t="s">
        <v>1048</v>
      </c>
      <c r="F153" s="23" t="s">
        <v>1087</v>
      </c>
      <c r="G153" s="25" t="s">
        <v>90</v>
      </c>
      <c r="H153" s="24" t="n">
        <v>7</v>
      </c>
      <c r="I153" s="23" t="s">
        <v>1095</v>
      </c>
      <c r="J153" s="23" t="s">
        <v>1097</v>
      </c>
      <c r="K153" s="23" t="s">
        <v>119</v>
      </c>
      <c r="L153" s="23" t="s">
        <v>1096</v>
      </c>
    </row>
    <row r="154" customFormat="false" ht="21.75" hidden="false" customHeight="true" outlineLevel="0" collapsed="false">
      <c r="A154" s="22" t="s">
        <v>8380</v>
      </c>
      <c r="B154" s="23" t="s">
        <v>1094</v>
      </c>
      <c r="C154" s="24" t="s">
        <v>1564</v>
      </c>
      <c r="D154" s="24" t="s">
        <v>1500</v>
      </c>
      <c r="E154" s="24" t="s">
        <v>1540</v>
      </c>
      <c r="F154" s="23" t="s">
        <v>1565</v>
      </c>
      <c r="G154" s="28" t="s">
        <v>73</v>
      </c>
      <c r="H154" s="24" t="n">
        <v>9</v>
      </c>
      <c r="I154" s="23" t="s">
        <v>1571</v>
      </c>
      <c r="J154" s="23" t="s">
        <v>1573</v>
      </c>
      <c r="K154" s="23" t="s">
        <v>119</v>
      </c>
      <c r="L154" s="23" t="s">
        <v>1572</v>
      </c>
    </row>
    <row r="155" customFormat="false" ht="21.75" hidden="false" customHeight="true" outlineLevel="0" collapsed="false">
      <c r="A155" s="22" t="s">
        <v>8380</v>
      </c>
      <c r="B155" s="23" t="s">
        <v>1547</v>
      </c>
      <c r="C155" s="24" t="s">
        <v>1539</v>
      </c>
      <c r="D155" s="24" t="s">
        <v>1500</v>
      </c>
      <c r="E155" s="24" t="s">
        <v>1540</v>
      </c>
      <c r="F155" s="23" t="s">
        <v>1541</v>
      </c>
      <c r="G155" s="25" t="s">
        <v>90</v>
      </c>
      <c r="H155" s="24" t="n">
        <v>6</v>
      </c>
      <c r="I155" s="23" t="s">
        <v>977</v>
      </c>
      <c r="J155" s="23" t="s">
        <v>1549</v>
      </c>
      <c r="K155" s="23" t="s">
        <v>74</v>
      </c>
      <c r="L155" s="23" t="s">
        <v>1548</v>
      </c>
    </row>
    <row r="156" customFormat="false" ht="21.75" hidden="false" customHeight="true" outlineLevel="0" collapsed="false">
      <c r="A156" s="22" t="s">
        <v>8380</v>
      </c>
      <c r="B156" s="23" t="s">
        <v>1558</v>
      </c>
      <c r="C156" s="24" t="s">
        <v>1551</v>
      </c>
      <c r="D156" s="24" t="s">
        <v>1500</v>
      </c>
      <c r="E156" s="24" t="s">
        <v>1540</v>
      </c>
      <c r="F156" s="23" t="s">
        <v>1552</v>
      </c>
      <c r="G156" s="26" t="s">
        <v>74</v>
      </c>
      <c r="H156" s="24" t="n">
        <v>5</v>
      </c>
      <c r="I156" s="23" t="s">
        <v>1559</v>
      </c>
      <c r="J156" s="23" t="s">
        <v>1562</v>
      </c>
      <c r="K156" s="23" t="s">
        <v>74</v>
      </c>
      <c r="L156" s="23" t="s">
        <v>1561</v>
      </c>
    </row>
    <row r="157" customFormat="false" ht="21.75" hidden="false" customHeight="true" outlineLevel="0" collapsed="false">
      <c r="A157" s="22" t="s">
        <v>8380</v>
      </c>
      <c r="B157" s="23" t="s">
        <v>1081</v>
      </c>
      <c r="C157" s="24" t="s">
        <v>1074</v>
      </c>
      <c r="D157" s="24" t="s">
        <v>837</v>
      </c>
      <c r="E157" s="24" t="s">
        <v>1048</v>
      </c>
      <c r="F157" s="23" t="s">
        <v>1075</v>
      </c>
      <c r="G157" s="26" t="s">
        <v>74</v>
      </c>
      <c r="H157" s="24" t="n">
        <v>5</v>
      </c>
      <c r="I157" s="23" t="s">
        <v>1082</v>
      </c>
      <c r="J157" s="23" t="s">
        <v>1084</v>
      </c>
      <c r="K157" s="23" t="s">
        <v>74</v>
      </c>
      <c r="L157" s="23" t="s">
        <v>1083</v>
      </c>
    </row>
    <row r="158" customFormat="false" ht="15" hidden="false" customHeight="true" outlineLevel="0" collapsed="false">
      <c r="A158" s="22" t="s">
        <v>8380</v>
      </c>
      <c r="B158" s="23" t="s">
        <v>1056</v>
      </c>
      <c r="C158" s="24" t="s">
        <v>1047</v>
      </c>
      <c r="D158" s="24" t="s">
        <v>837</v>
      </c>
      <c r="E158" s="24" t="s">
        <v>1048</v>
      </c>
      <c r="F158" s="23" t="s">
        <v>1049</v>
      </c>
      <c r="G158" s="25" t="s">
        <v>90</v>
      </c>
      <c r="H158" s="24" t="n">
        <v>6</v>
      </c>
      <c r="I158" s="23" t="s">
        <v>1057</v>
      </c>
      <c r="J158" s="23" t="s">
        <v>1059</v>
      </c>
      <c r="K158" s="23" t="s">
        <v>74</v>
      </c>
      <c r="L158" s="23" t="s">
        <v>1058</v>
      </c>
    </row>
    <row r="159" customFormat="false" ht="21.75" hidden="false" customHeight="true" outlineLevel="0" collapsed="false">
      <c r="A159" s="22" t="s">
        <v>8380</v>
      </c>
      <c r="B159" s="23" t="s">
        <v>1534</v>
      </c>
      <c r="C159" s="24" t="s">
        <v>1526</v>
      </c>
      <c r="D159" s="24" t="s">
        <v>1500</v>
      </c>
      <c r="E159" s="24" t="s">
        <v>1527</v>
      </c>
      <c r="F159" s="23" t="s">
        <v>1528</v>
      </c>
      <c r="G159" s="26" t="s">
        <v>74</v>
      </c>
      <c r="H159" s="24" t="n">
        <v>4</v>
      </c>
      <c r="I159" s="23" t="s">
        <v>1535</v>
      </c>
      <c r="J159" s="23" t="s">
        <v>1537</v>
      </c>
      <c r="K159" s="23" t="s">
        <v>90</v>
      </c>
      <c r="L159" s="23" t="s">
        <v>1536</v>
      </c>
    </row>
    <row r="160" customFormat="false" ht="21.75" hidden="false" customHeight="true" outlineLevel="0" collapsed="false">
      <c r="A160" s="22" t="s">
        <v>8417</v>
      </c>
      <c r="B160" s="23" t="s">
        <v>1186</v>
      </c>
      <c r="C160" s="24" t="s">
        <v>1177</v>
      </c>
      <c r="D160" s="24" t="s">
        <v>837</v>
      </c>
      <c r="E160" s="24" t="s">
        <v>1178</v>
      </c>
      <c r="F160" s="23" t="s">
        <v>1179</v>
      </c>
      <c r="G160" s="26" t="s">
        <v>74</v>
      </c>
      <c r="H160" s="24" t="n">
        <v>4</v>
      </c>
      <c r="I160" s="23" t="s">
        <v>1187</v>
      </c>
      <c r="J160" s="23" t="s">
        <v>1189</v>
      </c>
      <c r="K160" s="23" t="s">
        <v>90</v>
      </c>
      <c r="L160" s="23" t="s">
        <v>1188</v>
      </c>
    </row>
    <row r="161" customFormat="false" ht="21.75" hidden="false" customHeight="true" outlineLevel="0" collapsed="false">
      <c r="A161" s="22" t="s">
        <v>8404</v>
      </c>
      <c r="B161" s="23" t="s">
        <v>4362</v>
      </c>
      <c r="C161" s="24" t="s">
        <v>4353</v>
      </c>
      <c r="D161" s="24" t="s">
        <v>4203</v>
      </c>
      <c r="E161" s="24" t="s">
        <v>4354</v>
      </c>
      <c r="F161" s="23" t="s">
        <v>4355</v>
      </c>
      <c r="G161" s="26" t="s">
        <v>74</v>
      </c>
      <c r="H161" s="24" t="n">
        <v>5</v>
      </c>
      <c r="I161" s="23" t="s">
        <v>4363</v>
      </c>
      <c r="J161" s="23" t="s">
        <v>4365</v>
      </c>
      <c r="K161" s="23" t="s">
        <v>74</v>
      </c>
      <c r="L161" s="23" t="s">
        <v>4364</v>
      </c>
    </row>
    <row r="162" customFormat="false" ht="21.75" hidden="false" customHeight="true" outlineLevel="0" collapsed="false">
      <c r="A162" s="22" t="s">
        <v>8404</v>
      </c>
      <c r="B162" s="23" t="s">
        <v>3337</v>
      </c>
      <c r="C162" s="24" t="s">
        <v>4367</v>
      </c>
      <c r="D162" s="24" t="s">
        <v>4203</v>
      </c>
      <c r="E162" s="24" t="s">
        <v>4354</v>
      </c>
      <c r="F162" s="23" t="s">
        <v>4368</v>
      </c>
      <c r="G162" s="25" t="s">
        <v>90</v>
      </c>
      <c r="H162" s="24" t="n">
        <v>6</v>
      </c>
      <c r="I162" s="23" t="s">
        <v>4374</v>
      </c>
      <c r="J162" s="23" t="s">
        <v>4376</v>
      </c>
      <c r="K162" s="23" t="s">
        <v>74</v>
      </c>
      <c r="L162" s="23" t="s">
        <v>4375</v>
      </c>
    </row>
    <row r="163" customFormat="false" ht="21.75" hidden="false" customHeight="true" outlineLevel="0" collapsed="false">
      <c r="A163" s="22" t="s">
        <v>8367</v>
      </c>
      <c r="B163" s="23" t="s">
        <v>4670</v>
      </c>
      <c r="C163" s="24" t="s">
        <v>4662</v>
      </c>
      <c r="D163" s="24" t="s">
        <v>4582</v>
      </c>
      <c r="E163" s="24" t="s">
        <v>4663</v>
      </c>
      <c r="F163" s="23" t="s">
        <v>4664</v>
      </c>
      <c r="G163" s="26" t="s">
        <v>74</v>
      </c>
      <c r="H163" s="24" t="n">
        <v>5</v>
      </c>
      <c r="I163" s="23" t="s">
        <v>4671</v>
      </c>
      <c r="J163" s="23" t="s">
        <v>4673</v>
      </c>
      <c r="K163" s="23" t="s">
        <v>74</v>
      </c>
      <c r="L163" s="23" t="s">
        <v>4672</v>
      </c>
    </row>
    <row r="164" customFormat="false" ht="21.75" hidden="false" customHeight="true" outlineLevel="0" collapsed="false">
      <c r="A164" s="22" t="s">
        <v>8367</v>
      </c>
      <c r="B164" s="23" t="s">
        <v>2034</v>
      </c>
      <c r="C164" s="24" t="s">
        <v>2026</v>
      </c>
      <c r="D164" s="24" t="s">
        <v>1500</v>
      </c>
      <c r="E164" s="24" t="s">
        <v>2027</v>
      </c>
      <c r="F164" s="23" t="s">
        <v>2028</v>
      </c>
      <c r="G164" s="26" t="s">
        <v>74</v>
      </c>
      <c r="H164" s="24" t="n">
        <v>5</v>
      </c>
      <c r="I164" s="23" t="s">
        <v>2035</v>
      </c>
      <c r="J164" s="23" t="s">
        <v>2037</v>
      </c>
      <c r="K164" s="23" t="s">
        <v>74</v>
      </c>
      <c r="L164" s="23" t="s">
        <v>2036</v>
      </c>
    </row>
    <row r="165" customFormat="false" ht="21.75" hidden="false" customHeight="true" outlineLevel="0" collapsed="false">
      <c r="A165" s="22" t="s">
        <v>8367</v>
      </c>
      <c r="B165" s="23" t="s">
        <v>4763</v>
      </c>
      <c r="C165" s="24" t="s">
        <v>4754</v>
      </c>
      <c r="D165" s="24" t="s">
        <v>4582</v>
      </c>
      <c r="E165" s="24" t="s">
        <v>4755</v>
      </c>
      <c r="F165" s="23" t="s">
        <v>4756</v>
      </c>
      <c r="G165" s="26" t="s">
        <v>74</v>
      </c>
      <c r="H165" s="24" t="n">
        <v>5</v>
      </c>
      <c r="I165" s="23" t="s">
        <v>4764</v>
      </c>
      <c r="J165" s="23" t="s">
        <v>4766</v>
      </c>
      <c r="K165" s="23" t="s">
        <v>74</v>
      </c>
      <c r="L165" s="23" t="s">
        <v>4765</v>
      </c>
    </row>
    <row r="166" customFormat="false" ht="21.75" hidden="false" customHeight="true" outlineLevel="0" collapsed="false">
      <c r="A166" s="22" t="s">
        <v>8367</v>
      </c>
      <c r="B166" s="23" t="s">
        <v>4906</v>
      </c>
      <c r="C166" s="24" t="s">
        <v>4898</v>
      </c>
      <c r="D166" s="24" t="s">
        <v>4582</v>
      </c>
      <c r="E166" s="24" t="s">
        <v>4741</v>
      </c>
      <c r="F166" s="23" t="s">
        <v>4899</v>
      </c>
      <c r="G166" s="25" t="s">
        <v>90</v>
      </c>
      <c r="H166" s="24" t="n">
        <v>8</v>
      </c>
      <c r="I166" s="23" t="s">
        <v>4907</v>
      </c>
      <c r="J166" s="23" t="s">
        <v>4909</v>
      </c>
      <c r="K166" s="23" t="s">
        <v>74</v>
      </c>
      <c r="L166" s="23" t="s">
        <v>4908</v>
      </c>
    </row>
    <row r="167" customFormat="false" ht="21.75" hidden="false" customHeight="true" outlineLevel="0" collapsed="false">
      <c r="A167" s="22" t="s">
        <v>8367</v>
      </c>
      <c r="B167" s="23" t="s">
        <v>4629</v>
      </c>
      <c r="C167" s="24" t="s">
        <v>4620</v>
      </c>
      <c r="D167" s="24" t="s">
        <v>4582</v>
      </c>
      <c r="E167" s="24" t="s">
        <v>4621</v>
      </c>
      <c r="F167" s="23" t="s">
        <v>4622</v>
      </c>
      <c r="G167" s="25" t="s">
        <v>90</v>
      </c>
      <c r="H167" s="24" t="n">
        <v>8</v>
      </c>
      <c r="I167" s="23" t="s">
        <v>4630</v>
      </c>
      <c r="J167" s="23" t="s">
        <v>4632</v>
      </c>
      <c r="K167" s="23" t="s">
        <v>119</v>
      </c>
      <c r="L167" s="23" t="s">
        <v>4631</v>
      </c>
    </row>
    <row r="168" customFormat="false" ht="21.75" hidden="false" customHeight="true" outlineLevel="0" collapsed="false">
      <c r="A168" s="22" t="s">
        <v>8367</v>
      </c>
      <c r="B168" s="23" t="s">
        <v>4657</v>
      </c>
      <c r="C168" s="24" t="s">
        <v>4648</v>
      </c>
      <c r="D168" s="24" t="s">
        <v>4582</v>
      </c>
      <c r="E168" s="24" t="s">
        <v>4649</v>
      </c>
      <c r="F168" s="23" t="s">
        <v>4650</v>
      </c>
      <c r="G168" s="26" t="s">
        <v>74</v>
      </c>
      <c r="H168" s="24" t="n">
        <v>5</v>
      </c>
      <c r="I168" s="23" t="s">
        <v>4658</v>
      </c>
      <c r="J168" s="23" t="s">
        <v>4660</v>
      </c>
      <c r="K168" s="23" t="s">
        <v>74</v>
      </c>
      <c r="L168" s="23" t="s">
        <v>4659</v>
      </c>
    </row>
    <row r="169" customFormat="false" ht="21.75" hidden="false" customHeight="true" outlineLevel="0" collapsed="false">
      <c r="A169" s="22" t="s">
        <v>8367</v>
      </c>
      <c r="B169" s="23" t="s">
        <v>4943</v>
      </c>
      <c r="C169" s="24" t="s">
        <v>4936</v>
      </c>
      <c r="D169" s="24" t="s">
        <v>4582</v>
      </c>
      <c r="E169" s="24" t="s">
        <v>4621</v>
      </c>
      <c r="F169" s="23" t="s">
        <v>4937</v>
      </c>
      <c r="G169" s="25" t="s">
        <v>90</v>
      </c>
      <c r="H169" s="24" t="n">
        <v>8</v>
      </c>
      <c r="I169" s="23" t="s">
        <v>4944</v>
      </c>
      <c r="J169" s="23" t="s">
        <v>4946</v>
      </c>
      <c r="K169" s="23" t="s">
        <v>119</v>
      </c>
      <c r="L169" s="23" t="s">
        <v>4945</v>
      </c>
    </row>
    <row r="170" customFormat="false" ht="21.75" hidden="false" customHeight="true" outlineLevel="0" collapsed="false">
      <c r="A170" s="22" t="s">
        <v>8367</v>
      </c>
      <c r="B170" s="23" t="s">
        <v>4827</v>
      </c>
      <c r="C170" s="24" t="s">
        <v>4818</v>
      </c>
      <c r="D170" s="24" t="s">
        <v>4582</v>
      </c>
      <c r="E170" s="24" t="s">
        <v>4819</v>
      </c>
      <c r="F170" s="23" t="s">
        <v>4820</v>
      </c>
      <c r="G170" s="25" t="s">
        <v>90</v>
      </c>
      <c r="H170" s="24" t="n">
        <v>8</v>
      </c>
      <c r="I170" s="23" t="s">
        <v>4828</v>
      </c>
      <c r="J170" s="23" t="s">
        <v>4830</v>
      </c>
      <c r="K170" s="23" t="s">
        <v>74</v>
      </c>
      <c r="L170" s="23" t="s">
        <v>4829</v>
      </c>
    </row>
    <row r="171" customFormat="false" ht="21.75" hidden="false" customHeight="true" outlineLevel="0" collapsed="false">
      <c r="A171" s="22" t="s">
        <v>8367</v>
      </c>
      <c r="B171" s="23" t="s">
        <v>2296</v>
      </c>
      <c r="C171" s="24" t="s">
        <v>2287</v>
      </c>
      <c r="D171" s="24" t="s">
        <v>2140</v>
      </c>
      <c r="E171" s="24" t="s">
        <v>2288</v>
      </c>
      <c r="F171" s="23" t="s">
        <v>2289</v>
      </c>
      <c r="G171" s="25" t="s">
        <v>90</v>
      </c>
      <c r="H171" s="24" t="n">
        <v>8</v>
      </c>
      <c r="I171" s="23" t="s">
        <v>2297</v>
      </c>
      <c r="J171" s="23" t="s">
        <v>2299</v>
      </c>
      <c r="K171" s="23" t="s">
        <v>119</v>
      </c>
      <c r="L171" s="23" t="s">
        <v>2298</v>
      </c>
    </row>
    <row r="172" customFormat="false" ht="21.75" hidden="false" customHeight="true" outlineLevel="0" collapsed="false">
      <c r="A172" s="22" t="s">
        <v>8367</v>
      </c>
      <c r="B172" s="23" t="s">
        <v>1661</v>
      </c>
      <c r="C172" s="24" t="s">
        <v>1653</v>
      </c>
      <c r="D172" s="24" t="s">
        <v>1500</v>
      </c>
      <c r="E172" s="24" t="s">
        <v>1654</v>
      </c>
      <c r="F172" s="23" t="s">
        <v>1655</v>
      </c>
      <c r="G172" s="28" t="s">
        <v>73</v>
      </c>
      <c r="H172" s="24" t="n">
        <v>9</v>
      </c>
      <c r="I172" s="23" t="s">
        <v>1662</v>
      </c>
      <c r="J172" s="23" t="s">
        <v>1664</v>
      </c>
      <c r="K172" s="23" t="s">
        <v>119</v>
      </c>
      <c r="L172" s="23" t="s">
        <v>1663</v>
      </c>
    </row>
    <row r="173" customFormat="false" ht="21.75" hidden="false" customHeight="true" outlineLevel="0" collapsed="false">
      <c r="A173" s="22" t="s">
        <v>8367</v>
      </c>
      <c r="B173" s="23" t="s">
        <v>4735</v>
      </c>
      <c r="C173" s="24" t="s">
        <v>4727</v>
      </c>
      <c r="D173" s="24" t="s">
        <v>4582</v>
      </c>
      <c r="E173" s="24" t="s">
        <v>4714</v>
      </c>
      <c r="F173" s="23" t="s">
        <v>4728</v>
      </c>
      <c r="G173" s="27" t="s">
        <v>119</v>
      </c>
      <c r="H173" s="24" t="n">
        <v>2</v>
      </c>
      <c r="I173" s="23" t="s">
        <v>4736</v>
      </c>
      <c r="J173" s="23" t="s">
        <v>4738</v>
      </c>
      <c r="K173" s="23" t="s">
        <v>90</v>
      </c>
      <c r="L173" s="23" t="s">
        <v>4737</v>
      </c>
    </row>
    <row r="174" customFormat="false" ht="21.75" hidden="false" customHeight="true" outlineLevel="0" collapsed="false">
      <c r="A174" s="22" t="s">
        <v>8367</v>
      </c>
      <c r="B174" s="23" t="s">
        <v>4722</v>
      </c>
      <c r="C174" s="24" t="s">
        <v>4713</v>
      </c>
      <c r="D174" s="24" t="s">
        <v>4582</v>
      </c>
      <c r="E174" s="24" t="s">
        <v>4714</v>
      </c>
      <c r="F174" s="23" t="s">
        <v>4715</v>
      </c>
      <c r="G174" s="26" t="s">
        <v>74</v>
      </c>
      <c r="H174" s="24" t="n">
        <v>4</v>
      </c>
      <c r="I174" s="23" t="s">
        <v>4723</v>
      </c>
      <c r="J174" s="23" t="s">
        <v>4725</v>
      </c>
      <c r="K174" s="23" t="s">
        <v>74</v>
      </c>
      <c r="L174" s="23" t="s">
        <v>4724</v>
      </c>
    </row>
    <row r="175" customFormat="false" ht="21.75" hidden="false" customHeight="true" outlineLevel="0" collapsed="false">
      <c r="A175" s="22" t="s">
        <v>8367</v>
      </c>
      <c r="B175" s="23" t="s">
        <v>4486</v>
      </c>
      <c r="C175" s="24" t="s">
        <v>4478</v>
      </c>
      <c r="D175" s="24" t="s">
        <v>4203</v>
      </c>
      <c r="E175" s="24" t="s">
        <v>4479</v>
      </c>
      <c r="F175" s="23" t="s">
        <v>4480</v>
      </c>
      <c r="G175" s="25" t="s">
        <v>90</v>
      </c>
      <c r="H175" s="24" t="n">
        <v>7</v>
      </c>
      <c r="I175" s="23" t="s">
        <v>4487</v>
      </c>
      <c r="J175" s="23" t="s">
        <v>4489</v>
      </c>
      <c r="K175" s="23" t="s">
        <v>74</v>
      </c>
      <c r="L175" s="23" t="s">
        <v>4488</v>
      </c>
    </row>
    <row r="176" customFormat="false" ht="21.75" hidden="false" customHeight="true" outlineLevel="0" collapsed="false">
      <c r="A176" s="22" t="s">
        <v>8367</v>
      </c>
      <c r="B176" s="23" t="s">
        <v>2746</v>
      </c>
      <c r="C176" s="24" t="s">
        <v>2794</v>
      </c>
      <c r="D176" s="24" t="s">
        <v>2713</v>
      </c>
      <c r="E176" s="24" t="s">
        <v>2795</v>
      </c>
      <c r="F176" s="23" t="s">
        <v>2796</v>
      </c>
      <c r="G176" s="28" t="s">
        <v>73</v>
      </c>
      <c r="H176" s="24" t="n">
        <v>10</v>
      </c>
      <c r="I176" s="23" t="s">
        <v>2802</v>
      </c>
      <c r="J176" s="23" t="s">
        <v>2804</v>
      </c>
      <c r="K176" s="23" t="s">
        <v>119</v>
      </c>
      <c r="L176" s="23" t="s">
        <v>2803</v>
      </c>
    </row>
    <row r="177" customFormat="false" ht="21.75" hidden="false" customHeight="true" outlineLevel="0" collapsed="false">
      <c r="A177" s="22" t="s">
        <v>8367</v>
      </c>
      <c r="B177" s="23" t="s">
        <v>4840</v>
      </c>
      <c r="C177" s="24" t="s">
        <v>4832</v>
      </c>
      <c r="D177" s="24" t="s">
        <v>4582</v>
      </c>
      <c r="E177" s="24" t="s">
        <v>4819</v>
      </c>
      <c r="F177" s="23" t="s">
        <v>4833</v>
      </c>
      <c r="G177" s="25" t="s">
        <v>90</v>
      </c>
      <c r="H177" s="24" t="n">
        <v>8</v>
      </c>
      <c r="I177" s="23" t="s">
        <v>4841</v>
      </c>
      <c r="J177" s="23" t="s">
        <v>4843</v>
      </c>
      <c r="K177" s="23" t="s">
        <v>74</v>
      </c>
      <c r="L177" s="23" t="s">
        <v>4842</v>
      </c>
    </row>
    <row r="178" customFormat="false" ht="21.75" hidden="false" customHeight="true" outlineLevel="0" collapsed="false">
      <c r="A178" s="22" t="s">
        <v>8367</v>
      </c>
      <c r="B178" s="23" t="s">
        <v>4840</v>
      </c>
      <c r="C178" s="24" t="s">
        <v>4845</v>
      </c>
      <c r="D178" s="24" t="s">
        <v>4582</v>
      </c>
      <c r="E178" s="24" t="s">
        <v>4819</v>
      </c>
      <c r="F178" s="23" t="s">
        <v>4846</v>
      </c>
      <c r="G178" s="28" t="s">
        <v>73</v>
      </c>
      <c r="H178" s="24" t="n">
        <v>10</v>
      </c>
      <c r="I178" s="23" t="s">
        <v>4853</v>
      </c>
      <c r="J178" s="23" t="s">
        <v>4855</v>
      </c>
      <c r="K178" s="23" t="s">
        <v>119</v>
      </c>
      <c r="L178" s="23" t="s">
        <v>4854</v>
      </c>
    </row>
    <row r="179" customFormat="false" ht="21.75" hidden="false" customHeight="true" outlineLevel="0" collapsed="false">
      <c r="A179" s="22" t="s">
        <v>8367</v>
      </c>
      <c r="B179" s="23" t="s">
        <v>4777</v>
      </c>
      <c r="C179" s="24" t="s">
        <v>4768</v>
      </c>
      <c r="D179" s="24" t="s">
        <v>4582</v>
      </c>
      <c r="E179" s="24" t="s">
        <v>4769</v>
      </c>
      <c r="F179" s="23" t="s">
        <v>4770</v>
      </c>
      <c r="G179" s="28" t="s">
        <v>73</v>
      </c>
      <c r="H179" s="24" t="n">
        <v>9</v>
      </c>
      <c r="I179" s="23" t="s">
        <v>4778</v>
      </c>
      <c r="J179" s="23" t="s">
        <v>4780</v>
      </c>
      <c r="K179" s="23" t="s">
        <v>119</v>
      </c>
      <c r="L179" s="23" t="s">
        <v>4779</v>
      </c>
    </row>
    <row r="180" customFormat="false" ht="21.75" hidden="false" customHeight="true" outlineLevel="0" collapsed="false">
      <c r="A180" s="22" t="s">
        <v>8367</v>
      </c>
      <c r="B180" s="23" t="s">
        <v>4777</v>
      </c>
      <c r="C180" s="24" t="s">
        <v>4782</v>
      </c>
      <c r="D180" s="24" t="s">
        <v>4582</v>
      </c>
      <c r="E180" s="24" t="s">
        <v>4783</v>
      </c>
      <c r="F180" s="23" t="s">
        <v>4784</v>
      </c>
      <c r="G180" s="25" t="s">
        <v>90</v>
      </c>
      <c r="H180" s="24" t="n">
        <v>7</v>
      </c>
      <c r="I180" s="23" t="s">
        <v>4791</v>
      </c>
      <c r="J180" s="23" t="s">
        <v>4793</v>
      </c>
      <c r="K180" s="23" t="s">
        <v>74</v>
      </c>
      <c r="L180" s="23" t="s">
        <v>4792</v>
      </c>
    </row>
    <row r="181" customFormat="false" ht="21.75" hidden="false" customHeight="true" outlineLevel="0" collapsed="false">
      <c r="A181" s="22" t="s">
        <v>8367</v>
      </c>
      <c r="B181" s="23" t="s">
        <v>4777</v>
      </c>
      <c r="C181" s="24" t="s">
        <v>4795</v>
      </c>
      <c r="D181" s="24" t="s">
        <v>4582</v>
      </c>
      <c r="E181" s="24" t="s">
        <v>4783</v>
      </c>
      <c r="F181" s="23" t="s">
        <v>4796</v>
      </c>
      <c r="G181" s="25" t="s">
        <v>90</v>
      </c>
      <c r="H181" s="24" t="n">
        <v>8</v>
      </c>
      <c r="I181" s="23" t="s">
        <v>4802</v>
      </c>
      <c r="J181" s="23" t="s">
        <v>4804</v>
      </c>
      <c r="K181" s="23" t="s">
        <v>74</v>
      </c>
      <c r="L181" s="23" t="s">
        <v>4803</v>
      </c>
    </row>
    <row r="182" customFormat="false" ht="21.75" hidden="false" customHeight="true" outlineLevel="0" collapsed="false">
      <c r="A182" s="22" t="s">
        <v>8367</v>
      </c>
      <c r="B182" s="23" t="s">
        <v>4777</v>
      </c>
      <c r="C182" s="24" t="s">
        <v>4806</v>
      </c>
      <c r="D182" s="24" t="s">
        <v>4582</v>
      </c>
      <c r="E182" s="24" t="s">
        <v>4783</v>
      </c>
      <c r="F182" s="23" t="s">
        <v>4807</v>
      </c>
      <c r="G182" s="26" t="s">
        <v>74</v>
      </c>
      <c r="H182" s="24" t="n">
        <v>5</v>
      </c>
      <c r="I182" s="23" t="s">
        <v>4814</v>
      </c>
      <c r="J182" s="23" t="s">
        <v>4816</v>
      </c>
      <c r="K182" s="23" t="s">
        <v>74</v>
      </c>
      <c r="L182" s="23" t="s">
        <v>4815</v>
      </c>
    </row>
    <row r="183" customFormat="false" ht="21.75" hidden="false" customHeight="true" outlineLevel="0" collapsed="false">
      <c r="A183" s="22" t="s">
        <v>8367</v>
      </c>
      <c r="B183" s="23" t="s">
        <v>4777</v>
      </c>
      <c r="C183" s="24" t="s">
        <v>4857</v>
      </c>
      <c r="D183" s="24" t="s">
        <v>4582</v>
      </c>
      <c r="E183" s="24" t="s">
        <v>4858</v>
      </c>
      <c r="F183" s="23" t="s">
        <v>4859</v>
      </c>
      <c r="G183" s="26" t="s">
        <v>74</v>
      </c>
      <c r="H183" s="24" t="n">
        <v>5</v>
      </c>
      <c r="I183" s="23" t="s">
        <v>4866</v>
      </c>
      <c r="J183" s="23" t="s">
        <v>4868</v>
      </c>
      <c r="K183" s="23" t="s">
        <v>74</v>
      </c>
      <c r="L183" s="23" t="s">
        <v>4867</v>
      </c>
    </row>
    <row r="184" customFormat="false" ht="21.75" hidden="false" customHeight="true" outlineLevel="0" collapsed="false">
      <c r="A184" s="22" t="s">
        <v>8367</v>
      </c>
      <c r="B184" s="23" t="s">
        <v>4777</v>
      </c>
      <c r="C184" s="24" t="s">
        <v>4924</v>
      </c>
      <c r="D184" s="24" t="s">
        <v>4582</v>
      </c>
      <c r="E184" s="24" t="s">
        <v>4858</v>
      </c>
      <c r="F184" s="23" t="s">
        <v>4925</v>
      </c>
      <c r="G184" s="26" t="s">
        <v>74</v>
      </c>
      <c r="H184" s="24" t="n">
        <v>5</v>
      </c>
      <c r="I184" s="23" t="s">
        <v>4932</v>
      </c>
      <c r="J184" s="23" t="s">
        <v>4934</v>
      </c>
      <c r="K184" s="23" t="s">
        <v>74</v>
      </c>
      <c r="L184" s="23" t="s">
        <v>4933</v>
      </c>
    </row>
    <row r="185" customFormat="false" ht="21.75" hidden="false" customHeight="true" outlineLevel="0" collapsed="false">
      <c r="A185" s="22" t="s">
        <v>8367</v>
      </c>
      <c r="B185" s="23" t="s">
        <v>4919</v>
      </c>
      <c r="C185" s="24" t="s">
        <v>4911</v>
      </c>
      <c r="D185" s="24" t="s">
        <v>4582</v>
      </c>
      <c r="E185" s="24" t="s">
        <v>4871</v>
      </c>
      <c r="F185" s="23" t="s">
        <v>4912</v>
      </c>
      <c r="G185" s="27" t="s">
        <v>119</v>
      </c>
      <c r="H185" s="24" t="n">
        <v>2</v>
      </c>
      <c r="I185" s="23" t="s">
        <v>4920</v>
      </c>
      <c r="J185" s="23" t="s">
        <v>4922</v>
      </c>
      <c r="K185" s="23" t="s">
        <v>90</v>
      </c>
      <c r="L185" s="23" t="s">
        <v>4921</v>
      </c>
    </row>
    <row r="186" customFormat="false" ht="21.75" hidden="false" customHeight="true" outlineLevel="0" collapsed="false">
      <c r="A186" s="22" t="s">
        <v>8367</v>
      </c>
      <c r="B186" s="23" t="s">
        <v>4591</v>
      </c>
      <c r="C186" s="24" t="s">
        <v>4581</v>
      </c>
      <c r="D186" s="24" t="s">
        <v>4582</v>
      </c>
      <c r="E186" s="24" t="s">
        <v>4583</v>
      </c>
      <c r="F186" s="23" t="s">
        <v>4584</v>
      </c>
      <c r="G186" s="25" t="s">
        <v>90</v>
      </c>
      <c r="H186" s="24" t="n">
        <v>7</v>
      </c>
      <c r="I186" s="23" t="s">
        <v>3350</v>
      </c>
      <c r="J186" s="23" t="s">
        <v>4593</v>
      </c>
      <c r="K186" s="23" t="s">
        <v>74</v>
      </c>
      <c r="L186" s="23" t="s">
        <v>4592</v>
      </c>
    </row>
    <row r="187" customFormat="false" ht="21.75" hidden="false" customHeight="true" outlineLevel="0" collapsed="false">
      <c r="A187" s="22" t="s">
        <v>8367</v>
      </c>
      <c r="B187" s="23" t="s">
        <v>2437</v>
      </c>
      <c r="C187" s="24" t="s">
        <v>2430</v>
      </c>
      <c r="D187" s="24" t="s">
        <v>2140</v>
      </c>
      <c r="E187" s="24" t="s">
        <v>2417</v>
      </c>
      <c r="F187" s="23" t="s">
        <v>2431</v>
      </c>
      <c r="G187" s="25" t="s">
        <v>90</v>
      </c>
      <c r="H187" s="24" t="n">
        <v>8</v>
      </c>
      <c r="I187" s="23" t="s">
        <v>2438</v>
      </c>
      <c r="J187" s="23" t="s">
        <v>2440</v>
      </c>
      <c r="K187" s="23" t="s">
        <v>119</v>
      </c>
      <c r="L187" s="23" t="s">
        <v>2439</v>
      </c>
    </row>
    <row r="188" customFormat="false" ht="21.75" hidden="false" customHeight="true" outlineLevel="0" collapsed="false">
      <c r="A188" s="22" t="s">
        <v>8367</v>
      </c>
      <c r="B188" s="23" t="s">
        <v>5135</v>
      </c>
      <c r="C188" s="24" t="s">
        <v>5126</v>
      </c>
      <c r="D188" s="24" t="s">
        <v>4949</v>
      </c>
      <c r="E188" s="24" t="s">
        <v>5127</v>
      </c>
      <c r="F188" s="23" t="s">
        <v>5128</v>
      </c>
      <c r="G188" s="25" t="s">
        <v>90</v>
      </c>
      <c r="H188" s="24" t="n">
        <v>6</v>
      </c>
      <c r="I188" s="23" t="s">
        <v>5136</v>
      </c>
      <c r="J188" s="23" t="s">
        <v>5138</v>
      </c>
      <c r="K188" s="23" t="s">
        <v>74</v>
      </c>
      <c r="L188" s="23" t="s">
        <v>5137</v>
      </c>
    </row>
    <row r="189" customFormat="false" ht="21.75" hidden="false" customHeight="true" outlineLevel="0" collapsed="false">
      <c r="A189" s="22" t="s">
        <v>8367</v>
      </c>
      <c r="B189" s="23" t="s">
        <v>4603</v>
      </c>
      <c r="C189" s="24" t="s">
        <v>4594</v>
      </c>
      <c r="D189" s="24" t="s">
        <v>4582</v>
      </c>
      <c r="E189" s="24" t="s">
        <v>4595</v>
      </c>
      <c r="F189" s="23" t="s">
        <v>4596</v>
      </c>
      <c r="G189" s="26" t="s">
        <v>74</v>
      </c>
      <c r="H189" s="24" t="n">
        <v>5</v>
      </c>
      <c r="I189" s="23" t="s">
        <v>4604</v>
      </c>
      <c r="J189" s="23" t="s">
        <v>4606</v>
      </c>
      <c r="K189" s="23" t="s">
        <v>74</v>
      </c>
      <c r="L189" s="23" t="s">
        <v>4605</v>
      </c>
    </row>
    <row r="190" customFormat="false" ht="21.75" hidden="false" customHeight="true" outlineLevel="0" collapsed="false">
      <c r="A190" s="22" t="s">
        <v>8367</v>
      </c>
      <c r="B190" s="23" t="s">
        <v>4603</v>
      </c>
      <c r="C190" s="24" t="s">
        <v>4608</v>
      </c>
      <c r="D190" s="24" t="s">
        <v>4582</v>
      </c>
      <c r="E190" s="24" t="s">
        <v>4595</v>
      </c>
      <c r="F190" s="23" t="s">
        <v>4609</v>
      </c>
      <c r="G190" s="26" t="s">
        <v>74</v>
      </c>
      <c r="H190" s="24" t="n">
        <v>4</v>
      </c>
      <c r="I190" s="23" t="s">
        <v>4616</v>
      </c>
      <c r="J190" s="23" t="s">
        <v>4618</v>
      </c>
      <c r="K190" s="23" t="s">
        <v>74</v>
      </c>
      <c r="L190" s="23" t="s">
        <v>4617</v>
      </c>
    </row>
    <row r="191" customFormat="false" ht="21.75" hidden="false" customHeight="true" outlineLevel="0" collapsed="false">
      <c r="A191" s="22" t="s">
        <v>8367</v>
      </c>
      <c r="B191" s="23" t="s">
        <v>4603</v>
      </c>
      <c r="C191" s="24" t="s">
        <v>4701</v>
      </c>
      <c r="D191" s="24" t="s">
        <v>4582</v>
      </c>
      <c r="E191" s="24" t="s">
        <v>4689</v>
      </c>
      <c r="F191" s="23" t="s">
        <v>4702</v>
      </c>
      <c r="G191" s="27" t="s">
        <v>119</v>
      </c>
      <c r="H191" s="24" t="n">
        <v>2</v>
      </c>
      <c r="I191" s="23" t="s">
        <v>4709</v>
      </c>
      <c r="J191" s="23" t="s">
        <v>4711</v>
      </c>
      <c r="K191" s="23" t="s">
        <v>90</v>
      </c>
      <c r="L191" s="23" t="s">
        <v>4710</v>
      </c>
    </row>
    <row r="192" customFormat="false" ht="21.75" hidden="false" customHeight="true" outlineLevel="0" collapsed="false">
      <c r="A192" s="22" t="s">
        <v>8367</v>
      </c>
      <c r="B192" s="23" t="s">
        <v>1919</v>
      </c>
      <c r="C192" s="24" t="s">
        <v>1910</v>
      </c>
      <c r="D192" s="24" t="s">
        <v>1500</v>
      </c>
      <c r="E192" s="24" t="s">
        <v>1911</v>
      </c>
      <c r="F192" s="23" t="s">
        <v>1912</v>
      </c>
      <c r="G192" s="26" t="s">
        <v>74</v>
      </c>
      <c r="H192" s="24" t="n">
        <v>5</v>
      </c>
      <c r="I192" s="23" t="s">
        <v>1920</v>
      </c>
      <c r="J192" s="23" t="s">
        <v>1922</v>
      </c>
      <c r="K192" s="23" t="s">
        <v>74</v>
      </c>
      <c r="L192" s="23" t="s">
        <v>1921</v>
      </c>
    </row>
    <row r="193" customFormat="false" ht="32.25" hidden="false" customHeight="true" outlineLevel="0" collapsed="false">
      <c r="A193" s="22" t="s">
        <v>8367</v>
      </c>
      <c r="B193" s="23" t="s">
        <v>4893</v>
      </c>
      <c r="C193" s="24" t="s">
        <v>4884</v>
      </c>
      <c r="D193" s="24" t="s">
        <v>4582</v>
      </c>
      <c r="E193" s="24" t="s">
        <v>4885</v>
      </c>
      <c r="F193" s="23" t="s">
        <v>4886</v>
      </c>
      <c r="G193" s="28" t="s">
        <v>73</v>
      </c>
      <c r="H193" s="24" t="n">
        <v>9</v>
      </c>
      <c r="I193" s="23" t="s">
        <v>4894</v>
      </c>
      <c r="J193" s="23" t="s">
        <v>4896</v>
      </c>
      <c r="K193" s="23" t="s">
        <v>119</v>
      </c>
      <c r="L193" s="23" t="s">
        <v>4895</v>
      </c>
    </row>
    <row r="194" customFormat="false" ht="21.75" hidden="false" customHeight="true" outlineLevel="0" collapsed="false">
      <c r="A194" s="22" t="s">
        <v>8367</v>
      </c>
      <c r="B194" s="23" t="s">
        <v>4879</v>
      </c>
      <c r="C194" s="24" t="s">
        <v>4870</v>
      </c>
      <c r="D194" s="24" t="s">
        <v>4582</v>
      </c>
      <c r="E194" s="24" t="s">
        <v>4871</v>
      </c>
      <c r="F194" s="23" t="s">
        <v>4872</v>
      </c>
      <c r="G194" s="26" t="s">
        <v>74</v>
      </c>
      <c r="H194" s="24" t="n">
        <v>5</v>
      </c>
      <c r="I194" s="23" t="s">
        <v>4880</v>
      </c>
      <c r="J194" s="23" t="s">
        <v>4882</v>
      </c>
      <c r="K194" s="23" t="s">
        <v>90</v>
      </c>
      <c r="L194" s="23" t="s">
        <v>4881</v>
      </c>
    </row>
    <row r="195" customFormat="false" ht="21.75" hidden="false" customHeight="true" outlineLevel="0" collapsed="false">
      <c r="A195" s="22" t="s">
        <v>8367</v>
      </c>
      <c r="B195" s="23" t="s">
        <v>1725</v>
      </c>
      <c r="C195" s="24" t="s">
        <v>1718</v>
      </c>
      <c r="D195" s="24" t="s">
        <v>1500</v>
      </c>
      <c r="E195" s="24" t="s">
        <v>1706</v>
      </c>
      <c r="F195" s="23" t="s">
        <v>1719</v>
      </c>
      <c r="G195" s="28" t="s">
        <v>73</v>
      </c>
      <c r="H195" s="24" t="n">
        <v>9</v>
      </c>
      <c r="I195" s="23" t="s">
        <v>1726</v>
      </c>
      <c r="J195" s="23" t="s">
        <v>1728</v>
      </c>
      <c r="K195" s="23" t="s">
        <v>119</v>
      </c>
      <c r="L195" s="23" t="s">
        <v>1727</v>
      </c>
    </row>
    <row r="196" customFormat="false" ht="21.75" hidden="false" customHeight="true" outlineLevel="0" collapsed="false">
      <c r="A196" s="22" t="s">
        <v>8367</v>
      </c>
      <c r="B196" s="23" t="s">
        <v>4749</v>
      </c>
      <c r="C196" s="24" t="s">
        <v>4740</v>
      </c>
      <c r="D196" s="24" t="s">
        <v>4582</v>
      </c>
      <c r="E196" s="24" t="s">
        <v>4741</v>
      </c>
      <c r="F196" s="23" t="s">
        <v>4742</v>
      </c>
      <c r="G196" s="25" t="s">
        <v>90</v>
      </c>
      <c r="H196" s="24" t="n">
        <v>7</v>
      </c>
      <c r="I196" s="23" t="s">
        <v>4750</v>
      </c>
      <c r="J196" s="23" t="s">
        <v>4752</v>
      </c>
      <c r="K196" s="23" t="s">
        <v>74</v>
      </c>
      <c r="L196" s="23" t="s">
        <v>4751</v>
      </c>
    </row>
    <row r="197" customFormat="false" ht="21.75" hidden="false" customHeight="true" outlineLevel="0" collapsed="false">
      <c r="A197" s="22" t="s">
        <v>8367</v>
      </c>
      <c r="B197" s="23" t="s">
        <v>4683</v>
      </c>
      <c r="C197" s="24" t="s">
        <v>4675</v>
      </c>
      <c r="D197" s="24" t="s">
        <v>4582</v>
      </c>
      <c r="E197" s="24" t="s">
        <v>4663</v>
      </c>
      <c r="F197" s="23" t="s">
        <v>4676</v>
      </c>
      <c r="G197" s="27" t="s">
        <v>119</v>
      </c>
      <c r="H197" s="24" t="n">
        <v>2</v>
      </c>
      <c r="I197" s="23" t="s">
        <v>4684</v>
      </c>
      <c r="J197" s="23" t="s">
        <v>4686</v>
      </c>
      <c r="K197" s="23" t="s">
        <v>90</v>
      </c>
      <c r="L197" s="23" t="s">
        <v>4685</v>
      </c>
    </row>
    <row r="198" customFormat="false" ht="21.75" hidden="false" customHeight="true" outlineLevel="0" collapsed="false">
      <c r="A198" s="22" t="s">
        <v>8367</v>
      </c>
      <c r="B198" s="23" t="s">
        <v>4683</v>
      </c>
      <c r="C198" s="24" t="s">
        <v>4688</v>
      </c>
      <c r="D198" s="24" t="s">
        <v>4582</v>
      </c>
      <c r="E198" s="24" t="s">
        <v>4689</v>
      </c>
      <c r="F198" s="23" t="s">
        <v>4690</v>
      </c>
      <c r="G198" s="25" t="s">
        <v>90</v>
      </c>
      <c r="H198" s="24" t="n">
        <v>7</v>
      </c>
      <c r="I198" s="23" t="s">
        <v>4697</v>
      </c>
      <c r="J198" s="23" t="s">
        <v>4699</v>
      </c>
      <c r="K198" s="23" t="s">
        <v>74</v>
      </c>
      <c r="L198" s="23" t="s">
        <v>4698</v>
      </c>
    </row>
    <row r="199" customFormat="false" ht="21.75" hidden="false" customHeight="true" outlineLevel="0" collapsed="false">
      <c r="A199" s="22" t="s">
        <v>8367</v>
      </c>
      <c r="B199" s="23" t="s">
        <v>4643</v>
      </c>
      <c r="C199" s="24" t="s">
        <v>4634</v>
      </c>
      <c r="D199" s="24" t="s">
        <v>4582</v>
      </c>
      <c r="E199" s="24" t="s">
        <v>4635</v>
      </c>
      <c r="F199" s="23" t="s">
        <v>4636</v>
      </c>
      <c r="G199" s="28" t="s">
        <v>73</v>
      </c>
      <c r="H199" s="24" t="n">
        <v>9</v>
      </c>
      <c r="I199" s="23" t="s">
        <v>4644</v>
      </c>
      <c r="J199" s="23" t="s">
        <v>4646</v>
      </c>
      <c r="K199" s="23" t="s">
        <v>119</v>
      </c>
      <c r="L199" s="23" t="s">
        <v>4645</v>
      </c>
    </row>
    <row r="200" customFormat="false" ht="21.75" hidden="false" customHeight="true" outlineLevel="0" collapsed="false">
      <c r="A200" s="22" t="s">
        <v>8398</v>
      </c>
      <c r="B200" s="23" t="s">
        <v>146</v>
      </c>
      <c r="C200" s="24" t="s">
        <v>137</v>
      </c>
      <c r="D200" s="24" t="s">
        <v>59</v>
      </c>
      <c r="E200" s="24" t="s">
        <v>138</v>
      </c>
      <c r="F200" s="23" t="s">
        <v>139</v>
      </c>
      <c r="G200" s="25" t="s">
        <v>90</v>
      </c>
      <c r="H200" s="24" t="n">
        <v>6</v>
      </c>
      <c r="I200" s="23" t="s">
        <v>87</v>
      </c>
      <c r="J200" s="23" t="s">
        <v>148</v>
      </c>
      <c r="K200" s="23" t="s">
        <v>74</v>
      </c>
      <c r="L200" s="23" t="s">
        <v>147</v>
      </c>
    </row>
    <row r="201" customFormat="false" ht="21.75" hidden="false" customHeight="true" outlineLevel="0" collapsed="false">
      <c r="A201" s="22" t="s">
        <v>8398</v>
      </c>
      <c r="B201" s="23" t="s">
        <v>146</v>
      </c>
      <c r="C201" s="24" t="s">
        <v>600</v>
      </c>
      <c r="D201" s="24" t="s">
        <v>59</v>
      </c>
      <c r="E201" s="24" t="s">
        <v>587</v>
      </c>
      <c r="F201" s="23" t="s">
        <v>601</v>
      </c>
      <c r="G201" s="26" t="s">
        <v>74</v>
      </c>
      <c r="H201" s="24" t="n">
        <v>5</v>
      </c>
      <c r="I201" s="23" t="s">
        <v>608</v>
      </c>
      <c r="J201" s="23" t="s">
        <v>610</v>
      </c>
      <c r="K201" s="23" t="s">
        <v>74</v>
      </c>
      <c r="L201" s="23" t="s">
        <v>609</v>
      </c>
    </row>
    <row r="202" customFormat="false" ht="15" hidden="false" customHeight="true" outlineLevel="0" collapsed="false">
      <c r="A202" s="22" t="s">
        <v>8398</v>
      </c>
      <c r="B202" s="23" t="s">
        <v>146</v>
      </c>
      <c r="C202" s="24" t="s">
        <v>2891</v>
      </c>
      <c r="D202" s="24" t="s">
        <v>2713</v>
      </c>
      <c r="E202" s="24" t="s">
        <v>2868</v>
      </c>
      <c r="F202" s="23" t="s">
        <v>2892</v>
      </c>
      <c r="G202" s="27" t="s">
        <v>119</v>
      </c>
      <c r="H202" s="24" t="n">
        <v>2</v>
      </c>
      <c r="I202" s="23" t="s">
        <v>2722</v>
      </c>
      <c r="J202" s="23" t="s">
        <v>2899</v>
      </c>
      <c r="K202" s="23" t="s">
        <v>74</v>
      </c>
      <c r="L202" s="23" t="s">
        <v>2898</v>
      </c>
    </row>
    <row r="203" customFormat="false" ht="21.75" hidden="false" customHeight="true" outlineLevel="0" collapsed="false">
      <c r="A203" s="22" t="s">
        <v>8398</v>
      </c>
      <c r="B203" s="23" t="s">
        <v>1321</v>
      </c>
      <c r="C203" s="24" t="s">
        <v>1313</v>
      </c>
      <c r="D203" s="24" t="s">
        <v>837</v>
      </c>
      <c r="E203" s="24" t="s">
        <v>1314</v>
      </c>
      <c r="F203" s="23" t="s">
        <v>1315</v>
      </c>
      <c r="G203" s="26" t="s">
        <v>74</v>
      </c>
      <c r="H203" s="24" t="n">
        <v>5</v>
      </c>
      <c r="I203" s="23" t="s">
        <v>1322</v>
      </c>
      <c r="J203" s="23" t="s">
        <v>1324</v>
      </c>
      <c r="K203" s="23" t="s">
        <v>74</v>
      </c>
      <c r="L203" s="23" t="s">
        <v>1323</v>
      </c>
    </row>
    <row r="204" customFormat="false" ht="21.75" hidden="false" customHeight="true" outlineLevel="0" collapsed="false">
      <c r="A204" s="22" t="s">
        <v>8390</v>
      </c>
      <c r="B204" s="23" t="s">
        <v>3032</v>
      </c>
      <c r="C204" s="24" t="s">
        <v>3023</v>
      </c>
      <c r="D204" s="24" t="s">
        <v>2713</v>
      </c>
      <c r="E204" s="24" t="s">
        <v>3024</v>
      </c>
      <c r="F204" s="23" t="s">
        <v>3025</v>
      </c>
      <c r="G204" s="25" t="s">
        <v>90</v>
      </c>
      <c r="H204" s="24" t="n">
        <v>7</v>
      </c>
      <c r="I204" s="23" t="s">
        <v>146</v>
      </c>
      <c r="J204" s="23" t="s">
        <v>3034</v>
      </c>
      <c r="K204" s="23" t="s">
        <v>74</v>
      </c>
      <c r="L204" s="23" t="s">
        <v>3033</v>
      </c>
    </row>
    <row r="205" customFormat="false" ht="21.75" hidden="false" customHeight="true" outlineLevel="0" collapsed="false">
      <c r="A205" s="22" t="s">
        <v>8390</v>
      </c>
      <c r="B205" s="23" t="s">
        <v>3032</v>
      </c>
      <c r="C205" s="24" t="s">
        <v>3036</v>
      </c>
      <c r="D205" s="24" t="s">
        <v>2713</v>
      </c>
      <c r="E205" s="24" t="s">
        <v>3024</v>
      </c>
      <c r="F205" s="23" t="s">
        <v>3037</v>
      </c>
      <c r="G205" s="26" t="s">
        <v>74</v>
      </c>
      <c r="H205" s="24" t="n">
        <v>5</v>
      </c>
      <c r="I205" s="23" t="s">
        <v>2850</v>
      </c>
      <c r="J205" s="23" t="s">
        <v>3044</v>
      </c>
      <c r="K205" s="23" t="s">
        <v>74</v>
      </c>
      <c r="L205" s="23" t="s">
        <v>3043</v>
      </c>
    </row>
    <row r="206" customFormat="false" ht="21.75" hidden="false" customHeight="true" outlineLevel="0" collapsed="false">
      <c r="A206" s="22" t="s">
        <v>8390</v>
      </c>
      <c r="B206" s="23" t="s">
        <v>3032</v>
      </c>
      <c r="C206" s="24" t="s">
        <v>3046</v>
      </c>
      <c r="D206" s="24" t="s">
        <v>2713</v>
      </c>
      <c r="E206" s="24" t="s">
        <v>3024</v>
      </c>
      <c r="F206" s="23" t="s">
        <v>3047</v>
      </c>
      <c r="G206" s="27" t="s">
        <v>119</v>
      </c>
      <c r="H206" s="24" t="n">
        <v>2</v>
      </c>
      <c r="I206" s="23" t="s">
        <v>3054</v>
      </c>
      <c r="J206" s="23" t="s">
        <v>3056</v>
      </c>
      <c r="K206" s="23" t="s">
        <v>90</v>
      </c>
      <c r="L206" s="23" t="s">
        <v>3055</v>
      </c>
    </row>
    <row r="207" customFormat="false" ht="21.75" hidden="false" customHeight="true" outlineLevel="0" collapsed="false">
      <c r="A207" s="22" t="s">
        <v>8390</v>
      </c>
      <c r="B207" s="23" t="s">
        <v>3077</v>
      </c>
      <c r="C207" s="24" t="s">
        <v>3069</v>
      </c>
      <c r="D207" s="24" t="s">
        <v>2713</v>
      </c>
      <c r="E207" s="24" t="s">
        <v>3070</v>
      </c>
      <c r="F207" s="23" t="s">
        <v>3071</v>
      </c>
      <c r="G207" s="26" t="s">
        <v>74</v>
      </c>
      <c r="H207" s="24" t="n">
        <v>4</v>
      </c>
      <c r="I207" s="23" t="s">
        <v>3078</v>
      </c>
      <c r="J207" s="23" t="s">
        <v>3080</v>
      </c>
      <c r="K207" s="23" t="s">
        <v>90</v>
      </c>
      <c r="L207" s="23" t="s">
        <v>3079</v>
      </c>
    </row>
    <row r="208" customFormat="false" ht="21.75" hidden="false" customHeight="true" outlineLevel="0" collapsed="false">
      <c r="A208" s="22" t="s">
        <v>8390</v>
      </c>
      <c r="B208" s="23" t="s">
        <v>898</v>
      </c>
      <c r="C208" s="24" t="s">
        <v>3058</v>
      </c>
      <c r="D208" s="24" t="s">
        <v>2713</v>
      </c>
      <c r="E208" s="24" t="s">
        <v>3024</v>
      </c>
      <c r="F208" s="23" t="s">
        <v>3059</v>
      </c>
      <c r="G208" s="26" t="s">
        <v>74</v>
      </c>
      <c r="H208" s="24" t="n">
        <v>5</v>
      </c>
      <c r="I208" s="23" t="s">
        <v>3065</v>
      </c>
      <c r="J208" s="23" t="s">
        <v>3067</v>
      </c>
      <c r="K208" s="23" t="s">
        <v>90</v>
      </c>
      <c r="L208" s="23" t="s">
        <v>3066</v>
      </c>
    </row>
    <row r="209" customFormat="false" ht="21.75" hidden="false" customHeight="true" outlineLevel="0" collapsed="false">
      <c r="A209" s="22" t="s">
        <v>8390</v>
      </c>
      <c r="B209" s="23" t="s">
        <v>2837</v>
      </c>
      <c r="C209" s="24" t="s">
        <v>2830</v>
      </c>
      <c r="D209" s="24" t="s">
        <v>2713</v>
      </c>
      <c r="E209" s="24" t="s">
        <v>2807</v>
      </c>
      <c r="F209" s="23" t="s">
        <v>2831</v>
      </c>
      <c r="G209" s="25" t="s">
        <v>90</v>
      </c>
      <c r="H209" s="24" t="n">
        <v>7</v>
      </c>
      <c r="I209" s="23" t="s">
        <v>2838</v>
      </c>
      <c r="J209" s="23" t="s">
        <v>2840</v>
      </c>
      <c r="K209" s="23" t="s">
        <v>74</v>
      </c>
      <c r="L209" s="23" t="s">
        <v>2839</v>
      </c>
    </row>
    <row r="210" customFormat="false" ht="21.75" hidden="false" customHeight="true" outlineLevel="0" collapsed="false">
      <c r="A210" s="22" t="s">
        <v>8390</v>
      </c>
      <c r="B210" s="23" t="s">
        <v>2837</v>
      </c>
      <c r="C210" s="24" t="s">
        <v>2963</v>
      </c>
      <c r="D210" s="24" t="s">
        <v>2713</v>
      </c>
      <c r="E210" s="24" t="s">
        <v>2925</v>
      </c>
      <c r="F210" s="23" t="s">
        <v>2964</v>
      </c>
      <c r="G210" s="26" t="s">
        <v>74</v>
      </c>
      <c r="H210" s="24" t="n">
        <v>5</v>
      </c>
      <c r="I210" s="23" t="s">
        <v>2970</v>
      </c>
      <c r="J210" s="23" t="s">
        <v>2972</v>
      </c>
      <c r="K210" s="23" t="s">
        <v>74</v>
      </c>
      <c r="L210" s="23" t="s">
        <v>2971</v>
      </c>
    </row>
    <row r="211" customFormat="false" ht="21.75" hidden="false" customHeight="true" outlineLevel="0" collapsed="false">
      <c r="A211" s="22" t="s">
        <v>8378</v>
      </c>
      <c r="B211" s="23" t="s">
        <v>3508</v>
      </c>
      <c r="C211" s="24" t="s">
        <v>3500</v>
      </c>
      <c r="D211" s="24" t="s">
        <v>3291</v>
      </c>
      <c r="E211" s="24" t="s">
        <v>3501</v>
      </c>
      <c r="F211" s="23" t="s">
        <v>3502</v>
      </c>
      <c r="G211" s="25" t="s">
        <v>90</v>
      </c>
      <c r="H211" s="24" t="n">
        <v>7</v>
      </c>
      <c r="I211" s="23" t="s">
        <v>3509</v>
      </c>
      <c r="J211" s="23" t="s">
        <v>3511</v>
      </c>
      <c r="K211" s="23" t="s">
        <v>74</v>
      </c>
      <c r="L211" s="23" t="s">
        <v>3510</v>
      </c>
    </row>
    <row r="212" customFormat="false" ht="21.75" hidden="false" customHeight="true" outlineLevel="0" collapsed="false">
      <c r="A212" s="22" t="s">
        <v>8378</v>
      </c>
      <c r="B212" s="23" t="s">
        <v>3522</v>
      </c>
      <c r="C212" s="24" t="s">
        <v>3513</v>
      </c>
      <c r="D212" s="24" t="s">
        <v>3291</v>
      </c>
      <c r="E212" s="24" t="s">
        <v>3514</v>
      </c>
      <c r="F212" s="23" t="s">
        <v>3515</v>
      </c>
      <c r="G212" s="25" t="s">
        <v>90</v>
      </c>
      <c r="H212" s="24" t="n">
        <v>6</v>
      </c>
      <c r="I212" s="23" t="s">
        <v>3523</v>
      </c>
      <c r="J212" s="23" t="s">
        <v>3525</v>
      </c>
      <c r="K212" s="23" t="s">
        <v>74</v>
      </c>
      <c r="L212" s="23" t="s">
        <v>3524</v>
      </c>
    </row>
    <row r="213" customFormat="false" ht="21.75" hidden="false" customHeight="true" outlineLevel="0" collapsed="false">
      <c r="A213" s="22" t="s">
        <v>8378</v>
      </c>
      <c r="B213" s="23" t="s">
        <v>1427</v>
      </c>
      <c r="C213" s="24" t="s">
        <v>1420</v>
      </c>
      <c r="D213" s="24" t="s">
        <v>837</v>
      </c>
      <c r="E213" s="24" t="s">
        <v>1408</v>
      </c>
      <c r="F213" s="23" t="s">
        <v>1421</v>
      </c>
      <c r="G213" s="26" t="s">
        <v>74</v>
      </c>
      <c r="H213" s="24" t="n">
        <v>4</v>
      </c>
      <c r="I213" s="23" t="s">
        <v>1428</v>
      </c>
      <c r="J213" s="23" t="s">
        <v>1430</v>
      </c>
      <c r="K213" s="23" t="s">
        <v>74</v>
      </c>
      <c r="L213" s="23" t="s">
        <v>1429</v>
      </c>
    </row>
    <row r="214" customFormat="false" ht="21.75" hidden="false" customHeight="true" outlineLevel="0" collapsed="false">
      <c r="A214" s="22" t="s">
        <v>8378</v>
      </c>
      <c r="B214" s="23" t="s">
        <v>3495</v>
      </c>
      <c r="C214" s="24" t="s">
        <v>3487</v>
      </c>
      <c r="D214" s="24" t="s">
        <v>3291</v>
      </c>
      <c r="E214" s="24" t="s">
        <v>3488</v>
      </c>
      <c r="F214" s="23" t="s">
        <v>3489</v>
      </c>
      <c r="G214" s="25" t="s">
        <v>90</v>
      </c>
      <c r="H214" s="24" t="n">
        <v>7</v>
      </c>
      <c r="I214" s="23" t="s">
        <v>3496</v>
      </c>
      <c r="J214" s="23" t="s">
        <v>3498</v>
      </c>
      <c r="K214" s="23" t="s">
        <v>74</v>
      </c>
      <c r="L214" s="23" t="s">
        <v>3497</v>
      </c>
    </row>
    <row r="215" customFormat="false" ht="21.75" hidden="false" customHeight="true" outlineLevel="0" collapsed="false">
      <c r="A215" s="22" t="s">
        <v>8378</v>
      </c>
      <c r="B215" s="23" t="s">
        <v>3600</v>
      </c>
      <c r="C215" s="24" t="s">
        <v>3592</v>
      </c>
      <c r="D215" s="24" t="s">
        <v>3291</v>
      </c>
      <c r="E215" s="24" t="s">
        <v>3593</v>
      </c>
      <c r="F215" s="23" t="s">
        <v>3594</v>
      </c>
      <c r="G215" s="25" t="s">
        <v>90</v>
      </c>
      <c r="H215" s="24" t="n">
        <v>7</v>
      </c>
      <c r="I215" s="23" t="s">
        <v>3601</v>
      </c>
      <c r="J215" s="23" t="s">
        <v>3603</v>
      </c>
      <c r="K215" s="23" t="s">
        <v>119</v>
      </c>
      <c r="L215" s="23" t="s">
        <v>3602</v>
      </c>
    </row>
    <row r="216" customFormat="false" ht="21.75" hidden="false" customHeight="true" outlineLevel="0" collapsed="false">
      <c r="A216" s="22" t="s">
        <v>8378</v>
      </c>
      <c r="B216" s="23" t="s">
        <v>1415</v>
      </c>
      <c r="C216" s="24" t="s">
        <v>1407</v>
      </c>
      <c r="D216" s="24" t="s">
        <v>837</v>
      </c>
      <c r="E216" s="24" t="s">
        <v>1408</v>
      </c>
      <c r="F216" s="23" t="s">
        <v>1409</v>
      </c>
      <c r="G216" s="25" t="s">
        <v>90</v>
      </c>
      <c r="H216" s="24" t="n">
        <v>6</v>
      </c>
      <c r="I216" s="23" t="s">
        <v>1416</v>
      </c>
      <c r="J216" s="23" t="s">
        <v>1418</v>
      </c>
      <c r="K216" s="23" t="s">
        <v>74</v>
      </c>
      <c r="L216" s="23" t="s">
        <v>1417</v>
      </c>
    </row>
    <row r="217" customFormat="false" ht="21.75" hidden="false" customHeight="true" outlineLevel="0" collapsed="false">
      <c r="A217" s="22" t="s">
        <v>8418</v>
      </c>
      <c r="B217" s="23" t="s">
        <v>3535</v>
      </c>
      <c r="C217" s="24" t="s">
        <v>3527</v>
      </c>
      <c r="D217" s="24" t="s">
        <v>3291</v>
      </c>
      <c r="E217" s="24" t="s">
        <v>3528</v>
      </c>
      <c r="F217" s="23" t="s">
        <v>3529</v>
      </c>
      <c r="G217" s="26" t="s">
        <v>74</v>
      </c>
      <c r="H217" s="24" t="n">
        <v>5</v>
      </c>
      <c r="I217" s="23" t="s">
        <v>3536</v>
      </c>
      <c r="J217" s="23" t="s">
        <v>3538</v>
      </c>
      <c r="K217" s="23" t="s">
        <v>90</v>
      </c>
      <c r="L217" s="23" t="s">
        <v>3537</v>
      </c>
    </row>
    <row r="218" customFormat="false" ht="21.75" hidden="false" customHeight="true" outlineLevel="0" collapsed="false">
      <c r="A218" s="22" t="s">
        <v>8419</v>
      </c>
      <c r="B218" s="23" t="s">
        <v>4461</v>
      </c>
      <c r="C218" s="24" t="s">
        <v>4453</v>
      </c>
      <c r="D218" s="24" t="s">
        <v>4203</v>
      </c>
      <c r="E218" s="24" t="s">
        <v>4454</v>
      </c>
      <c r="F218" s="23" t="s">
        <v>4455</v>
      </c>
      <c r="G218" s="26" t="s">
        <v>74</v>
      </c>
      <c r="H218" s="24" t="n">
        <v>4</v>
      </c>
      <c r="I218" s="23" t="s">
        <v>4462</v>
      </c>
      <c r="J218" s="23" t="s">
        <v>4464</v>
      </c>
      <c r="K218" s="23" t="s">
        <v>74</v>
      </c>
      <c r="L218" s="23" t="s">
        <v>4463</v>
      </c>
    </row>
    <row r="219" customFormat="false" ht="21.75" hidden="false" customHeight="true" outlineLevel="0" collapsed="false">
      <c r="A219" s="22" t="s">
        <v>8239</v>
      </c>
      <c r="B219" s="23" t="s">
        <v>1241</v>
      </c>
      <c r="C219" s="24" t="s">
        <v>1232</v>
      </c>
      <c r="D219" s="24" t="s">
        <v>837</v>
      </c>
      <c r="E219" s="24" t="s">
        <v>1233</v>
      </c>
      <c r="F219" s="23" t="s">
        <v>1234</v>
      </c>
      <c r="G219" s="28" t="s">
        <v>73</v>
      </c>
      <c r="H219" s="24" t="n">
        <v>9</v>
      </c>
      <c r="I219" s="23" t="s">
        <v>1242</v>
      </c>
      <c r="J219" s="23" t="s">
        <v>1244</v>
      </c>
      <c r="K219" s="23" t="s">
        <v>119</v>
      </c>
      <c r="L219" s="23" t="s">
        <v>1243</v>
      </c>
    </row>
    <row r="220" customFormat="false" ht="21.75" hidden="false" customHeight="true" outlineLevel="0" collapsed="false">
      <c r="A220" s="22" t="s">
        <v>8239</v>
      </c>
      <c r="B220" s="23" t="s">
        <v>1494</v>
      </c>
      <c r="C220" s="24" t="s">
        <v>1486</v>
      </c>
      <c r="D220" s="24" t="s">
        <v>837</v>
      </c>
      <c r="E220" s="24" t="s">
        <v>1447</v>
      </c>
      <c r="F220" s="23" t="s">
        <v>1487</v>
      </c>
      <c r="G220" s="25" t="s">
        <v>90</v>
      </c>
      <c r="H220" s="24" t="n">
        <v>8</v>
      </c>
      <c r="I220" s="23" t="s">
        <v>1495</v>
      </c>
      <c r="J220" s="23" t="s">
        <v>1497</v>
      </c>
      <c r="K220" s="23" t="s">
        <v>74</v>
      </c>
      <c r="L220" s="23" t="s">
        <v>1496</v>
      </c>
    </row>
    <row r="221" customFormat="false" ht="21.75" hidden="false" customHeight="true" outlineLevel="0" collapsed="false">
      <c r="A221" s="22" t="s">
        <v>8239</v>
      </c>
      <c r="B221" s="23" t="s">
        <v>1253</v>
      </c>
      <c r="C221" s="24" t="s">
        <v>1246</v>
      </c>
      <c r="D221" s="24" t="s">
        <v>837</v>
      </c>
      <c r="E221" s="24" t="s">
        <v>1233</v>
      </c>
      <c r="F221" s="23" t="s">
        <v>1247</v>
      </c>
      <c r="G221" s="25" t="s">
        <v>90</v>
      </c>
      <c r="H221" s="24" t="n">
        <v>8</v>
      </c>
      <c r="I221" s="23" t="s">
        <v>1254</v>
      </c>
      <c r="J221" s="23" t="s">
        <v>1256</v>
      </c>
      <c r="K221" s="23" t="s">
        <v>119</v>
      </c>
      <c r="L221" s="23" t="s">
        <v>1255</v>
      </c>
    </row>
    <row r="222" customFormat="false" ht="21.75" hidden="false" customHeight="true" outlineLevel="0" collapsed="false">
      <c r="A222" s="22" t="s">
        <v>8239</v>
      </c>
      <c r="B222" s="23" t="s">
        <v>5107</v>
      </c>
      <c r="C222" s="24" t="s">
        <v>5098</v>
      </c>
      <c r="D222" s="24" t="s">
        <v>4949</v>
      </c>
      <c r="E222" s="24" t="s">
        <v>5099</v>
      </c>
      <c r="F222" s="23" t="s">
        <v>5100</v>
      </c>
      <c r="G222" s="28" t="s">
        <v>73</v>
      </c>
      <c r="H222" s="24" t="n">
        <v>9</v>
      </c>
      <c r="I222" s="23" t="s">
        <v>5108</v>
      </c>
      <c r="J222" s="23" t="s">
        <v>5110</v>
      </c>
      <c r="K222" s="23" t="s">
        <v>119</v>
      </c>
      <c r="L222" s="23" t="s">
        <v>5109</v>
      </c>
    </row>
    <row r="223" customFormat="false" ht="15" hidden="false" customHeight="true" outlineLevel="0" collapsed="false">
      <c r="A223" s="22" t="s">
        <v>8368</v>
      </c>
      <c r="B223" s="23" t="s">
        <v>115</v>
      </c>
      <c r="C223" s="24" t="s">
        <v>106</v>
      </c>
      <c r="D223" s="24" t="s">
        <v>59</v>
      </c>
      <c r="E223" s="24" t="s">
        <v>107</v>
      </c>
      <c r="F223" s="23" t="s">
        <v>108</v>
      </c>
      <c r="G223" s="27" t="s">
        <v>119</v>
      </c>
      <c r="H223" s="24" t="n">
        <v>2</v>
      </c>
      <c r="I223" s="23" t="s">
        <v>116</v>
      </c>
      <c r="J223" s="23" t="s">
        <v>121</v>
      </c>
      <c r="K223" s="23" t="s">
        <v>90</v>
      </c>
      <c r="L223" s="23" t="s">
        <v>120</v>
      </c>
    </row>
    <row r="224" customFormat="false" ht="15" hidden="false" customHeight="true" outlineLevel="0" collapsed="false">
      <c r="A224" s="22" t="s">
        <v>8368</v>
      </c>
      <c r="B224" s="23" t="s">
        <v>2850</v>
      </c>
      <c r="C224" s="24" t="s">
        <v>2842</v>
      </c>
      <c r="D224" s="24" t="s">
        <v>2713</v>
      </c>
      <c r="E224" s="24" t="s">
        <v>2807</v>
      </c>
      <c r="F224" s="23" t="s">
        <v>2843</v>
      </c>
      <c r="G224" s="26" t="s">
        <v>74</v>
      </c>
      <c r="H224" s="24" t="n">
        <v>5</v>
      </c>
      <c r="I224" s="23" t="s">
        <v>2722</v>
      </c>
      <c r="J224" s="23" t="s">
        <v>2852</v>
      </c>
      <c r="K224" s="23" t="s">
        <v>90</v>
      </c>
      <c r="L224" s="23" t="s">
        <v>2851</v>
      </c>
    </row>
    <row r="225" customFormat="false" ht="21.75" hidden="false" customHeight="true" outlineLevel="0" collapsed="false">
      <c r="A225" s="22" t="s">
        <v>8368</v>
      </c>
      <c r="B225" s="23" t="s">
        <v>634</v>
      </c>
      <c r="C225" s="24" t="s">
        <v>626</v>
      </c>
      <c r="D225" s="24" t="s">
        <v>59</v>
      </c>
      <c r="E225" s="24" t="s">
        <v>627</v>
      </c>
      <c r="F225" s="23" t="s">
        <v>628</v>
      </c>
      <c r="G225" s="25" t="s">
        <v>90</v>
      </c>
      <c r="H225" s="24" t="n">
        <v>7</v>
      </c>
      <c r="I225" s="23" t="s">
        <v>635</v>
      </c>
      <c r="J225" s="23" t="s">
        <v>637</v>
      </c>
      <c r="K225" s="23" t="s">
        <v>74</v>
      </c>
      <c r="L225" s="23" t="s">
        <v>636</v>
      </c>
    </row>
    <row r="226" customFormat="false" ht="21.75" hidden="false" customHeight="true" outlineLevel="0" collapsed="false">
      <c r="A226" s="22" t="s">
        <v>8368</v>
      </c>
      <c r="B226" s="23" t="s">
        <v>634</v>
      </c>
      <c r="C226" s="24" t="s">
        <v>3082</v>
      </c>
      <c r="D226" s="24" t="s">
        <v>2713</v>
      </c>
      <c r="E226" s="24" t="s">
        <v>627</v>
      </c>
      <c r="F226" s="23" t="s">
        <v>3083</v>
      </c>
      <c r="G226" s="25" t="s">
        <v>90</v>
      </c>
      <c r="H226" s="24" t="n">
        <v>6</v>
      </c>
      <c r="I226" s="23" t="s">
        <v>3089</v>
      </c>
      <c r="J226" s="23" t="s">
        <v>3091</v>
      </c>
      <c r="K226" s="23" t="s">
        <v>74</v>
      </c>
      <c r="L226" s="23" t="s">
        <v>3090</v>
      </c>
    </row>
    <row r="227" customFormat="false" ht="21.75" hidden="false" customHeight="true" outlineLevel="0" collapsed="false">
      <c r="A227" s="22" t="s">
        <v>8368</v>
      </c>
      <c r="B227" s="23" t="s">
        <v>3626</v>
      </c>
      <c r="C227" s="24" t="s">
        <v>3618</v>
      </c>
      <c r="D227" s="24" t="s">
        <v>3291</v>
      </c>
      <c r="E227" s="24" t="s">
        <v>3619</v>
      </c>
      <c r="F227" s="23" t="s">
        <v>3620</v>
      </c>
      <c r="G227" s="28" t="s">
        <v>73</v>
      </c>
      <c r="H227" s="24" t="n">
        <v>9</v>
      </c>
      <c r="I227" s="23" t="s">
        <v>3627</v>
      </c>
      <c r="J227" s="23" t="s">
        <v>3629</v>
      </c>
      <c r="K227" s="23" t="s">
        <v>119</v>
      </c>
      <c r="L227" s="23" t="s">
        <v>3628</v>
      </c>
    </row>
    <row r="228" customFormat="false" ht="21.75" hidden="false" customHeight="true" outlineLevel="0" collapsed="false">
      <c r="A228" s="22" t="s">
        <v>8368</v>
      </c>
      <c r="B228" s="23" t="s">
        <v>621</v>
      </c>
      <c r="C228" s="24" t="s">
        <v>612</v>
      </c>
      <c r="D228" s="24" t="s">
        <v>59</v>
      </c>
      <c r="E228" s="24" t="s">
        <v>613</v>
      </c>
      <c r="F228" s="23" t="s">
        <v>614</v>
      </c>
      <c r="G228" s="26" t="s">
        <v>74</v>
      </c>
      <c r="H228" s="24" t="n">
        <v>5</v>
      </c>
      <c r="I228" s="23" t="s">
        <v>622</v>
      </c>
      <c r="J228" s="23" t="s">
        <v>624</v>
      </c>
      <c r="K228" s="23" t="s">
        <v>74</v>
      </c>
      <c r="L228" s="23" t="s">
        <v>623</v>
      </c>
    </row>
    <row r="229" customFormat="false" ht="21.75" hidden="false" customHeight="true" outlineLevel="0" collapsed="false">
      <c r="A229" s="22" t="s">
        <v>8368</v>
      </c>
      <c r="B229" s="23" t="s">
        <v>621</v>
      </c>
      <c r="C229" s="24" t="s">
        <v>652</v>
      </c>
      <c r="D229" s="24" t="s">
        <v>59</v>
      </c>
      <c r="E229" s="24" t="s">
        <v>653</v>
      </c>
      <c r="F229" s="23" t="s">
        <v>654</v>
      </c>
      <c r="G229" s="28" t="s">
        <v>73</v>
      </c>
      <c r="H229" s="24" t="n">
        <v>9</v>
      </c>
      <c r="I229" s="23" t="s">
        <v>660</v>
      </c>
      <c r="J229" s="23" t="s">
        <v>664</v>
      </c>
      <c r="K229" s="23" t="s">
        <v>119</v>
      </c>
      <c r="L229" s="23" t="s">
        <v>663</v>
      </c>
    </row>
    <row r="230" customFormat="false" ht="15" hidden="false" customHeight="true" outlineLevel="0" collapsed="false">
      <c r="A230" s="22" t="s">
        <v>8368</v>
      </c>
      <c r="B230" s="23" t="s">
        <v>621</v>
      </c>
      <c r="C230" s="24" t="s">
        <v>2819</v>
      </c>
      <c r="D230" s="24" t="s">
        <v>2713</v>
      </c>
      <c r="E230" s="24" t="s">
        <v>2807</v>
      </c>
      <c r="F230" s="23" t="s">
        <v>2820</v>
      </c>
      <c r="G230" s="25" t="s">
        <v>90</v>
      </c>
      <c r="H230" s="24" t="n">
        <v>8</v>
      </c>
      <c r="I230" s="23" t="s">
        <v>2826</v>
      </c>
      <c r="J230" s="23" t="s">
        <v>2828</v>
      </c>
      <c r="K230" s="23" t="s">
        <v>74</v>
      </c>
      <c r="L230" s="23" t="s">
        <v>2827</v>
      </c>
    </row>
    <row r="231" customFormat="false" ht="21.75" hidden="false" customHeight="true" outlineLevel="0" collapsed="false">
      <c r="A231" s="22" t="s">
        <v>8368</v>
      </c>
      <c r="B231" s="23" t="s">
        <v>2862</v>
      </c>
      <c r="C231" s="24" t="s">
        <v>2854</v>
      </c>
      <c r="D231" s="24" t="s">
        <v>2713</v>
      </c>
      <c r="E231" s="24" t="s">
        <v>2807</v>
      </c>
      <c r="F231" s="23" t="s">
        <v>2855</v>
      </c>
      <c r="G231" s="25" t="s">
        <v>90</v>
      </c>
      <c r="H231" s="24" t="n">
        <v>8</v>
      </c>
      <c r="I231" s="23" t="s">
        <v>2863</v>
      </c>
      <c r="J231" s="23" t="s">
        <v>2865</v>
      </c>
      <c r="K231" s="23" t="s">
        <v>74</v>
      </c>
      <c r="L231" s="23" t="s">
        <v>2864</v>
      </c>
    </row>
    <row r="232" customFormat="false" ht="21.75" hidden="false" customHeight="true" outlineLevel="0" collapsed="false">
      <c r="A232" s="22" t="s">
        <v>8368</v>
      </c>
      <c r="B232" s="23" t="s">
        <v>2862</v>
      </c>
      <c r="C232" s="24" t="s">
        <v>2867</v>
      </c>
      <c r="D232" s="24" t="s">
        <v>2713</v>
      </c>
      <c r="E232" s="24" t="s">
        <v>2868</v>
      </c>
      <c r="F232" s="23" t="s">
        <v>2869</v>
      </c>
      <c r="G232" s="26" t="s">
        <v>74</v>
      </c>
      <c r="H232" s="24" t="n">
        <v>5</v>
      </c>
      <c r="I232" s="23" t="s">
        <v>2875</v>
      </c>
      <c r="J232" s="23" t="s">
        <v>2877</v>
      </c>
      <c r="K232" s="23" t="s">
        <v>74</v>
      </c>
      <c r="L232" s="23" t="s">
        <v>2876</v>
      </c>
    </row>
    <row r="233" customFormat="false" ht="21.75" hidden="false" customHeight="true" outlineLevel="0" collapsed="false">
      <c r="A233" s="22" t="s">
        <v>8368</v>
      </c>
      <c r="B233" s="23" t="s">
        <v>1267</v>
      </c>
      <c r="C233" s="24" t="s">
        <v>1258</v>
      </c>
      <c r="D233" s="24" t="s">
        <v>837</v>
      </c>
      <c r="E233" s="24" t="s">
        <v>1259</v>
      </c>
      <c r="F233" s="23" t="s">
        <v>1260</v>
      </c>
      <c r="G233" s="25" t="s">
        <v>90</v>
      </c>
      <c r="H233" s="24" t="n">
        <v>8</v>
      </c>
      <c r="I233" s="23" t="s">
        <v>1268</v>
      </c>
      <c r="J233" s="23" t="s">
        <v>1270</v>
      </c>
      <c r="K233" s="23" t="s">
        <v>74</v>
      </c>
      <c r="L233" s="23" t="s">
        <v>1269</v>
      </c>
    </row>
    <row r="234" customFormat="false" ht="21.75" hidden="false" customHeight="true" outlineLevel="0" collapsed="false">
      <c r="A234" s="22" t="s">
        <v>8368</v>
      </c>
      <c r="B234" s="23" t="s">
        <v>1307</v>
      </c>
      <c r="C234" s="24" t="s">
        <v>1298</v>
      </c>
      <c r="D234" s="24" t="s">
        <v>837</v>
      </c>
      <c r="E234" s="24" t="s">
        <v>1299</v>
      </c>
      <c r="F234" s="23" t="s">
        <v>1300</v>
      </c>
      <c r="G234" s="26" t="s">
        <v>74</v>
      </c>
      <c r="H234" s="24" t="n">
        <v>4</v>
      </c>
      <c r="I234" s="23" t="s">
        <v>1308</v>
      </c>
      <c r="J234" s="23" t="s">
        <v>1311</v>
      </c>
      <c r="K234" s="23" t="s">
        <v>74</v>
      </c>
      <c r="L234" s="23" t="s">
        <v>1310</v>
      </c>
    </row>
    <row r="235" customFormat="false" ht="21.75" hidden="false" customHeight="true" outlineLevel="0" collapsed="false">
      <c r="A235" s="22" t="s">
        <v>8368</v>
      </c>
      <c r="B235" s="23" t="s">
        <v>3006</v>
      </c>
      <c r="C235" s="24" t="s">
        <v>2999</v>
      </c>
      <c r="D235" s="24" t="s">
        <v>2713</v>
      </c>
      <c r="E235" s="24" t="s">
        <v>2975</v>
      </c>
      <c r="F235" s="23" t="s">
        <v>3000</v>
      </c>
      <c r="G235" s="26" t="s">
        <v>74</v>
      </c>
      <c r="H235" s="24" t="n">
        <v>4</v>
      </c>
      <c r="I235" s="23" t="s">
        <v>3007</v>
      </c>
      <c r="J235" s="23" t="s">
        <v>3009</v>
      </c>
      <c r="K235" s="23" t="s">
        <v>90</v>
      </c>
      <c r="L235" s="23" t="s">
        <v>3008</v>
      </c>
    </row>
    <row r="236" customFormat="false" ht="21.75" hidden="false" customHeight="true" outlineLevel="0" collapsed="false">
      <c r="A236" s="22" t="s">
        <v>8368</v>
      </c>
      <c r="B236" s="23" t="s">
        <v>2745</v>
      </c>
      <c r="C236" s="24" t="s">
        <v>2737</v>
      </c>
      <c r="D236" s="24" t="s">
        <v>2713</v>
      </c>
      <c r="E236" s="24" t="s">
        <v>2714</v>
      </c>
      <c r="F236" s="23" t="s">
        <v>2738</v>
      </c>
      <c r="G236" s="28" t="s">
        <v>73</v>
      </c>
      <c r="H236" s="24" t="n">
        <v>9</v>
      </c>
      <c r="I236" s="23" t="s">
        <v>2746</v>
      </c>
      <c r="J236" s="23" t="s">
        <v>2748</v>
      </c>
      <c r="K236" s="23" t="s">
        <v>119</v>
      </c>
      <c r="L236" s="23" t="s">
        <v>2747</v>
      </c>
    </row>
    <row r="237" customFormat="false" ht="15" hidden="false" customHeight="true" outlineLevel="0" collapsed="false">
      <c r="A237" s="22" t="s">
        <v>8368</v>
      </c>
      <c r="B237" s="23" t="s">
        <v>2790</v>
      </c>
      <c r="C237" s="24" t="s">
        <v>2783</v>
      </c>
      <c r="D237" s="24" t="s">
        <v>2713</v>
      </c>
      <c r="E237" s="24" t="s">
        <v>2714</v>
      </c>
      <c r="F237" s="23" t="s">
        <v>2784</v>
      </c>
      <c r="G237" s="27" t="s">
        <v>119</v>
      </c>
      <c r="H237" s="24" t="n">
        <v>2</v>
      </c>
      <c r="I237" s="23" t="s">
        <v>102</v>
      </c>
      <c r="J237" s="23" t="s">
        <v>2792</v>
      </c>
      <c r="K237" s="23" t="s">
        <v>90</v>
      </c>
      <c r="L237" s="23" t="s">
        <v>2791</v>
      </c>
    </row>
    <row r="238" customFormat="false" ht="21.75" hidden="false" customHeight="true" outlineLevel="0" collapsed="false">
      <c r="A238" s="22" t="s">
        <v>8368</v>
      </c>
      <c r="B238" s="23" t="s">
        <v>2909</v>
      </c>
      <c r="C238" s="24" t="s">
        <v>2901</v>
      </c>
      <c r="D238" s="24" t="s">
        <v>2713</v>
      </c>
      <c r="E238" s="24" t="s">
        <v>2868</v>
      </c>
      <c r="F238" s="23" t="s">
        <v>2902</v>
      </c>
      <c r="G238" s="25" t="s">
        <v>90</v>
      </c>
      <c r="H238" s="24" t="n">
        <v>7</v>
      </c>
      <c r="I238" s="23" t="s">
        <v>374</v>
      </c>
      <c r="J238" s="23" t="s">
        <v>2911</v>
      </c>
      <c r="K238" s="23" t="s">
        <v>74</v>
      </c>
      <c r="L238" s="23" t="s">
        <v>2910</v>
      </c>
    </row>
    <row r="239" customFormat="false" ht="21.75" hidden="false" customHeight="true" outlineLevel="0" collapsed="false">
      <c r="A239" s="22" t="s">
        <v>8368</v>
      </c>
      <c r="B239" s="23" t="s">
        <v>3176</v>
      </c>
      <c r="C239" s="24" t="s">
        <v>3168</v>
      </c>
      <c r="D239" s="24" t="s">
        <v>2713</v>
      </c>
      <c r="E239" s="24" t="s">
        <v>3169</v>
      </c>
      <c r="F239" s="23" t="s">
        <v>3170</v>
      </c>
      <c r="G239" s="28" t="s">
        <v>73</v>
      </c>
      <c r="H239" s="24" t="n">
        <v>9</v>
      </c>
      <c r="I239" s="23" t="s">
        <v>3077</v>
      </c>
      <c r="J239" s="23" t="s">
        <v>3178</v>
      </c>
      <c r="K239" s="23" t="s">
        <v>74</v>
      </c>
      <c r="L239" s="23" t="s">
        <v>3177</v>
      </c>
    </row>
    <row r="240" customFormat="false" ht="21.75" hidden="false" customHeight="true" outlineLevel="0" collapsed="false">
      <c r="A240" s="22" t="s">
        <v>8368</v>
      </c>
      <c r="B240" s="23" t="s">
        <v>2920</v>
      </c>
      <c r="C240" s="24" t="s">
        <v>2913</v>
      </c>
      <c r="D240" s="24" t="s">
        <v>2713</v>
      </c>
      <c r="E240" s="24" t="s">
        <v>2868</v>
      </c>
      <c r="F240" s="23" t="s">
        <v>2914</v>
      </c>
      <c r="G240" s="26" t="s">
        <v>74</v>
      </c>
      <c r="H240" s="24" t="n">
        <v>4</v>
      </c>
      <c r="I240" s="23" t="s">
        <v>2722</v>
      </c>
      <c r="J240" s="23" t="s">
        <v>2922</v>
      </c>
      <c r="K240" s="23" t="s">
        <v>74</v>
      </c>
      <c r="L240" s="23" t="s">
        <v>2921</v>
      </c>
    </row>
    <row r="241" customFormat="false" ht="21.75" hidden="false" customHeight="true" outlineLevel="0" collapsed="false">
      <c r="A241" s="22" t="s">
        <v>8368</v>
      </c>
      <c r="B241" s="23" t="s">
        <v>3810</v>
      </c>
      <c r="C241" s="24" t="s">
        <v>3801</v>
      </c>
      <c r="D241" s="24" t="s">
        <v>3291</v>
      </c>
      <c r="E241" s="24" t="s">
        <v>3802</v>
      </c>
      <c r="F241" s="23" t="s">
        <v>3803</v>
      </c>
      <c r="G241" s="28" t="s">
        <v>73</v>
      </c>
      <c r="H241" s="24" t="n">
        <v>9</v>
      </c>
      <c r="I241" s="23" t="s">
        <v>3811</v>
      </c>
      <c r="J241" s="23" t="s">
        <v>3813</v>
      </c>
      <c r="K241" s="23" t="s">
        <v>74</v>
      </c>
      <c r="L241" s="23" t="s">
        <v>3812</v>
      </c>
    </row>
    <row r="242" customFormat="false" ht="21.75" hidden="false" customHeight="true" outlineLevel="0" collapsed="false">
      <c r="A242" s="22" t="s">
        <v>8368</v>
      </c>
      <c r="B242" s="23" t="s">
        <v>3238</v>
      </c>
      <c r="C242" s="24" t="s">
        <v>3230</v>
      </c>
      <c r="D242" s="24" t="s">
        <v>2713</v>
      </c>
      <c r="E242" s="24" t="s">
        <v>3231</v>
      </c>
      <c r="F242" s="23" t="s">
        <v>3232</v>
      </c>
      <c r="G242" s="25" t="s">
        <v>90</v>
      </c>
      <c r="H242" s="24" t="n">
        <v>7</v>
      </c>
      <c r="I242" s="23" t="s">
        <v>102</v>
      </c>
      <c r="J242" s="23" t="s">
        <v>3240</v>
      </c>
      <c r="K242" s="23" t="s">
        <v>74</v>
      </c>
      <c r="L242" s="23" t="s">
        <v>3239</v>
      </c>
    </row>
    <row r="243" customFormat="false" ht="15" hidden="false" customHeight="true" outlineLevel="0" collapsed="false">
      <c r="A243" s="22" t="s">
        <v>8368</v>
      </c>
      <c r="B243" s="23" t="s">
        <v>2721</v>
      </c>
      <c r="C243" s="24" t="s">
        <v>2712</v>
      </c>
      <c r="D243" s="24" t="s">
        <v>2713</v>
      </c>
      <c r="E243" s="24" t="s">
        <v>2714</v>
      </c>
      <c r="F243" s="23" t="s">
        <v>2715</v>
      </c>
      <c r="G243" s="25" t="s">
        <v>90</v>
      </c>
      <c r="H243" s="24" t="n">
        <v>7</v>
      </c>
      <c r="I243" s="23" t="s">
        <v>2722</v>
      </c>
      <c r="J243" s="23" t="s">
        <v>2724</v>
      </c>
      <c r="K243" s="23" t="s">
        <v>74</v>
      </c>
      <c r="L243" s="23" t="s">
        <v>2723</v>
      </c>
    </row>
    <row r="244" customFormat="false" ht="21.75" hidden="false" customHeight="true" outlineLevel="0" collapsed="false">
      <c r="A244" s="22" t="s">
        <v>8368</v>
      </c>
      <c r="B244" s="23" t="s">
        <v>2721</v>
      </c>
      <c r="C244" s="24" t="s">
        <v>2726</v>
      </c>
      <c r="D244" s="24" t="s">
        <v>2713</v>
      </c>
      <c r="E244" s="24" t="s">
        <v>2714</v>
      </c>
      <c r="F244" s="23" t="s">
        <v>2727</v>
      </c>
      <c r="G244" s="28" t="s">
        <v>73</v>
      </c>
      <c r="H244" s="24" t="n">
        <v>9</v>
      </c>
      <c r="I244" s="23" t="s">
        <v>2733</v>
      </c>
      <c r="J244" s="23" t="s">
        <v>2735</v>
      </c>
      <c r="K244" s="23" t="s">
        <v>119</v>
      </c>
      <c r="L244" s="23" t="s">
        <v>2734</v>
      </c>
    </row>
    <row r="245" customFormat="false" ht="21.75" hidden="false" customHeight="true" outlineLevel="0" collapsed="false">
      <c r="A245" s="22" t="s">
        <v>8368</v>
      </c>
      <c r="B245" s="23" t="s">
        <v>2757</v>
      </c>
      <c r="C245" s="24" t="s">
        <v>2750</v>
      </c>
      <c r="D245" s="24" t="s">
        <v>2713</v>
      </c>
      <c r="E245" s="24" t="s">
        <v>2714</v>
      </c>
      <c r="F245" s="23" t="s">
        <v>2751</v>
      </c>
      <c r="G245" s="25" t="s">
        <v>90</v>
      </c>
      <c r="H245" s="24" t="n">
        <v>7</v>
      </c>
      <c r="I245" s="23" t="s">
        <v>2758</v>
      </c>
      <c r="J245" s="23" t="s">
        <v>2760</v>
      </c>
      <c r="K245" s="23" t="s">
        <v>74</v>
      </c>
      <c r="L245" s="23" t="s">
        <v>2759</v>
      </c>
    </row>
    <row r="246" customFormat="false" ht="21.75" hidden="false" customHeight="true" outlineLevel="0" collapsed="false">
      <c r="A246" s="22" t="s">
        <v>8368</v>
      </c>
      <c r="B246" s="23" t="s">
        <v>2757</v>
      </c>
      <c r="C246" s="24" t="s">
        <v>2762</v>
      </c>
      <c r="D246" s="24" t="s">
        <v>2713</v>
      </c>
      <c r="E246" s="24" t="s">
        <v>2714</v>
      </c>
      <c r="F246" s="23" t="s">
        <v>2763</v>
      </c>
      <c r="G246" s="27" t="s">
        <v>119</v>
      </c>
      <c r="H246" s="24" t="n">
        <v>2</v>
      </c>
      <c r="I246" s="23" t="s">
        <v>235</v>
      </c>
      <c r="J246" s="23" t="s">
        <v>2770</v>
      </c>
      <c r="K246" s="23" t="s">
        <v>90</v>
      </c>
      <c r="L246" s="23" t="s">
        <v>2769</v>
      </c>
    </row>
    <row r="247" customFormat="false" ht="21.75" hidden="false" customHeight="true" outlineLevel="0" collapsed="false">
      <c r="A247" s="22" t="s">
        <v>8368</v>
      </c>
      <c r="B247" s="23" t="s">
        <v>2757</v>
      </c>
      <c r="C247" s="24" t="s">
        <v>2772</v>
      </c>
      <c r="D247" s="24" t="s">
        <v>2713</v>
      </c>
      <c r="E247" s="24" t="s">
        <v>2714</v>
      </c>
      <c r="F247" s="23" t="s">
        <v>2773</v>
      </c>
      <c r="G247" s="26" t="s">
        <v>74</v>
      </c>
      <c r="H247" s="24" t="n">
        <v>4</v>
      </c>
      <c r="I247" s="23" t="s">
        <v>87</v>
      </c>
      <c r="J247" s="23" t="s">
        <v>2781</v>
      </c>
      <c r="K247" s="23" t="s">
        <v>74</v>
      </c>
      <c r="L247" s="23" t="s">
        <v>2780</v>
      </c>
    </row>
    <row r="248" customFormat="false" ht="21.75" hidden="false" customHeight="true" outlineLevel="0" collapsed="false">
      <c r="A248" s="22" t="s">
        <v>8368</v>
      </c>
      <c r="B248" s="23" t="s">
        <v>131</v>
      </c>
      <c r="C248" s="24" t="s">
        <v>123</v>
      </c>
      <c r="D248" s="24" t="s">
        <v>59</v>
      </c>
      <c r="E248" s="24" t="s">
        <v>124</v>
      </c>
      <c r="F248" s="23" t="s">
        <v>125</v>
      </c>
      <c r="G248" s="28" t="s">
        <v>73</v>
      </c>
      <c r="H248" s="24" t="n">
        <v>9</v>
      </c>
      <c r="I248" s="23" t="s">
        <v>132</v>
      </c>
      <c r="J248" s="23" t="s">
        <v>135</v>
      </c>
      <c r="K248" s="23" t="s">
        <v>74</v>
      </c>
      <c r="L248" s="23" t="s">
        <v>134</v>
      </c>
    </row>
    <row r="249" customFormat="false" ht="21.75" hidden="false" customHeight="true" outlineLevel="0" collapsed="false">
      <c r="A249" s="22" t="s">
        <v>8368</v>
      </c>
      <c r="B249" s="23" t="s">
        <v>2887</v>
      </c>
      <c r="C249" s="24" t="s">
        <v>2879</v>
      </c>
      <c r="D249" s="24" t="s">
        <v>2713</v>
      </c>
      <c r="E249" s="24" t="s">
        <v>2868</v>
      </c>
      <c r="F249" s="23" t="s">
        <v>2880</v>
      </c>
      <c r="G249" s="27" t="s">
        <v>119</v>
      </c>
      <c r="H249" s="24" t="n">
        <v>2</v>
      </c>
      <c r="I249" s="23" t="s">
        <v>235</v>
      </c>
      <c r="J249" s="23" t="s">
        <v>2889</v>
      </c>
      <c r="K249" s="23" t="s">
        <v>90</v>
      </c>
      <c r="L249" s="23" t="s">
        <v>2888</v>
      </c>
    </row>
    <row r="250" customFormat="false" ht="21.75" hidden="false" customHeight="true" outlineLevel="0" collapsed="false">
      <c r="A250" s="22" t="s">
        <v>8368</v>
      </c>
      <c r="B250" s="23" t="s">
        <v>2933</v>
      </c>
      <c r="C250" s="24" t="s">
        <v>2924</v>
      </c>
      <c r="D250" s="24" t="s">
        <v>2713</v>
      </c>
      <c r="E250" s="24" t="s">
        <v>2925</v>
      </c>
      <c r="F250" s="23" t="s">
        <v>2926</v>
      </c>
      <c r="G250" s="26" t="s">
        <v>74</v>
      </c>
      <c r="H250" s="24" t="n">
        <v>5</v>
      </c>
      <c r="I250" s="23" t="s">
        <v>87</v>
      </c>
      <c r="J250" s="23" t="s">
        <v>2935</v>
      </c>
      <c r="K250" s="23" t="s">
        <v>90</v>
      </c>
      <c r="L250" s="23" t="s">
        <v>2934</v>
      </c>
    </row>
    <row r="251" customFormat="false" ht="21.75" hidden="false" customHeight="true" outlineLevel="0" collapsed="false">
      <c r="A251" s="22" t="s">
        <v>8368</v>
      </c>
      <c r="B251" s="23" t="s">
        <v>2933</v>
      </c>
      <c r="C251" s="24" t="s">
        <v>3279</v>
      </c>
      <c r="D251" s="24" t="s">
        <v>2713</v>
      </c>
      <c r="E251" s="24" t="s">
        <v>627</v>
      </c>
      <c r="F251" s="23" t="s">
        <v>3280</v>
      </c>
      <c r="G251" s="26" t="s">
        <v>74</v>
      </c>
      <c r="H251" s="24" t="n">
        <v>5</v>
      </c>
      <c r="I251" s="23" t="s">
        <v>3286</v>
      </c>
      <c r="J251" s="23" t="s">
        <v>3288</v>
      </c>
      <c r="K251" s="23" t="s">
        <v>74</v>
      </c>
      <c r="L251" s="23" t="s">
        <v>3287</v>
      </c>
    </row>
    <row r="252" customFormat="false" ht="21.75" hidden="false" customHeight="true" outlineLevel="0" collapsed="false">
      <c r="A252" s="22" t="s">
        <v>8368</v>
      </c>
      <c r="B252" s="23" t="s">
        <v>1376</v>
      </c>
      <c r="C252" s="24" t="s">
        <v>1368</v>
      </c>
      <c r="D252" s="24" t="s">
        <v>837</v>
      </c>
      <c r="E252" s="24" t="s">
        <v>1369</v>
      </c>
      <c r="F252" s="23" t="s">
        <v>1370</v>
      </c>
      <c r="G252" s="26" t="s">
        <v>74</v>
      </c>
      <c r="H252" s="24" t="n">
        <v>5</v>
      </c>
      <c r="I252" s="23" t="s">
        <v>1377</v>
      </c>
      <c r="J252" s="23" t="s">
        <v>1379</v>
      </c>
      <c r="K252" s="23" t="s">
        <v>90</v>
      </c>
      <c r="L252" s="23" t="s">
        <v>1378</v>
      </c>
    </row>
    <row r="253" customFormat="false" ht="21.75" hidden="false" customHeight="true" outlineLevel="0" collapsed="false">
      <c r="A253" s="22" t="s">
        <v>8368</v>
      </c>
      <c r="B253" s="23" t="s">
        <v>1376</v>
      </c>
      <c r="C253" s="24" t="s">
        <v>1395</v>
      </c>
      <c r="D253" s="24" t="s">
        <v>837</v>
      </c>
      <c r="E253" s="24" t="s">
        <v>1396</v>
      </c>
      <c r="F253" s="23" t="s">
        <v>1397</v>
      </c>
      <c r="G253" s="26" t="s">
        <v>74</v>
      </c>
      <c r="H253" s="24" t="n">
        <v>5</v>
      </c>
      <c r="I253" s="23" t="s">
        <v>1403</v>
      </c>
      <c r="J253" s="23" t="s">
        <v>1405</v>
      </c>
      <c r="K253" s="23" t="s">
        <v>74</v>
      </c>
      <c r="L253" s="23" t="s">
        <v>1404</v>
      </c>
    </row>
    <row r="254" customFormat="false" ht="21.75" hidden="false" customHeight="true" outlineLevel="0" collapsed="false">
      <c r="A254" s="22" t="s">
        <v>8394</v>
      </c>
      <c r="B254" s="23" t="s">
        <v>3482</v>
      </c>
      <c r="C254" s="24" t="s">
        <v>3473</v>
      </c>
      <c r="D254" s="24" t="s">
        <v>3291</v>
      </c>
      <c r="E254" s="24" t="s">
        <v>3474</v>
      </c>
      <c r="F254" s="23" t="s">
        <v>3475</v>
      </c>
      <c r="G254" s="28" t="s">
        <v>73</v>
      </c>
      <c r="H254" s="24" t="n">
        <v>9</v>
      </c>
      <c r="I254" s="23" t="s">
        <v>3483</v>
      </c>
      <c r="J254" s="23" t="s">
        <v>3485</v>
      </c>
      <c r="K254" s="23" t="s">
        <v>74</v>
      </c>
      <c r="L254" s="23" t="s">
        <v>3484</v>
      </c>
    </row>
    <row r="255" customFormat="false" ht="21.75" hidden="false" customHeight="true" outlineLevel="0" collapsed="false">
      <c r="A255" s="22" t="s">
        <v>8373</v>
      </c>
      <c r="B255" s="23" t="s">
        <v>1832</v>
      </c>
      <c r="C255" s="24" t="s">
        <v>1825</v>
      </c>
      <c r="D255" s="24" t="s">
        <v>1500</v>
      </c>
      <c r="E255" s="24" t="s">
        <v>1812</v>
      </c>
      <c r="F255" s="23" t="s">
        <v>1826</v>
      </c>
      <c r="G255" s="25" t="s">
        <v>90</v>
      </c>
      <c r="H255" s="24" t="n">
        <v>8</v>
      </c>
      <c r="I255" s="23" t="s">
        <v>728</v>
      </c>
      <c r="J255" s="23" t="s">
        <v>1834</v>
      </c>
      <c r="K255" s="23" t="s">
        <v>119</v>
      </c>
      <c r="L255" s="23" t="s">
        <v>1833</v>
      </c>
    </row>
    <row r="256" customFormat="false" ht="21.75" hidden="false" customHeight="true" outlineLevel="0" collapsed="false">
      <c r="A256" s="22" t="s">
        <v>8373</v>
      </c>
      <c r="B256" s="23" t="s">
        <v>990</v>
      </c>
      <c r="C256" s="24" t="s">
        <v>981</v>
      </c>
      <c r="D256" s="24" t="s">
        <v>837</v>
      </c>
      <c r="E256" s="24" t="s">
        <v>982</v>
      </c>
      <c r="F256" s="23" t="s">
        <v>983</v>
      </c>
      <c r="G256" s="28" t="s">
        <v>73</v>
      </c>
      <c r="H256" s="24" t="n">
        <v>9</v>
      </c>
      <c r="I256" s="23" t="s">
        <v>991</v>
      </c>
      <c r="J256" s="23" t="s">
        <v>993</v>
      </c>
      <c r="K256" s="23" t="s">
        <v>119</v>
      </c>
      <c r="L256" s="23" t="s">
        <v>992</v>
      </c>
    </row>
    <row r="257" customFormat="false" ht="21.75" hidden="false" customHeight="true" outlineLevel="0" collapsed="false">
      <c r="A257" s="22" t="s">
        <v>8373</v>
      </c>
      <c r="B257" s="23" t="s">
        <v>3336</v>
      </c>
      <c r="C257" s="24" t="s">
        <v>3328</v>
      </c>
      <c r="D257" s="24" t="s">
        <v>3291</v>
      </c>
      <c r="E257" s="24" t="s">
        <v>3329</v>
      </c>
      <c r="F257" s="23" t="s">
        <v>3330</v>
      </c>
      <c r="G257" s="25" t="s">
        <v>90</v>
      </c>
      <c r="H257" s="24" t="n">
        <v>7</v>
      </c>
      <c r="I257" s="23" t="s">
        <v>3337</v>
      </c>
      <c r="J257" s="23" t="s">
        <v>3339</v>
      </c>
      <c r="K257" s="23" t="s">
        <v>119</v>
      </c>
      <c r="L257" s="23" t="s">
        <v>3338</v>
      </c>
    </row>
    <row r="258" customFormat="false" ht="21.75" hidden="false" customHeight="true" outlineLevel="0" collapsed="false">
      <c r="A258" s="22" t="s">
        <v>8373</v>
      </c>
      <c r="B258" s="23" t="s">
        <v>1596</v>
      </c>
      <c r="C258" s="24" t="s">
        <v>1588</v>
      </c>
      <c r="D258" s="24" t="s">
        <v>1500</v>
      </c>
      <c r="E258" s="24" t="s">
        <v>1589</v>
      </c>
      <c r="F258" s="23" t="s">
        <v>1590</v>
      </c>
      <c r="G258" s="26" t="s">
        <v>74</v>
      </c>
      <c r="H258" s="24" t="n">
        <v>5</v>
      </c>
      <c r="I258" s="23" t="s">
        <v>1597</v>
      </c>
      <c r="J258" s="23" t="s">
        <v>1599</v>
      </c>
      <c r="K258" s="23" t="s">
        <v>74</v>
      </c>
      <c r="L258" s="23" t="s">
        <v>1598</v>
      </c>
    </row>
    <row r="259" customFormat="false" ht="21.75" hidden="false" customHeight="true" outlineLevel="0" collapsed="false">
      <c r="A259" s="22" t="s">
        <v>8373</v>
      </c>
      <c r="B259" s="23" t="s">
        <v>1932</v>
      </c>
      <c r="C259" s="24" t="s">
        <v>1924</v>
      </c>
      <c r="D259" s="24" t="s">
        <v>1500</v>
      </c>
      <c r="E259" s="24" t="s">
        <v>1911</v>
      </c>
      <c r="F259" s="23" t="s">
        <v>1925</v>
      </c>
      <c r="G259" s="26" t="s">
        <v>74</v>
      </c>
      <c r="H259" s="24" t="n">
        <v>5</v>
      </c>
      <c r="I259" s="23" t="s">
        <v>1933</v>
      </c>
      <c r="J259" s="23" t="s">
        <v>1935</v>
      </c>
      <c r="K259" s="23" t="s">
        <v>74</v>
      </c>
      <c r="L259" s="23" t="s">
        <v>1934</v>
      </c>
    </row>
    <row r="260" customFormat="false" ht="21.75" hidden="false" customHeight="true" outlineLevel="0" collapsed="false">
      <c r="A260" s="22" t="s">
        <v>8373</v>
      </c>
      <c r="B260" s="23" t="s">
        <v>3299</v>
      </c>
      <c r="C260" s="24" t="s">
        <v>3290</v>
      </c>
      <c r="D260" s="24" t="s">
        <v>3291</v>
      </c>
      <c r="E260" s="24" t="s">
        <v>3292</v>
      </c>
      <c r="F260" s="23" t="s">
        <v>3293</v>
      </c>
      <c r="G260" s="25" t="s">
        <v>90</v>
      </c>
      <c r="H260" s="24" t="n">
        <v>7</v>
      </c>
      <c r="I260" s="23" t="s">
        <v>3300</v>
      </c>
      <c r="J260" s="23" t="s">
        <v>3302</v>
      </c>
      <c r="K260" s="23" t="s">
        <v>74</v>
      </c>
      <c r="L260" s="23" t="s">
        <v>3301</v>
      </c>
    </row>
    <row r="261" customFormat="false" ht="21.75" hidden="false" customHeight="true" outlineLevel="0" collapsed="false">
      <c r="A261" s="22" t="s">
        <v>8373</v>
      </c>
      <c r="B261" s="23" t="s">
        <v>1016</v>
      </c>
      <c r="C261" s="24" t="s">
        <v>1008</v>
      </c>
      <c r="D261" s="24" t="s">
        <v>837</v>
      </c>
      <c r="E261" s="24" t="s">
        <v>982</v>
      </c>
      <c r="F261" s="23" t="s">
        <v>1009</v>
      </c>
      <c r="G261" s="27" t="s">
        <v>119</v>
      </c>
      <c r="H261" s="24" t="n">
        <v>2</v>
      </c>
      <c r="I261" s="23" t="s">
        <v>1017</v>
      </c>
      <c r="J261" s="23" t="s">
        <v>1019</v>
      </c>
      <c r="K261" s="23" t="s">
        <v>90</v>
      </c>
      <c r="L261" s="23" t="s">
        <v>1018</v>
      </c>
    </row>
    <row r="262" customFormat="false" ht="21.75" hidden="false" customHeight="true" outlineLevel="0" collapsed="false">
      <c r="A262" s="22" t="s">
        <v>8373</v>
      </c>
      <c r="B262" s="23" t="s">
        <v>3375</v>
      </c>
      <c r="C262" s="24" t="s">
        <v>3367</v>
      </c>
      <c r="D262" s="24" t="s">
        <v>3291</v>
      </c>
      <c r="E262" s="24" t="s">
        <v>3368</v>
      </c>
      <c r="F262" s="23" t="s">
        <v>3369</v>
      </c>
      <c r="G262" s="26" t="s">
        <v>74</v>
      </c>
      <c r="H262" s="24" t="n">
        <v>4</v>
      </c>
      <c r="I262" s="23" t="s">
        <v>3376</v>
      </c>
      <c r="J262" s="23" t="s">
        <v>3378</v>
      </c>
      <c r="K262" s="23" t="s">
        <v>90</v>
      </c>
      <c r="L262" s="23" t="s">
        <v>3377</v>
      </c>
    </row>
    <row r="263" customFormat="false" ht="21.75" hidden="false" customHeight="true" outlineLevel="0" collapsed="false">
      <c r="A263" s="22" t="s">
        <v>8373</v>
      </c>
      <c r="B263" s="23" t="s">
        <v>3349</v>
      </c>
      <c r="C263" s="24" t="s">
        <v>3341</v>
      </c>
      <c r="D263" s="24" t="s">
        <v>3291</v>
      </c>
      <c r="E263" s="24" t="s">
        <v>3342</v>
      </c>
      <c r="F263" s="23" t="s">
        <v>3343</v>
      </c>
      <c r="G263" s="26" t="s">
        <v>74</v>
      </c>
      <c r="H263" s="24" t="n">
        <v>5</v>
      </c>
      <c r="I263" s="23" t="s">
        <v>3350</v>
      </c>
      <c r="J263" s="23" t="s">
        <v>3352</v>
      </c>
      <c r="K263" s="23" t="s">
        <v>74</v>
      </c>
      <c r="L263" s="23" t="s">
        <v>3351</v>
      </c>
    </row>
    <row r="264" customFormat="false" ht="21.75" hidden="false" customHeight="true" outlineLevel="0" collapsed="false">
      <c r="A264" s="22" t="s">
        <v>8373</v>
      </c>
      <c r="B264" s="23" t="s">
        <v>3325</v>
      </c>
      <c r="C264" s="24" t="s">
        <v>3317</v>
      </c>
      <c r="D264" s="24" t="s">
        <v>3291</v>
      </c>
      <c r="E264" s="24" t="s">
        <v>3318</v>
      </c>
      <c r="F264" s="23" t="s">
        <v>3319</v>
      </c>
      <c r="G264" s="25" t="s">
        <v>90</v>
      </c>
      <c r="H264" s="24" t="n">
        <v>6</v>
      </c>
      <c r="I264" s="23" t="s">
        <v>1017</v>
      </c>
      <c r="J264" s="23" t="s">
        <v>3327</v>
      </c>
      <c r="K264" s="23" t="s">
        <v>74</v>
      </c>
      <c r="L264" s="23" t="s">
        <v>3326</v>
      </c>
    </row>
    <row r="265" customFormat="false" ht="21.75" hidden="false" customHeight="true" outlineLevel="0" collapsed="false">
      <c r="A265" s="22" t="s">
        <v>8373</v>
      </c>
      <c r="B265" s="23" t="s">
        <v>871</v>
      </c>
      <c r="C265" s="24" t="s">
        <v>863</v>
      </c>
      <c r="D265" s="24" t="s">
        <v>837</v>
      </c>
      <c r="E265" s="24" t="s">
        <v>838</v>
      </c>
      <c r="F265" s="23" t="s">
        <v>864</v>
      </c>
      <c r="G265" s="26" t="s">
        <v>74</v>
      </c>
      <c r="H265" s="24" t="n">
        <v>5</v>
      </c>
      <c r="I265" s="23" t="s">
        <v>872</v>
      </c>
      <c r="J265" s="23" t="s">
        <v>874</v>
      </c>
      <c r="K265" s="23" t="s">
        <v>74</v>
      </c>
      <c r="L265" s="23" t="s">
        <v>873</v>
      </c>
    </row>
    <row r="266" customFormat="false" ht="21.75" hidden="false" customHeight="true" outlineLevel="0" collapsed="false">
      <c r="A266" s="22" t="s">
        <v>8373</v>
      </c>
      <c r="B266" s="23" t="s">
        <v>3362</v>
      </c>
      <c r="C266" s="24" t="s">
        <v>3354</v>
      </c>
      <c r="D266" s="24" t="s">
        <v>3291</v>
      </c>
      <c r="E266" s="24" t="s">
        <v>3355</v>
      </c>
      <c r="F266" s="23" t="s">
        <v>3356</v>
      </c>
      <c r="G266" s="25" t="s">
        <v>90</v>
      </c>
      <c r="H266" s="24" t="n">
        <v>6</v>
      </c>
      <c r="I266" s="23" t="s">
        <v>3363</v>
      </c>
      <c r="J266" s="23" t="s">
        <v>3365</v>
      </c>
      <c r="K266" s="23" t="s">
        <v>74</v>
      </c>
      <c r="L266" s="23" t="s">
        <v>3364</v>
      </c>
    </row>
    <row r="267" customFormat="false" ht="21.75" hidden="false" customHeight="true" outlineLevel="0" collapsed="false">
      <c r="A267" s="22" t="s">
        <v>8392</v>
      </c>
      <c r="B267" s="23" t="s">
        <v>4400</v>
      </c>
      <c r="C267" s="24" t="s">
        <v>4392</v>
      </c>
      <c r="D267" s="24" t="s">
        <v>4203</v>
      </c>
      <c r="E267" s="24" t="s">
        <v>4393</v>
      </c>
      <c r="F267" s="23" t="s">
        <v>4394</v>
      </c>
      <c r="G267" s="25" t="s">
        <v>90</v>
      </c>
      <c r="H267" s="24" t="n">
        <v>7</v>
      </c>
      <c r="I267" s="23" t="s">
        <v>4401</v>
      </c>
      <c r="J267" s="23" t="s">
        <v>4403</v>
      </c>
      <c r="K267" s="23" t="s">
        <v>74</v>
      </c>
      <c r="L267" s="23" t="s">
        <v>4402</v>
      </c>
    </row>
    <row r="268" customFormat="false" ht="21.75" hidden="false" customHeight="true" outlineLevel="0" collapsed="false">
      <c r="A268" s="22" t="s">
        <v>8392</v>
      </c>
      <c r="B268" s="23" t="s">
        <v>4400</v>
      </c>
      <c r="C268" s="24" t="s">
        <v>4405</v>
      </c>
      <c r="D268" s="24" t="s">
        <v>4203</v>
      </c>
      <c r="E268" s="24" t="s">
        <v>4393</v>
      </c>
      <c r="F268" s="23" t="s">
        <v>4406</v>
      </c>
      <c r="G268" s="25" t="s">
        <v>90</v>
      </c>
      <c r="H268" s="24" t="n">
        <v>7</v>
      </c>
      <c r="I268" s="23" t="s">
        <v>4412</v>
      </c>
      <c r="J268" s="23" t="s">
        <v>4414</v>
      </c>
      <c r="K268" s="23" t="s">
        <v>74</v>
      </c>
      <c r="L268" s="23" t="s">
        <v>4413</v>
      </c>
    </row>
    <row r="269" customFormat="false" ht="21.75" hidden="false" customHeight="true" outlineLevel="0" collapsed="false">
      <c r="A269" s="22" t="s">
        <v>8392</v>
      </c>
      <c r="B269" s="23" t="s">
        <v>2449</v>
      </c>
      <c r="C269" s="24" t="s">
        <v>2442</v>
      </c>
      <c r="D269" s="24" t="s">
        <v>2140</v>
      </c>
      <c r="E269" s="24" t="s">
        <v>2417</v>
      </c>
      <c r="F269" s="23" t="s">
        <v>2443</v>
      </c>
      <c r="G269" s="26" t="s">
        <v>74</v>
      </c>
      <c r="H269" s="24" t="n">
        <v>5</v>
      </c>
      <c r="I269" s="23" t="s">
        <v>2450</v>
      </c>
      <c r="J269" s="23" t="s">
        <v>2452</v>
      </c>
      <c r="K269" s="23" t="s">
        <v>74</v>
      </c>
      <c r="L269" s="23" t="s">
        <v>2451</v>
      </c>
    </row>
    <row r="270" customFormat="false" ht="21.75" hidden="false" customHeight="true" outlineLevel="0" collapsed="false">
      <c r="A270" s="22" t="s">
        <v>8392</v>
      </c>
      <c r="B270" s="23" t="s">
        <v>2449</v>
      </c>
      <c r="C270" s="24" t="s">
        <v>4416</v>
      </c>
      <c r="D270" s="24" t="s">
        <v>4203</v>
      </c>
      <c r="E270" s="24" t="s">
        <v>4417</v>
      </c>
      <c r="F270" s="23" t="s">
        <v>4418</v>
      </c>
      <c r="G270" s="26" t="s">
        <v>74</v>
      </c>
      <c r="H270" s="24" t="n">
        <v>4</v>
      </c>
      <c r="I270" s="23" t="s">
        <v>4424</v>
      </c>
      <c r="J270" s="23" t="s">
        <v>4426</v>
      </c>
      <c r="K270" s="23" t="s">
        <v>90</v>
      </c>
      <c r="L270" s="23" t="s">
        <v>4425</v>
      </c>
    </row>
    <row r="271" customFormat="false" ht="21.75" hidden="false" customHeight="true" outlineLevel="0" collapsed="false">
      <c r="A271" s="22" t="s">
        <v>8385</v>
      </c>
      <c r="B271" s="23" t="s">
        <v>3274</v>
      </c>
      <c r="C271" s="24" t="s">
        <v>3266</v>
      </c>
      <c r="D271" s="24" t="s">
        <v>2713</v>
      </c>
      <c r="E271" s="24" t="s">
        <v>3267</v>
      </c>
      <c r="F271" s="23" t="s">
        <v>3268</v>
      </c>
      <c r="G271" s="26" t="s">
        <v>74</v>
      </c>
      <c r="H271" s="24" t="n">
        <v>3</v>
      </c>
      <c r="I271" s="23" t="s">
        <v>3275</v>
      </c>
      <c r="J271" s="23" t="s">
        <v>3277</v>
      </c>
      <c r="K271" s="23" t="s">
        <v>90</v>
      </c>
      <c r="L271" s="23" t="s">
        <v>3276</v>
      </c>
    </row>
    <row r="272" customFormat="false" ht="21.75" hidden="false" customHeight="true" outlineLevel="0" collapsed="false">
      <c r="A272" s="22" t="s">
        <v>8385</v>
      </c>
      <c r="B272" s="23" t="s">
        <v>3151</v>
      </c>
      <c r="C272" s="24" t="s">
        <v>3143</v>
      </c>
      <c r="D272" s="24" t="s">
        <v>2713</v>
      </c>
      <c r="E272" s="24" t="s">
        <v>3144</v>
      </c>
      <c r="F272" s="23" t="s">
        <v>3145</v>
      </c>
      <c r="G272" s="28" t="s">
        <v>73</v>
      </c>
      <c r="H272" s="24" t="n">
        <v>9</v>
      </c>
      <c r="I272" s="23" t="s">
        <v>555</v>
      </c>
      <c r="J272" s="23" t="s">
        <v>3154</v>
      </c>
      <c r="K272" s="23" t="s">
        <v>119</v>
      </c>
      <c r="L272" s="23" t="s">
        <v>3153</v>
      </c>
    </row>
    <row r="273" customFormat="false" ht="21.75" hidden="false" customHeight="true" outlineLevel="0" collapsed="false">
      <c r="A273" s="22" t="s">
        <v>8385</v>
      </c>
      <c r="B273" s="23" t="s">
        <v>1335</v>
      </c>
      <c r="C273" s="24" t="s">
        <v>1326</v>
      </c>
      <c r="D273" s="24" t="s">
        <v>837</v>
      </c>
      <c r="E273" s="24" t="s">
        <v>1327</v>
      </c>
      <c r="F273" s="23" t="s">
        <v>1328</v>
      </c>
      <c r="G273" s="25" t="s">
        <v>90</v>
      </c>
      <c r="H273" s="24" t="n">
        <v>7</v>
      </c>
      <c r="I273" s="23" t="s">
        <v>1336</v>
      </c>
      <c r="J273" s="23" t="s">
        <v>1338</v>
      </c>
      <c r="K273" s="23" t="s">
        <v>119</v>
      </c>
      <c r="L273" s="23" t="s">
        <v>1337</v>
      </c>
    </row>
    <row r="274" customFormat="false" ht="21.75" hidden="false" customHeight="true" outlineLevel="0" collapsed="false">
      <c r="A274" s="22" t="s">
        <v>8385</v>
      </c>
      <c r="B274" s="23" t="s">
        <v>1807</v>
      </c>
      <c r="C274" s="24" t="s">
        <v>2505</v>
      </c>
      <c r="D274" s="24" t="s">
        <v>2140</v>
      </c>
      <c r="E274" s="24" t="s">
        <v>2468</v>
      </c>
      <c r="F274" s="23" t="s">
        <v>2506</v>
      </c>
      <c r="G274" s="25" t="s">
        <v>90</v>
      </c>
      <c r="H274" s="24" t="n">
        <v>7</v>
      </c>
      <c r="I274" s="23" t="s">
        <v>2512</v>
      </c>
      <c r="J274" s="23" t="s">
        <v>2514</v>
      </c>
      <c r="K274" s="23" t="s">
        <v>74</v>
      </c>
      <c r="L274" s="23" t="s">
        <v>2513</v>
      </c>
    </row>
    <row r="275" customFormat="false" ht="21.75" hidden="false" customHeight="true" outlineLevel="0" collapsed="false">
      <c r="A275" s="22" t="s">
        <v>8420</v>
      </c>
      <c r="B275" s="23" t="s">
        <v>3665</v>
      </c>
      <c r="C275" s="24" t="s">
        <v>3657</v>
      </c>
      <c r="D275" s="24" t="s">
        <v>3291</v>
      </c>
      <c r="E275" s="24" t="s">
        <v>3658</v>
      </c>
      <c r="F275" s="23" t="s">
        <v>3659</v>
      </c>
      <c r="G275" s="26" t="s">
        <v>74</v>
      </c>
      <c r="H275" s="24" t="n">
        <v>4</v>
      </c>
      <c r="I275" s="23" t="s">
        <v>3666</v>
      </c>
      <c r="J275" s="23" t="s">
        <v>3668</v>
      </c>
      <c r="K275" s="23" t="s">
        <v>74</v>
      </c>
      <c r="L275" s="23" t="s">
        <v>3667</v>
      </c>
    </row>
    <row r="276" customFormat="false" ht="21.75" hidden="false" customHeight="true" outlineLevel="0" collapsed="false">
      <c r="A276" s="22" t="s">
        <v>8370</v>
      </c>
      <c r="B276" s="23" t="s">
        <v>5149</v>
      </c>
      <c r="C276" s="24" t="s">
        <v>5140</v>
      </c>
      <c r="D276" s="24" t="s">
        <v>4949</v>
      </c>
      <c r="E276" s="24" t="s">
        <v>5141</v>
      </c>
      <c r="F276" s="23" t="s">
        <v>5142</v>
      </c>
      <c r="G276" s="26" t="s">
        <v>74</v>
      </c>
      <c r="H276" s="24" t="n">
        <v>5</v>
      </c>
      <c r="I276" s="23" t="s">
        <v>5150</v>
      </c>
      <c r="J276" s="23" t="s">
        <v>5152</v>
      </c>
      <c r="K276" s="23" t="s">
        <v>74</v>
      </c>
      <c r="L276" s="23" t="s">
        <v>5151</v>
      </c>
    </row>
    <row r="277" customFormat="false" ht="21.75" hidden="false" customHeight="true" outlineLevel="0" collapsed="false">
      <c r="A277" s="22" t="s">
        <v>8370</v>
      </c>
      <c r="B277" s="23" t="s">
        <v>5149</v>
      </c>
      <c r="C277" s="24" t="s">
        <v>5167</v>
      </c>
      <c r="D277" s="24" t="s">
        <v>4949</v>
      </c>
      <c r="E277" s="24" t="s">
        <v>5168</v>
      </c>
      <c r="F277" s="23" t="s">
        <v>5169</v>
      </c>
      <c r="G277" s="26" t="s">
        <v>74</v>
      </c>
      <c r="H277" s="24" t="n">
        <v>4</v>
      </c>
      <c r="I277" s="23" t="s">
        <v>5176</v>
      </c>
      <c r="J277" s="23" t="s">
        <v>5178</v>
      </c>
      <c r="K277" s="23" t="s">
        <v>74</v>
      </c>
      <c r="L277" s="23" t="s">
        <v>5177</v>
      </c>
    </row>
    <row r="278" customFormat="false" ht="21.75" hidden="false" customHeight="true" outlineLevel="0" collapsed="false">
      <c r="A278" s="22" t="s">
        <v>8370</v>
      </c>
      <c r="B278" s="23" t="s">
        <v>5149</v>
      </c>
      <c r="C278" s="24" t="s">
        <v>5180</v>
      </c>
      <c r="D278" s="24" t="s">
        <v>4949</v>
      </c>
      <c r="E278" s="24" t="s">
        <v>5181</v>
      </c>
      <c r="F278" s="23" t="s">
        <v>5182</v>
      </c>
      <c r="G278" s="25" t="s">
        <v>90</v>
      </c>
      <c r="H278" s="24" t="n">
        <v>7</v>
      </c>
      <c r="I278" s="23" t="s">
        <v>5189</v>
      </c>
      <c r="J278" s="23" t="s">
        <v>5191</v>
      </c>
      <c r="K278" s="23" t="s">
        <v>74</v>
      </c>
      <c r="L278" s="23" t="s">
        <v>5190</v>
      </c>
    </row>
    <row r="279" customFormat="false" ht="21.75" hidden="false" customHeight="true" outlineLevel="0" collapsed="false">
      <c r="A279" s="22" t="s">
        <v>8370</v>
      </c>
      <c r="B279" s="23" t="s">
        <v>2462</v>
      </c>
      <c r="C279" s="24" t="s">
        <v>2454</v>
      </c>
      <c r="D279" s="24" t="s">
        <v>2140</v>
      </c>
      <c r="E279" s="24" t="s">
        <v>2417</v>
      </c>
      <c r="F279" s="23" t="s">
        <v>2455</v>
      </c>
      <c r="G279" s="26" t="s">
        <v>74</v>
      </c>
      <c r="H279" s="24" t="n">
        <v>5</v>
      </c>
      <c r="I279" s="23" t="s">
        <v>2463</v>
      </c>
      <c r="J279" s="23" t="s">
        <v>2465</v>
      </c>
      <c r="K279" s="23" t="s">
        <v>74</v>
      </c>
      <c r="L279" s="23" t="s">
        <v>2464</v>
      </c>
    </row>
    <row r="280" customFormat="false" ht="21.75" hidden="false" customHeight="true" outlineLevel="0" collapsed="false">
      <c r="A280" s="22" t="s">
        <v>8370</v>
      </c>
      <c r="B280" s="23" t="s">
        <v>4562</v>
      </c>
      <c r="C280" s="24" t="s">
        <v>4555</v>
      </c>
      <c r="D280" s="24" t="s">
        <v>4203</v>
      </c>
      <c r="E280" s="24" t="s">
        <v>4542</v>
      </c>
      <c r="F280" s="23" t="s">
        <v>4556</v>
      </c>
      <c r="G280" s="28" t="s">
        <v>73</v>
      </c>
      <c r="H280" s="24" t="n">
        <v>9</v>
      </c>
      <c r="I280" s="23" t="s">
        <v>4563</v>
      </c>
      <c r="J280" s="23" t="s">
        <v>4565</v>
      </c>
      <c r="K280" s="23" t="s">
        <v>119</v>
      </c>
      <c r="L280" s="23" t="s">
        <v>4564</v>
      </c>
    </row>
    <row r="281" customFormat="false" ht="21.75" hidden="false" customHeight="true" outlineLevel="0" collapsed="false">
      <c r="A281" s="22" t="s">
        <v>8370</v>
      </c>
      <c r="B281" s="23" t="s">
        <v>4576</v>
      </c>
      <c r="C281" s="24" t="s">
        <v>4567</v>
      </c>
      <c r="D281" s="24" t="s">
        <v>4203</v>
      </c>
      <c r="E281" s="24" t="s">
        <v>4568</v>
      </c>
      <c r="F281" s="23" t="s">
        <v>4569</v>
      </c>
      <c r="G281" s="25" t="s">
        <v>90</v>
      </c>
      <c r="H281" s="24" t="n">
        <v>6</v>
      </c>
      <c r="I281" s="23" t="s">
        <v>4577</v>
      </c>
      <c r="J281" s="23" t="s">
        <v>4579</v>
      </c>
      <c r="K281" s="23" t="s">
        <v>74</v>
      </c>
      <c r="L281" s="23" t="s">
        <v>4578</v>
      </c>
    </row>
    <row r="282" customFormat="false" ht="21.75" hidden="false" customHeight="true" outlineLevel="0" collapsed="false">
      <c r="A282" s="22" t="s">
        <v>8370</v>
      </c>
      <c r="B282" s="23" t="s">
        <v>5216</v>
      </c>
      <c r="C282" s="24" t="s">
        <v>5207</v>
      </c>
      <c r="D282" s="24" t="s">
        <v>4949</v>
      </c>
      <c r="E282" s="24" t="s">
        <v>5208</v>
      </c>
      <c r="F282" s="23" t="s">
        <v>5209</v>
      </c>
      <c r="G282" s="26" t="s">
        <v>74</v>
      </c>
      <c r="H282" s="24" t="n">
        <v>4</v>
      </c>
      <c r="I282" s="23" t="s">
        <v>2225</v>
      </c>
      <c r="J282" s="23" t="s">
        <v>5218</v>
      </c>
      <c r="K282" s="23" t="s">
        <v>90</v>
      </c>
      <c r="L282" s="23" t="s">
        <v>5217</v>
      </c>
    </row>
    <row r="283" customFormat="false" ht="21.75" hidden="false" customHeight="true" outlineLevel="0" collapsed="false">
      <c r="A283" s="22" t="s">
        <v>8370</v>
      </c>
      <c r="B283" s="23" t="s">
        <v>5229</v>
      </c>
      <c r="C283" s="24" t="s">
        <v>5220</v>
      </c>
      <c r="D283" s="24" t="s">
        <v>4949</v>
      </c>
      <c r="E283" s="24" t="s">
        <v>5221</v>
      </c>
      <c r="F283" s="23" t="s">
        <v>5222</v>
      </c>
      <c r="G283" s="27" t="s">
        <v>119</v>
      </c>
      <c r="H283" s="24" t="n">
        <v>1</v>
      </c>
      <c r="I283" s="23" t="s">
        <v>2225</v>
      </c>
      <c r="J283" s="23" t="s">
        <v>5231</v>
      </c>
      <c r="K283" s="23" t="s">
        <v>90</v>
      </c>
      <c r="L283" s="23" t="s">
        <v>5230</v>
      </c>
    </row>
    <row r="284" customFormat="false" ht="21.75" hidden="false" customHeight="true" outlineLevel="0" collapsed="false">
      <c r="A284" s="22" t="s">
        <v>8370</v>
      </c>
      <c r="B284" s="23" t="s">
        <v>4550</v>
      </c>
      <c r="C284" s="24" t="s">
        <v>4541</v>
      </c>
      <c r="D284" s="24" t="s">
        <v>4203</v>
      </c>
      <c r="E284" s="24" t="s">
        <v>4542</v>
      </c>
      <c r="F284" s="23" t="s">
        <v>4543</v>
      </c>
      <c r="G284" s="28" t="s">
        <v>73</v>
      </c>
      <c r="H284" s="24" t="n">
        <v>9</v>
      </c>
      <c r="I284" s="23" t="s">
        <v>4551</v>
      </c>
      <c r="J284" s="23" t="s">
        <v>4553</v>
      </c>
      <c r="K284" s="23" t="s">
        <v>119</v>
      </c>
      <c r="L284" s="23" t="s">
        <v>4552</v>
      </c>
    </row>
    <row r="285" customFormat="false" ht="21.75" hidden="false" customHeight="true" outlineLevel="0" collapsed="false">
      <c r="A285" s="22" t="s">
        <v>8370</v>
      </c>
      <c r="B285" s="23" t="s">
        <v>2071</v>
      </c>
      <c r="C285" s="24" t="s">
        <v>2064</v>
      </c>
      <c r="D285" s="24" t="s">
        <v>1500</v>
      </c>
      <c r="E285" s="24" t="s">
        <v>2040</v>
      </c>
      <c r="F285" s="23" t="s">
        <v>2065</v>
      </c>
      <c r="G285" s="28" t="s">
        <v>73</v>
      </c>
      <c r="H285" s="24" t="n">
        <v>9</v>
      </c>
      <c r="I285" s="23" t="s">
        <v>2072</v>
      </c>
      <c r="J285" s="23" t="s">
        <v>2074</v>
      </c>
      <c r="K285" s="23" t="s">
        <v>119</v>
      </c>
      <c r="L285" s="23" t="s">
        <v>2073</v>
      </c>
    </row>
    <row r="286" customFormat="false" ht="21.75" hidden="false" customHeight="true" outlineLevel="0" collapsed="false">
      <c r="A286" s="22" t="s">
        <v>8370</v>
      </c>
      <c r="B286" s="23" t="s">
        <v>2425</v>
      </c>
      <c r="C286" s="24" t="s">
        <v>2416</v>
      </c>
      <c r="D286" s="24" t="s">
        <v>2140</v>
      </c>
      <c r="E286" s="24" t="s">
        <v>2417</v>
      </c>
      <c r="F286" s="23" t="s">
        <v>2418</v>
      </c>
      <c r="G286" s="28" t="s">
        <v>73</v>
      </c>
      <c r="H286" s="24" t="n">
        <v>9</v>
      </c>
      <c r="I286" s="23" t="s">
        <v>2426</v>
      </c>
      <c r="J286" s="23" t="s">
        <v>2428</v>
      </c>
      <c r="K286" s="23" t="s">
        <v>119</v>
      </c>
      <c r="L286" s="23" t="s">
        <v>2427</v>
      </c>
    </row>
    <row r="287" customFormat="false" ht="21.75" hidden="false" customHeight="true" outlineLevel="0" collapsed="false">
      <c r="A287" s="22" t="s">
        <v>8370</v>
      </c>
      <c r="B287" s="23" t="s">
        <v>5163</v>
      </c>
      <c r="C287" s="24" t="s">
        <v>5154</v>
      </c>
      <c r="D287" s="24" t="s">
        <v>4949</v>
      </c>
      <c r="E287" s="24" t="s">
        <v>5155</v>
      </c>
      <c r="F287" s="23" t="s">
        <v>5156</v>
      </c>
      <c r="G287" s="27" t="s">
        <v>119</v>
      </c>
      <c r="H287" s="24" t="n">
        <v>2</v>
      </c>
      <c r="I287" s="23" t="s">
        <v>2225</v>
      </c>
      <c r="J287" s="23" t="s">
        <v>5165</v>
      </c>
      <c r="K287" s="23" t="s">
        <v>90</v>
      </c>
      <c r="L287" s="23" t="s">
        <v>5164</v>
      </c>
    </row>
    <row r="288" customFormat="false" ht="21.75" hidden="false" customHeight="true" outlineLevel="0" collapsed="false">
      <c r="A288" s="22" t="s">
        <v>8370</v>
      </c>
      <c r="B288" s="23" t="s">
        <v>1648</v>
      </c>
      <c r="C288" s="24" t="s">
        <v>1640</v>
      </c>
      <c r="D288" s="24" t="s">
        <v>1500</v>
      </c>
      <c r="E288" s="24" t="s">
        <v>1641</v>
      </c>
      <c r="F288" s="23" t="s">
        <v>1642</v>
      </c>
      <c r="G288" s="25" t="s">
        <v>90</v>
      </c>
      <c r="H288" s="24" t="n">
        <v>7</v>
      </c>
      <c r="I288" s="23" t="s">
        <v>1649</v>
      </c>
      <c r="J288" s="23" t="s">
        <v>1651</v>
      </c>
      <c r="K288" s="23" t="s">
        <v>74</v>
      </c>
      <c r="L288" s="23" t="s">
        <v>1650</v>
      </c>
    </row>
    <row r="289" customFormat="false" ht="21.75" hidden="false" customHeight="true" outlineLevel="0" collapsed="false">
      <c r="A289" s="22" t="s">
        <v>8370</v>
      </c>
      <c r="B289" s="23" t="s">
        <v>5202</v>
      </c>
      <c r="C289" s="24" t="s">
        <v>5193</v>
      </c>
      <c r="D289" s="24" t="s">
        <v>4949</v>
      </c>
      <c r="E289" s="24" t="s">
        <v>5194</v>
      </c>
      <c r="F289" s="23" t="s">
        <v>5195</v>
      </c>
      <c r="G289" s="27" t="s">
        <v>119</v>
      </c>
      <c r="H289" s="24" t="n">
        <v>2</v>
      </c>
      <c r="I289" s="23" t="s">
        <v>5203</v>
      </c>
      <c r="J289" s="23" t="s">
        <v>5205</v>
      </c>
      <c r="K289" s="23" t="s">
        <v>90</v>
      </c>
      <c r="L289" s="23" t="s">
        <v>5204</v>
      </c>
    </row>
    <row r="290" customFormat="false" ht="21.75" hidden="false" customHeight="true" outlineLevel="0" collapsed="false">
      <c r="A290" s="22" t="s">
        <v>938</v>
      </c>
      <c r="B290" s="23" t="s">
        <v>936</v>
      </c>
      <c r="C290" s="24" t="s">
        <v>929</v>
      </c>
      <c r="D290" s="24" t="s">
        <v>837</v>
      </c>
      <c r="E290" s="24" t="s">
        <v>917</v>
      </c>
      <c r="F290" s="23" t="s">
        <v>930</v>
      </c>
      <c r="G290" s="25" t="s">
        <v>90</v>
      </c>
      <c r="H290" s="24" t="n">
        <v>6</v>
      </c>
      <c r="I290" s="23" t="s">
        <v>937</v>
      </c>
      <c r="J290" s="23" t="s">
        <v>940</v>
      </c>
      <c r="K290" s="23" t="s">
        <v>74</v>
      </c>
      <c r="L290" s="23" t="s">
        <v>939</v>
      </c>
    </row>
    <row r="291" customFormat="false" ht="21.75" hidden="false" customHeight="true" outlineLevel="0" collapsed="false">
      <c r="A291" s="22" t="s">
        <v>8347</v>
      </c>
      <c r="B291" s="23" t="s">
        <v>3939</v>
      </c>
      <c r="C291" s="24" t="s">
        <v>3930</v>
      </c>
      <c r="D291" s="24" t="s">
        <v>3842</v>
      </c>
      <c r="E291" s="24" t="s">
        <v>3931</v>
      </c>
      <c r="F291" s="23" t="s">
        <v>3932</v>
      </c>
      <c r="G291" s="26" t="s">
        <v>74</v>
      </c>
      <c r="H291" s="24" t="n">
        <v>5</v>
      </c>
      <c r="I291" s="23" t="s">
        <v>3940</v>
      </c>
      <c r="J291" s="23" t="s">
        <v>3942</v>
      </c>
      <c r="K291" s="23" t="s">
        <v>74</v>
      </c>
      <c r="L291" s="23" t="s">
        <v>3941</v>
      </c>
    </row>
    <row r="292" customFormat="false" ht="21.75" hidden="false" customHeight="true" outlineLevel="0" collapsed="false">
      <c r="A292" s="22" t="s">
        <v>8379</v>
      </c>
      <c r="B292" s="23" t="s">
        <v>5080</v>
      </c>
      <c r="C292" s="24" t="s">
        <v>5071</v>
      </c>
      <c r="D292" s="24" t="s">
        <v>4949</v>
      </c>
      <c r="E292" s="24" t="s">
        <v>5072</v>
      </c>
      <c r="F292" s="23" t="s">
        <v>5073</v>
      </c>
      <c r="G292" s="26" t="s">
        <v>74</v>
      </c>
      <c r="H292" s="24" t="n">
        <v>4</v>
      </c>
      <c r="I292" s="23" t="s">
        <v>5081</v>
      </c>
      <c r="J292" s="23" t="s">
        <v>5083</v>
      </c>
      <c r="K292" s="23" t="s">
        <v>74</v>
      </c>
      <c r="L292" s="23" t="s">
        <v>5082</v>
      </c>
    </row>
    <row r="293" customFormat="false" ht="21.75" hidden="false" customHeight="true" outlineLevel="0" collapsed="false">
      <c r="A293" s="22" t="s">
        <v>8379</v>
      </c>
      <c r="B293" s="23" t="s">
        <v>5121</v>
      </c>
      <c r="C293" s="24" t="s">
        <v>5112</v>
      </c>
      <c r="D293" s="24" t="s">
        <v>4949</v>
      </c>
      <c r="E293" s="24" t="s">
        <v>5113</v>
      </c>
      <c r="F293" s="23" t="s">
        <v>5114</v>
      </c>
      <c r="G293" s="25" t="s">
        <v>90</v>
      </c>
      <c r="H293" s="24" t="n">
        <v>8</v>
      </c>
      <c r="I293" s="23" t="s">
        <v>5122</v>
      </c>
      <c r="J293" s="23" t="s">
        <v>5124</v>
      </c>
      <c r="K293" s="23" t="s">
        <v>119</v>
      </c>
      <c r="L293" s="23" t="s">
        <v>5123</v>
      </c>
    </row>
    <row r="294" customFormat="false" ht="21.75" hidden="false" customHeight="true" outlineLevel="0" collapsed="false">
      <c r="A294" s="22" t="s">
        <v>8379</v>
      </c>
      <c r="B294" s="23" t="s">
        <v>4999</v>
      </c>
      <c r="C294" s="24" t="s">
        <v>4990</v>
      </c>
      <c r="D294" s="24" t="s">
        <v>4949</v>
      </c>
      <c r="E294" s="24" t="s">
        <v>4991</v>
      </c>
      <c r="F294" s="23" t="s">
        <v>4992</v>
      </c>
      <c r="G294" s="25" t="s">
        <v>90</v>
      </c>
      <c r="H294" s="24" t="n">
        <v>8</v>
      </c>
      <c r="I294" s="23" t="s">
        <v>5000</v>
      </c>
      <c r="J294" s="23" t="s">
        <v>5002</v>
      </c>
      <c r="K294" s="23" t="s">
        <v>119</v>
      </c>
      <c r="L294" s="23" t="s">
        <v>5001</v>
      </c>
    </row>
    <row r="295" customFormat="false" ht="21.75" hidden="false" customHeight="true" outlineLevel="0" collapsed="false">
      <c r="A295" s="22" t="s">
        <v>8379</v>
      </c>
      <c r="B295" s="23" t="s">
        <v>1468</v>
      </c>
      <c r="C295" s="24" t="s">
        <v>1460</v>
      </c>
      <c r="D295" s="24" t="s">
        <v>837</v>
      </c>
      <c r="E295" s="24" t="s">
        <v>1447</v>
      </c>
      <c r="F295" s="23" t="s">
        <v>1461</v>
      </c>
      <c r="G295" s="28" t="s">
        <v>73</v>
      </c>
      <c r="H295" s="24" t="n">
        <v>10</v>
      </c>
      <c r="I295" s="23" t="s">
        <v>1469</v>
      </c>
      <c r="J295" s="23" t="s">
        <v>1471</v>
      </c>
      <c r="K295" s="23" t="s">
        <v>119</v>
      </c>
      <c r="L295" s="23" t="s">
        <v>1470</v>
      </c>
    </row>
    <row r="296" customFormat="false" ht="21.75" hidden="false" customHeight="true" outlineLevel="0" collapsed="false">
      <c r="A296" s="22" t="s">
        <v>8379</v>
      </c>
      <c r="B296" s="23" t="s">
        <v>1468</v>
      </c>
      <c r="C296" s="24" t="s">
        <v>4977</v>
      </c>
      <c r="D296" s="24" t="s">
        <v>4949</v>
      </c>
      <c r="E296" s="24" t="s">
        <v>4978</v>
      </c>
      <c r="F296" s="23" t="s">
        <v>4979</v>
      </c>
      <c r="G296" s="28" t="s">
        <v>73</v>
      </c>
      <c r="H296" s="24" t="n">
        <v>9</v>
      </c>
      <c r="I296" s="23" t="s">
        <v>4986</v>
      </c>
      <c r="J296" s="23" t="s">
        <v>4988</v>
      </c>
      <c r="K296" s="23" t="s">
        <v>119</v>
      </c>
      <c r="L296" s="23" t="s">
        <v>4987</v>
      </c>
    </row>
    <row r="297" customFormat="false" ht="21.75" hidden="false" customHeight="true" outlineLevel="0" collapsed="false">
      <c r="A297" s="22" t="s">
        <v>8379</v>
      </c>
      <c r="B297" s="23" t="s">
        <v>5066</v>
      </c>
      <c r="C297" s="24" t="s">
        <v>5058</v>
      </c>
      <c r="D297" s="24" t="s">
        <v>4949</v>
      </c>
      <c r="E297" s="24" t="s">
        <v>5059</v>
      </c>
      <c r="F297" s="23" t="s">
        <v>5060</v>
      </c>
      <c r="G297" s="26" t="s">
        <v>74</v>
      </c>
      <c r="H297" s="24" t="n">
        <v>5</v>
      </c>
      <c r="I297" s="23" t="s">
        <v>5067</v>
      </c>
      <c r="J297" s="23" t="s">
        <v>5069</v>
      </c>
      <c r="K297" s="23" t="s">
        <v>74</v>
      </c>
      <c r="L297" s="23" t="s">
        <v>5068</v>
      </c>
    </row>
    <row r="298" customFormat="false" ht="21.75" hidden="false" customHeight="true" outlineLevel="0" collapsed="false">
      <c r="A298" s="22" t="s">
        <v>8379</v>
      </c>
      <c r="B298" s="23" t="s">
        <v>5093</v>
      </c>
      <c r="C298" s="24" t="s">
        <v>5085</v>
      </c>
      <c r="D298" s="24" t="s">
        <v>4949</v>
      </c>
      <c r="E298" s="24" t="s">
        <v>5086</v>
      </c>
      <c r="F298" s="23" t="s">
        <v>5087</v>
      </c>
      <c r="G298" s="26" t="s">
        <v>74</v>
      </c>
      <c r="H298" s="24" t="n">
        <v>3</v>
      </c>
      <c r="I298" s="23" t="s">
        <v>5094</v>
      </c>
      <c r="J298" s="23" t="s">
        <v>5096</v>
      </c>
      <c r="K298" s="23" t="s">
        <v>90</v>
      </c>
      <c r="L298" s="23" t="s">
        <v>5095</v>
      </c>
    </row>
    <row r="299" customFormat="false" ht="21.75" hidden="false" customHeight="true" outlineLevel="0" collapsed="false">
      <c r="A299" s="22" t="s">
        <v>8375</v>
      </c>
      <c r="B299" s="23" t="s">
        <v>976</v>
      </c>
      <c r="C299" s="24" t="s">
        <v>968</v>
      </c>
      <c r="D299" s="24" t="s">
        <v>837</v>
      </c>
      <c r="E299" s="24" t="s">
        <v>917</v>
      </c>
      <c r="F299" s="23" t="s">
        <v>969</v>
      </c>
      <c r="G299" s="26" t="s">
        <v>74</v>
      </c>
      <c r="H299" s="24" t="n">
        <v>5</v>
      </c>
      <c r="I299" s="23" t="s">
        <v>977</v>
      </c>
      <c r="J299" s="23" t="s">
        <v>979</v>
      </c>
      <c r="K299" s="23" t="s">
        <v>74</v>
      </c>
      <c r="L299" s="23" t="s">
        <v>978</v>
      </c>
    </row>
    <row r="300" customFormat="false" ht="21.75" hidden="false" customHeight="true" outlineLevel="0" collapsed="false">
      <c r="A300" s="22" t="s">
        <v>8375</v>
      </c>
      <c r="B300" s="23" t="s">
        <v>950</v>
      </c>
      <c r="C300" s="24" t="s">
        <v>942</v>
      </c>
      <c r="D300" s="24" t="s">
        <v>837</v>
      </c>
      <c r="E300" s="24" t="s">
        <v>943</v>
      </c>
      <c r="F300" s="23" t="s">
        <v>944</v>
      </c>
      <c r="G300" s="27" t="s">
        <v>119</v>
      </c>
      <c r="H300" s="24" t="n">
        <v>2</v>
      </c>
      <c r="I300" s="23" t="s">
        <v>951</v>
      </c>
      <c r="J300" s="23" t="s">
        <v>953</v>
      </c>
      <c r="K300" s="23" t="s">
        <v>90</v>
      </c>
      <c r="L300" s="23" t="s">
        <v>952</v>
      </c>
    </row>
    <row r="301" customFormat="false" ht="21.75" hidden="false" customHeight="true" outlineLevel="0" collapsed="false">
      <c r="A301" s="22" t="s">
        <v>8375</v>
      </c>
      <c r="B301" s="23" t="s">
        <v>1521</v>
      </c>
      <c r="C301" s="24" t="s">
        <v>1513</v>
      </c>
      <c r="D301" s="24" t="s">
        <v>1500</v>
      </c>
      <c r="E301" s="24" t="s">
        <v>1514</v>
      </c>
      <c r="F301" s="23" t="s">
        <v>1515</v>
      </c>
      <c r="G301" s="27" t="s">
        <v>119</v>
      </c>
      <c r="H301" s="24" t="n">
        <v>2</v>
      </c>
      <c r="I301" s="23" t="s">
        <v>1522</v>
      </c>
      <c r="J301" s="23" t="s">
        <v>1524</v>
      </c>
      <c r="K301" s="23" t="s">
        <v>90</v>
      </c>
      <c r="L301" s="23" t="s">
        <v>1523</v>
      </c>
    </row>
    <row r="302" customFormat="false" ht="21.75" hidden="false" customHeight="true" outlineLevel="0" collapsed="false">
      <c r="A302" s="22" t="s">
        <v>8375</v>
      </c>
      <c r="B302" s="23" t="s">
        <v>3730</v>
      </c>
      <c r="C302" s="24" t="s">
        <v>3722</v>
      </c>
      <c r="D302" s="24" t="s">
        <v>3291</v>
      </c>
      <c r="E302" s="24" t="s">
        <v>3723</v>
      </c>
      <c r="F302" s="23" t="s">
        <v>3724</v>
      </c>
      <c r="G302" s="26" t="s">
        <v>74</v>
      </c>
      <c r="H302" s="24" t="n">
        <v>3</v>
      </c>
      <c r="I302" s="23" t="s">
        <v>3731</v>
      </c>
      <c r="J302" s="23" t="s">
        <v>3733</v>
      </c>
      <c r="K302" s="23" t="s">
        <v>90</v>
      </c>
      <c r="L302" s="23" t="s">
        <v>3732</v>
      </c>
    </row>
    <row r="303" customFormat="false" ht="21.75" hidden="false" customHeight="true" outlineLevel="0" collapsed="false">
      <c r="A303" s="22" t="s">
        <v>8375</v>
      </c>
      <c r="B303" s="23" t="s">
        <v>4473</v>
      </c>
      <c r="C303" s="24" t="s">
        <v>4466</v>
      </c>
      <c r="D303" s="24" t="s">
        <v>4203</v>
      </c>
      <c r="E303" s="24" t="s">
        <v>4454</v>
      </c>
      <c r="F303" s="23" t="s">
        <v>4467</v>
      </c>
      <c r="G303" s="26" t="s">
        <v>74</v>
      </c>
      <c r="H303" s="24" t="n">
        <v>4</v>
      </c>
      <c r="I303" s="23" t="s">
        <v>4474</v>
      </c>
      <c r="J303" s="23" t="s">
        <v>4476</v>
      </c>
      <c r="K303" s="23" t="s">
        <v>90</v>
      </c>
      <c r="L303" s="23" t="s">
        <v>4475</v>
      </c>
    </row>
    <row r="304" customFormat="false" ht="21.75" hidden="false" customHeight="true" outlineLevel="0" collapsed="false">
      <c r="A304" s="22" t="s">
        <v>8375</v>
      </c>
      <c r="B304" s="23" t="s">
        <v>846</v>
      </c>
      <c r="C304" s="24" t="s">
        <v>836</v>
      </c>
      <c r="D304" s="24" t="s">
        <v>837</v>
      </c>
      <c r="E304" s="24" t="s">
        <v>838</v>
      </c>
      <c r="F304" s="23" t="s">
        <v>839</v>
      </c>
      <c r="G304" s="28" t="s">
        <v>73</v>
      </c>
      <c r="H304" s="24" t="n">
        <v>9</v>
      </c>
      <c r="I304" s="23" t="s">
        <v>847</v>
      </c>
      <c r="J304" s="23" t="s">
        <v>849</v>
      </c>
      <c r="K304" s="23" t="s">
        <v>119</v>
      </c>
      <c r="L304" s="23" t="s">
        <v>848</v>
      </c>
    </row>
    <row r="305" customFormat="false" ht="21.75" hidden="false" customHeight="true" outlineLevel="0" collapsed="false">
      <c r="A305" s="22" t="s">
        <v>8375</v>
      </c>
      <c r="B305" s="23" t="s">
        <v>1042</v>
      </c>
      <c r="C305" s="24" t="s">
        <v>1034</v>
      </c>
      <c r="D305" s="24" t="s">
        <v>837</v>
      </c>
      <c r="E305" s="24" t="s">
        <v>982</v>
      </c>
      <c r="F305" s="23" t="s">
        <v>1035</v>
      </c>
      <c r="G305" s="26" t="s">
        <v>74</v>
      </c>
      <c r="H305" s="24" t="n">
        <v>5</v>
      </c>
      <c r="I305" s="23" t="s">
        <v>1043</v>
      </c>
      <c r="J305" s="23" t="s">
        <v>1045</v>
      </c>
      <c r="K305" s="23" t="s">
        <v>74</v>
      </c>
      <c r="L305" s="23" t="s">
        <v>1044</v>
      </c>
    </row>
    <row r="306" customFormat="false" ht="21.75" hidden="false" customHeight="true" outlineLevel="0" collapsed="false">
      <c r="A306" s="22" t="s">
        <v>8375</v>
      </c>
      <c r="B306" s="23" t="s">
        <v>897</v>
      </c>
      <c r="C306" s="24" t="s">
        <v>889</v>
      </c>
      <c r="D306" s="24" t="s">
        <v>837</v>
      </c>
      <c r="E306" s="24" t="s">
        <v>838</v>
      </c>
      <c r="F306" s="23" t="s">
        <v>890</v>
      </c>
      <c r="G306" s="25" t="s">
        <v>90</v>
      </c>
      <c r="H306" s="24" t="n">
        <v>7</v>
      </c>
      <c r="I306" s="23" t="s">
        <v>898</v>
      </c>
      <c r="J306" s="23" t="s">
        <v>900</v>
      </c>
      <c r="K306" s="23" t="s">
        <v>119</v>
      </c>
      <c r="L306" s="23" t="s">
        <v>899</v>
      </c>
    </row>
    <row r="307" customFormat="false" ht="21.75" hidden="false" customHeight="true" outlineLevel="0" collapsed="false">
      <c r="A307" s="22" t="s">
        <v>8375</v>
      </c>
      <c r="B307" s="23" t="s">
        <v>5283</v>
      </c>
      <c r="C307" s="24" t="s">
        <v>5274</v>
      </c>
      <c r="D307" s="24" t="s">
        <v>4949</v>
      </c>
      <c r="E307" s="24" t="s">
        <v>5275</v>
      </c>
      <c r="F307" s="23" t="s">
        <v>5276</v>
      </c>
      <c r="G307" s="27" t="s">
        <v>119</v>
      </c>
      <c r="H307" s="24" t="n">
        <v>2</v>
      </c>
      <c r="I307" s="23" t="s">
        <v>5284</v>
      </c>
      <c r="J307" s="23" t="s">
        <v>5286</v>
      </c>
      <c r="K307" s="23" t="s">
        <v>90</v>
      </c>
      <c r="L307" s="23" t="s">
        <v>5285</v>
      </c>
    </row>
    <row r="308" customFormat="false" ht="21.75" hidden="false" customHeight="true" outlineLevel="0" collapsed="false">
      <c r="A308" s="22" t="s">
        <v>8375</v>
      </c>
      <c r="B308" s="23" t="s">
        <v>884</v>
      </c>
      <c r="C308" s="24" t="s">
        <v>876</v>
      </c>
      <c r="D308" s="24" t="s">
        <v>837</v>
      </c>
      <c r="E308" s="24" t="s">
        <v>838</v>
      </c>
      <c r="F308" s="23" t="s">
        <v>877</v>
      </c>
      <c r="G308" s="28" t="s">
        <v>73</v>
      </c>
      <c r="H308" s="24" t="n">
        <v>10</v>
      </c>
      <c r="I308" s="23" t="s">
        <v>885</v>
      </c>
      <c r="J308" s="23" t="s">
        <v>887</v>
      </c>
      <c r="K308" s="23" t="s">
        <v>119</v>
      </c>
      <c r="L308" s="23" t="s">
        <v>886</v>
      </c>
    </row>
    <row r="309" customFormat="false" ht="21.75" hidden="false" customHeight="true" outlineLevel="0" collapsed="false">
      <c r="A309" s="22" t="s">
        <v>8375</v>
      </c>
      <c r="B309" s="23" t="s">
        <v>3402</v>
      </c>
      <c r="C309" s="24" t="s">
        <v>3393</v>
      </c>
      <c r="D309" s="24" t="s">
        <v>3291</v>
      </c>
      <c r="E309" s="24" t="s">
        <v>3394</v>
      </c>
      <c r="F309" s="23" t="s">
        <v>3395</v>
      </c>
      <c r="G309" s="25" t="s">
        <v>90</v>
      </c>
      <c r="H309" s="24" t="n">
        <v>7</v>
      </c>
      <c r="I309" s="23" t="s">
        <v>3403</v>
      </c>
      <c r="J309" s="23" t="s">
        <v>3405</v>
      </c>
      <c r="K309" s="23" t="s">
        <v>74</v>
      </c>
      <c r="L309" s="23" t="s">
        <v>3404</v>
      </c>
    </row>
    <row r="310" customFormat="false" ht="21.75" hidden="false" customHeight="true" outlineLevel="0" collapsed="false">
      <c r="A310" s="22" t="s">
        <v>8375</v>
      </c>
      <c r="B310" s="23" t="s">
        <v>2134</v>
      </c>
      <c r="C310" s="24" t="s">
        <v>2126</v>
      </c>
      <c r="D310" s="24" t="s">
        <v>1500</v>
      </c>
      <c r="E310" s="24" t="s">
        <v>2113</v>
      </c>
      <c r="F310" s="23" t="s">
        <v>2127</v>
      </c>
      <c r="G310" s="28" t="s">
        <v>73</v>
      </c>
      <c r="H310" s="24" t="n">
        <v>10</v>
      </c>
      <c r="I310" s="23" t="s">
        <v>2135</v>
      </c>
      <c r="J310" s="23" t="s">
        <v>2137</v>
      </c>
      <c r="K310" s="23" t="s">
        <v>119</v>
      </c>
      <c r="L310" s="23" t="s">
        <v>2136</v>
      </c>
    </row>
    <row r="311" customFormat="false" ht="21.75" hidden="false" customHeight="true" outlineLevel="0" collapsed="false">
      <c r="A311" s="22" t="s">
        <v>8372</v>
      </c>
      <c r="B311" s="23" t="s">
        <v>1213</v>
      </c>
      <c r="C311" s="24" t="s">
        <v>1204</v>
      </c>
      <c r="D311" s="24" t="s">
        <v>837</v>
      </c>
      <c r="E311" s="24" t="s">
        <v>1205</v>
      </c>
      <c r="F311" s="23" t="s">
        <v>1206</v>
      </c>
      <c r="G311" s="26" t="s">
        <v>74</v>
      </c>
      <c r="H311" s="24" t="n">
        <v>4</v>
      </c>
      <c r="I311" s="23" t="s">
        <v>1214</v>
      </c>
      <c r="J311" s="23" t="s">
        <v>1216</v>
      </c>
      <c r="K311" s="23" t="s">
        <v>90</v>
      </c>
      <c r="L311" s="23" t="s">
        <v>1215</v>
      </c>
    </row>
    <row r="312" customFormat="false" ht="21.75" hidden="false" customHeight="true" outlineLevel="0" collapsed="false">
      <c r="A312" s="22" t="s">
        <v>8372</v>
      </c>
      <c r="B312" s="23" t="s">
        <v>1995</v>
      </c>
      <c r="C312" s="24" t="s">
        <v>1988</v>
      </c>
      <c r="D312" s="24" t="s">
        <v>1500</v>
      </c>
      <c r="E312" s="24" t="s">
        <v>1976</v>
      </c>
      <c r="F312" s="23" t="s">
        <v>1989</v>
      </c>
      <c r="G312" s="26" t="s">
        <v>74</v>
      </c>
      <c r="H312" s="24" t="n">
        <v>5</v>
      </c>
      <c r="I312" s="23" t="s">
        <v>1996</v>
      </c>
      <c r="J312" s="23" t="s">
        <v>1998</v>
      </c>
      <c r="K312" s="23" t="s">
        <v>74</v>
      </c>
      <c r="L312" s="23" t="s">
        <v>1997</v>
      </c>
    </row>
    <row r="313" customFormat="false" ht="21.75" hidden="false" customHeight="true" outlineLevel="0" collapsed="false">
      <c r="A313" s="22" t="s">
        <v>8372</v>
      </c>
      <c r="B313" s="23" t="s">
        <v>1806</v>
      </c>
      <c r="C313" s="24" t="s">
        <v>1798</v>
      </c>
      <c r="D313" s="24" t="s">
        <v>1500</v>
      </c>
      <c r="E313" s="24" t="s">
        <v>1799</v>
      </c>
      <c r="F313" s="23" t="s">
        <v>1800</v>
      </c>
      <c r="G313" s="25" t="s">
        <v>90</v>
      </c>
      <c r="H313" s="24" t="n">
        <v>6</v>
      </c>
      <c r="I313" s="23" t="s">
        <v>1807</v>
      </c>
      <c r="J313" s="23" t="s">
        <v>1809</v>
      </c>
      <c r="K313" s="23" t="s">
        <v>74</v>
      </c>
      <c r="L313" s="23" t="s">
        <v>1808</v>
      </c>
    </row>
    <row r="314" customFormat="false" ht="21.75" hidden="false" customHeight="true" outlineLevel="0" collapsed="false">
      <c r="A314" s="22" t="s">
        <v>8372</v>
      </c>
      <c r="B314" s="23" t="s">
        <v>1779</v>
      </c>
      <c r="C314" s="24" t="s">
        <v>1770</v>
      </c>
      <c r="D314" s="24" t="s">
        <v>1500</v>
      </c>
      <c r="E314" s="24" t="s">
        <v>1771</v>
      </c>
      <c r="F314" s="23" t="s">
        <v>1772</v>
      </c>
      <c r="G314" s="28" t="s">
        <v>73</v>
      </c>
      <c r="H314" s="24" t="n">
        <v>9</v>
      </c>
      <c r="I314" s="23" t="s">
        <v>1780</v>
      </c>
      <c r="J314" s="23" t="s">
        <v>1782</v>
      </c>
      <c r="K314" s="23" t="s">
        <v>74</v>
      </c>
      <c r="L314" s="23" t="s">
        <v>1781</v>
      </c>
    </row>
    <row r="315" customFormat="false" ht="21.75" hidden="false" customHeight="true" outlineLevel="0" collapsed="false">
      <c r="A315" s="22" t="s">
        <v>8372</v>
      </c>
      <c r="B315" s="23" t="s">
        <v>1738</v>
      </c>
      <c r="C315" s="24" t="s">
        <v>1730</v>
      </c>
      <c r="D315" s="24" t="s">
        <v>1500</v>
      </c>
      <c r="E315" s="24" t="s">
        <v>627</v>
      </c>
      <c r="F315" s="23" t="s">
        <v>1731</v>
      </c>
      <c r="G315" s="25" t="s">
        <v>90</v>
      </c>
      <c r="H315" s="24" t="n">
        <v>7</v>
      </c>
      <c r="I315" s="23" t="s">
        <v>1739</v>
      </c>
      <c r="J315" s="23" t="s">
        <v>1741</v>
      </c>
      <c r="K315" s="23" t="s">
        <v>74</v>
      </c>
      <c r="L315" s="23" t="s">
        <v>1740</v>
      </c>
    </row>
    <row r="316" customFormat="false" ht="21.75" hidden="false" customHeight="true" outlineLevel="0" collapsed="false">
      <c r="A316" s="22" t="s">
        <v>8372</v>
      </c>
      <c r="B316" s="23" t="s">
        <v>1700</v>
      </c>
      <c r="C316" s="24" t="s">
        <v>1693</v>
      </c>
      <c r="D316" s="24" t="s">
        <v>1500</v>
      </c>
      <c r="E316" s="24" t="s">
        <v>1681</v>
      </c>
      <c r="F316" s="23" t="s">
        <v>1694</v>
      </c>
      <c r="G316" s="25" t="s">
        <v>90</v>
      </c>
      <c r="H316" s="24" t="n">
        <v>8</v>
      </c>
      <c r="I316" s="23" t="s">
        <v>1701</v>
      </c>
      <c r="J316" s="23" t="s">
        <v>1703</v>
      </c>
      <c r="K316" s="23" t="s">
        <v>74</v>
      </c>
      <c r="L316" s="23" t="s">
        <v>1702</v>
      </c>
    </row>
    <row r="317" customFormat="false" ht="21.75" hidden="false" customHeight="true" outlineLevel="0" collapsed="false">
      <c r="A317" s="22" t="s">
        <v>8372</v>
      </c>
      <c r="B317" s="23" t="s">
        <v>1609</v>
      </c>
      <c r="C317" s="24" t="s">
        <v>1601</v>
      </c>
      <c r="D317" s="24" t="s">
        <v>1500</v>
      </c>
      <c r="E317" s="24" t="s">
        <v>1602</v>
      </c>
      <c r="F317" s="23" t="s">
        <v>1603</v>
      </c>
      <c r="G317" s="26" t="s">
        <v>74</v>
      </c>
      <c r="H317" s="24" t="n">
        <v>5</v>
      </c>
      <c r="I317" s="23" t="s">
        <v>1610</v>
      </c>
      <c r="J317" s="23" t="s">
        <v>1613</v>
      </c>
      <c r="K317" s="23" t="s">
        <v>74</v>
      </c>
      <c r="L317" s="23" t="s">
        <v>1612</v>
      </c>
    </row>
    <row r="318" customFormat="false" ht="21.75" hidden="false" customHeight="true" outlineLevel="0" collapsed="false">
      <c r="A318" s="22" t="s">
        <v>8372</v>
      </c>
      <c r="B318" s="23" t="s">
        <v>1765</v>
      </c>
      <c r="C318" s="24" t="s">
        <v>1756</v>
      </c>
      <c r="D318" s="24" t="s">
        <v>1500</v>
      </c>
      <c r="E318" s="24" t="s">
        <v>1757</v>
      </c>
      <c r="F318" s="23" t="s">
        <v>1758</v>
      </c>
      <c r="G318" s="25" t="s">
        <v>90</v>
      </c>
      <c r="H318" s="24" t="n">
        <v>7</v>
      </c>
      <c r="I318" s="23" t="s">
        <v>1766</v>
      </c>
      <c r="J318" s="23" t="s">
        <v>1768</v>
      </c>
      <c r="K318" s="23" t="s">
        <v>74</v>
      </c>
      <c r="L318" s="23" t="s">
        <v>1767</v>
      </c>
    </row>
    <row r="319" customFormat="false" ht="21.75" hidden="false" customHeight="true" outlineLevel="0" collapsed="false">
      <c r="A319" s="22" t="s">
        <v>8372</v>
      </c>
      <c r="B319" s="23" t="s">
        <v>1635</v>
      </c>
      <c r="C319" s="24" t="s">
        <v>1627</v>
      </c>
      <c r="D319" s="24" t="s">
        <v>1500</v>
      </c>
      <c r="E319" s="24" t="s">
        <v>1628</v>
      </c>
      <c r="F319" s="23" t="s">
        <v>1629</v>
      </c>
      <c r="G319" s="25" t="s">
        <v>90</v>
      </c>
      <c r="H319" s="24" t="n">
        <v>8</v>
      </c>
      <c r="I319" s="23" t="s">
        <v>1636</v>
      </c>
      <c r="J319" s="23" t="s">
        <v>1638</v>
      </c>
      <c r="K319" s="23" t="s">
        <v>74</v>
      </c>
      <c r="L319" s="23" t="s">
        <v>1637</v>
      </c>
    </row>
    <row r="320" customFormat="false" ht="21.75" hidden="false" customHeight="true" outlineLevel="0" collapsed="false">
      <c r="A320" s="22" t="s">
        <v>8372</v>
      </c>
      <c r="B320" s="23" t="s">
        <v>3188</v>
      </c>
      <c r="C320" s="24" t="s">
        <v>3180</v>
      </c>
      <c r="D320" s="24" t="s">
        <v>2713</v>
      </c>
      <c r="E320" s="24" t="s">
        <v>3181</v>
      </c>
      <c r="F320" s="23" t="s">
        <v>3182</v>
      </c>
      <c r="G320" s="25" t="s">
        <v>90</v>
      </c>
      <c r="H320" s="24" t="n">
        <v>7</v>
      </c>
      <c r="I320" s="23" t="s">
        <v>3189</v>
      </c>
      <c r="J320" s="23" t="s">
        <v>3192</v>
      </c>
      <c r="K320" s="23" t="s">
        <v>119</v>
      </c>
      <c r="L320" s="23" t="s">
        <v>3191</v>
      </c>
    </row>
    <row r="321" customFormat="false" ht="21.75" hidden="false" customHeight="true" outlineLevel="0" collapsed="false">
      <c r="A321" s="22" t="s">
        <v>8372</v>
      </c>
      <c r="B321" s="23" t="s">
        <v>1106</v>
      </c>
      <c r="C321" s="24" t="s">
        <v>1099</v>
      </c>
      <c r="D321" s="24" t="s">
        <v>837</v>
      </c>
      <c r="E321" s="24" t="s">
        <v>1048</v>
      </c>
      <c r="F321" s="23" t="s">
        <v>1100</v>
      </c>
      <c r="G321" s="27" t="s">
        <v>119</v>
      </c>
      <c r="H321" s="24" t="n">
        <v>2</v>
      </c>
      <c r="I321" s="23" t="s">
        <v>1107</v>
      </c>
      <c r="J321" s="23" t="s">
        <v>1109</v>
      </c>
      <c r="K321" s="23" t="s">
        <v>90</v>
      </c>
      <c r="L321" s="23" t="s">
        <v>1108</v>
      </c>
    </row>
    <row r="322" customFormat="false" ht="21.75" hidden="false" customHeight="true" outlineLevel="0" collapsed="false">
      <c r="A322" s="22" t="s">
        <v>8372</v>
      </c>
      <c r="B322" s="23" t="s">
        <v>2008</v>
      </c>
      <c r="C322" s="24" t="s">
        <v>2000</v>
      </c>
      <c r="D322" s="24" t="s">
        <v>1500</v>
      </c>
      <c r="E322" s="24" t="s">
        <v>2001</v>
      </c>
      <c r="F322" s="23" t="s">
        <v>2002</v>
      </c>
      <c r="G322" s="26" t="s">
        <v>74</v>
      </c>
      <c r="H322" s="24" t="n">
        <v>4</v>
      </c>
      <c r="I322" s="23" t="s">
        <v>2009</v>
      </c>
      <c r="J322" s="23" t="s">
        <v>2011</v>
      </c>
      <c r="K322" s="23" t="s">
        <v>74</v>
      </c>
      <c r="L322" s="23" t="s">
        <v>2010</v>
      </c>
    </row>
    <row r="323" customFormat="false" ht="21.75" hidden="false" customHeight="true" outlineLevel="0" collapsed="false">
      <c r="A323" s="22" t="s">
        <v>8405</v>
      </c>
      <c r="B323" s="23" t="s">
        <v>1029</v>
      </c>
      <c r="C323" s="24" t="s">
        <v>1021</v>
      </c>
      <c r="D323" s="24" t="s">
        <v>837</v>
      </c>
      <c r="E323" s="24" t="s">
        <v>982</v>
      </c>
      <c r="F323" s="23" t="s">
        <v>1022</v>
      </c>
      <c r="G323" s="26" t="s">
        <v>74</v>
      </c>
      <c r="H323" s="24" t="n">
        <v>4</v>
      </c>
      <c r="I323" s="23" t="s">
        <v>1030</v>
      </c>
      <c r="J323" s="23" t="s">
        <v>1032</v>
      </c>
      <c r="K323" s="23" t="s">
        <v>90</v>
      </c>
      <c r="L323" s="23" t="s">
        <v>1031</v>
      </c>
    </row>
    <row r="324" customFormat="false" ht="21.75" hidden="false" customHeight="true" outlineLevel="0" collapsed="false">
      <c r="A324" s="22" t="s">
        <v>8405</v>
      </c>
      <c r="B324" s="23" t="s">
        <v>2047</v>
      </c>
      <c r="C324" s="24" t="s">
        <v>2039</v>
      </c>
      <c r="D324" s="24" t="s">
        <v>1500</v>
      </c>
      <c r="E324" s="24" t="s">
        <v>2040</v>
      </c>
      <c r="F324" s="23" t="s">
        <v>2041</v>
      </c>
      <c r="G324" s="25" t="s">
        <v>90</v>
      </c>
      <c r="H324" s="24" t="n">
        <v>7</v>
      </c>
      <c r="I324" s="23" t="s">
        <v>2048</v>
      </c>
      <c r="J324" s="23" t="s">
        <v>2050</v>
      </c>
      <c r="K324" s="23" t="s">
        <v>74</v>
      </c>
      <c r="L324" s="23" t="s">
        <v>2049</v>
      </c>
    </row>
    <row r="325" customFormat="false" ht="21.75" hidden="false" customHeight="true" outlineLevel="0" collapsed="false">
      <c r="A325" s="22" t="s">
        <v>8409</v>
      </c>
      <c r="B325" s="23" t="s">
        <v>859</v>
      </c>
      <c r="C325" s="24" t="s">
        <v>851</v>
      </c>
      <c r="D325" s="24" t="s">
        <v>837</v>
      </c>
      <c r="E325" s="24" t="s">
        <v>838</v>
      </c>
      <c r="F325" s="23" t="s">
        <v>852</v>
      </c>
      <c r="G325" s="25" t="s">
        <v>90</v>
      </c>
      <c r="H325" s="24" t="n">
        <v>7</v>
      </c>
      <c r="I325" s="23" t="s">
        <v>208</v>
      </c>
      <c r="J325" s="23" t="s">
        <v>861</v>
      </c>
      <c r="K325" s="23" t="s">
        <v>119</v>
      </c>
      <c r="L325" s="23" t="s">
        <v>860</v>
      </c>
    </row>
    <row r="326" customFormat="false" ht="21.75" hidden="false" customHeight="true" outlineLevel="0" collapsed="false">
      <c r="A326" s="22" t="s">
        <v>8421</v>
      </c>
      <c r="B326" s="23" t="s">
        <v>1199</v>
      </c>
      <c r="C326" s="24" t="s">
        <v>1191</v>
      </c>
      <c r="D326" s="24" t="s">
        <v>837</v>
      </c>
      <c r="E326" s="24" t="s">
        <v>1178</v>
      </c>
      <c r="F326" s="23" t="s">
        <v>1192</v>
      </c>
      <c r="G326" s="27" t="s">
        <v>119</v>
      </c>
      <c r="H326" s="24" t="n">
        <v>2</v>
      </c>
      <c r="I326" s="23" t="s">
        <v>1200</v>
      </c>
      <c r="J326" s="23" t="s">
        <v>1202</v>
      </c>
      <c r="K326" s="23" t="s">
        <v>90</v>
      </c>
      <c r="L326" s="23" t="s">
        <v>1201</v>
      </c>
    </row>
    <row r="327" customFormat="false" ht="15" hidden="false" customHeight="true" outlineLevel="0" collapsed="false">
      <c r="A327" s="22" t="s">
        <v>8371</v>
      </c>
      <c r="B327" s="23" t="s">
        <v>4251</v>
      </c>
      <c r="C327" s="24" t="s">
        <v>4243</v>
      </c>
      <c r="D327" s="24" t="s">
        <v>4203</v>
      </c>
      <c r="E327" s="24" t="s">
        <v>4244</v>
      </c>
      <c r="F327" s="23" t="s">
        <v>4245</v>
      </c>
      <c r="G327" s="26" t="s">
        <v>74</v>
      </c>
      <c r="H327" s="24" t="n">
        <v>3</v>
      </c>
      <c r="I327" s="23" t="s">
        <v>4252</v>
      </c>
      <c r="J327" s="23" t="s">
        <v>4254</v>
      </c>
      <c r="K327" s="23" t="s">
        <v>90</v>
      </c>
      <c r="L327" s="23" t="s">
        <v>4253</v>
      </c>
    </row>
    <row r="328" customFormat="false" ht="21.75" hidden="false" customHeight="true" outlineLevel="0" collapsed="false">
      <c r="A328" s="22" t="s">
        <v>8371</v>
      </c>
      <c r="B328" s="23" t="s">
        <v>4251</v>
      </c>
      <c r="C328" s="24" t="s">
        <v>4318</v>
      </c>
      <c r="D328" s="24" t="s">
        <v>4203</v>
      </c>
      <c r="E328" s="24" t="s">
        <v>4319</v>
      </c>
      <c r="F328" s="23" t="s">
        <v>4320</v>
      </c>
      <c r="G328" s="27" t="s">
        <v>119</v>
      </c>
      <c r="H328" s="24" t="n">
        <v>2</v>
      </c>
      <c r="I328" s="23" t="s">
        <v>4326</v>
      </c>
      <c r="J328" s="23" t="s">
        <v>4328</v>
      </c>
      <c r="K328" s="23" t="s">
        <v>90</v>
      </c>
      <c r="L328" s="23" t="s">
        <v>4327</v>
      </c>
    </row>
    <row r="329" customFormat="false" ht="21.75" hidden="false" customHeight="true" outlineLevel="0" collapsed="false">
      <c r="A329" s="22" t="s">
        <v>8371</v>
      </c>
      <c r="B329" s="23" t="s">
        <v>4251</v>
      </c>
      <c r="C329" s="24" t="s">
        <v>4342</v>
      </c>
      <c r="D329" s="24" t="s">
        <v>4203</v>
      </c>
      <c r="E329" s="24" t="s">
        <v>4343</v>
      </c>
      <c r="F329" s="23" t="s">
        <v>4344</v>
      </c>
      <c r="G329" s="27" t="s">
        <v>119</v>
      </c>
      <c r="H329" s="24" t="n">
        <v>2</v>
      </c>
      <c r="I329" s="23" t="s">
        <v>208</v>
      </c>
      <c r="J329" s="23" t="s">
        <v>4351</v>
      </c>
      <c r="K329" s="23" t="s">
        <v>90</v>
      </c>
      <c r="L329" s="23" t="s">
        <v>4350</v>
      </c>
    </row>
    <row r="330" customFormat="false" ht="21.75" hidden="false" customHeight="true" outlineLevel="0" collapsed="false">
      <c r="A330" s="22" t="s">
        <v>8371</v>
      </c>
      <c r="B330" s="23" t="s">
        <v>4387</v>
      </c>
      <c r="C330" s="24" t="s">
        <v>4378</v>
      </c>
      <c r="D330" s="24" t="s">
        <v>4203</v>
      </c>
      <c r="E330" s="24" t="s">
        <v>4379</v>
      </c>
      <c r="F330" s="23" t="s">
        <v>4380</v>
      </c>
      <c r="G330" s="26" t="s">
        <v>74</v>
      </c>
      <c r="H330" s="24" t="n">
        <v>4</v>
      </c>
      <c r="I330" s="23" t="s">
        <v>4388</v>
      </c>
      <c r="J330" s="23" t="s">
        <v>4390</v>
      </c>
      <c r="K330" s="23" t="s">
        <v>90</v>
      </c>
      <c r="L330" s="23" t="s">
        <v>4389</v>
      </c>
    </row>
    <row r="331" customFormat="false" ht="21.75" hidden="false" customHeight="true" outlineLevel="0" collapsed="false">
      <c r="A331" s="22" t="s">
        <v>8371</v>
      </c>
      <c r="B331" s="23" t="s">
        <v>4291</v>
      </c>
      <c r="C331" s="24" t="s">
        <v>4282</v>
      </c>
      <c r="D331" s="24" t="s">
        <v>4203</v>
      </c>
      <c r="E331" s="24" t="s">
        <v>4283</v>
      </c>
      <c r="F331" s="23" t="s">
        <v>4284</v>
      </c>
      <c r="G331" s="28" t="s">
        <v>73</v>
      </c>
      <c r="H331" s="24" t="n">
        <v>10</v>
      </c>
      <c r="I331" s="23" t="s">
        <v>1984</v>
      </c>
      <c r="J331" s="23" t="s">
        <v>4293</v>
      </c>
      <c r="K331" s="23" t="s">
        <v>119</v>
      </c>
      <c r="L331" s="23" t="s">
        <v>4292</v>
      </c>
    </row>
    <row r="332" customFormat="false" ht="21.75" hidden="false" customHeight="true" outlineLevel="0" collapsed="false">
      <c r="A332" s="22" t="s">
        <v>8371</v>
      </c>
      <c r="B332" s="23" t="s">
        <v>4338</v>
      </c>
      <c r="C332" s="24" t="s">
        <v>4330</v>
      </c>
      <c r="D332" s="24" t="s">
        <v>4203</v>
      </c>
      <c r="E332" s="24" t="s">
        <v>4331</v>
      </c>
      <c r="F332" s="23" t="s">
        <v>4332</v>
      </c>
      <c r="G332" s="25" t="s">
        <v>90</v>
      </c>
      <c r="H332" s="24" t="n">
        <v>8</v>
      </c>
      <c r="I332" s="23" t="s">
        <v>4339</v>
      </c>
      <c r="J332" s="23" t="s">
        <v>4341</v>
      </c>
      <c r="K332" s="23" t="s">
        <v>119</v>
      </c>
      <c r="L332" s="23" t="s">
        <v>4340</v>
      </c>
    </row>
    <row r="333" customFormat="false" ht="21.75" hidden="false" customHeight="true" outlineLevel="0" collapsed="false">
      <c r="A333" s="22" t="s">
        <v>8371</v>
      </c>
      <c r="B333" s="23" t="s">
        <v>4314</v>
      </c>
      <c r="C333" s="24" t="s">
        <v>4306</v>
      </c>
      <c r="D333" s="24" t="s">
        <v>4203</v>
      </c>
      <c r="E333" s="24" t="s">
        <v>4307</v>
      </c>
      <c r="F333" s="23" t="s">
        <v>4308</v>
      </c>
      <c r="G333" s="25" t="s">
        <v>90</v>
      </c>
      <c r="H333" s="24" t="n">
        <v>8</v>
      </c>
      <c r="I333" s="23" t="s">
        <v>2162</v>
      </c>
      <c r="J333" s="23" t="s">
        <v>4316</v>
      </c>
      <c r="K333" s="23" t="s">
        <v>119</v>
      </c>
      <c r="L333" s="23" t="s">
        <v>4315</v>
      </c>
    </row>
    <row r="334" customFormat="false" ht="21.75" hidden="false" customHeight="true" outlineLevel="0" collapsed="false">
      <c r="A334" s="22" t="s">
        <v>8371</v>
      </c>
      <c r="B334" s="23" t="s">
        <v>4239</v>
      </c>
      <c r="C334" s="24" t="s">
        <v>4231</v>
      </c>
      <c r="D334" s="24" t="s">
        <v>4203</v>
      </c>
      <c r="E334" s="24" t="s">
        <v>4218</v>
      </c>
      <c r="F334" s="23" t="s">
        <v>4232</v>
      </c>
      <c r="G334" s="25" t="s">
        <v>90</v>
      </c>
      <c r="H334" s="24" t="n">
        <v>6</v>
      </c>
      <c r="I334" s="23" t="s">
        <v>2683</v>
      </c>
      <c r="J334" s="23" t="s">
        <v>4241</v>
      </c>
      <c r="K334" s="23" t="s">
        <v>90</v>
      </c>
      <c r="L334" s="23" t="s">
        <v>4240</v>
      </c>
    </row>
    <row r="335" customFormat="false" ht="21.75" hidden="false" customHeight="true" outlineLevel="0" collapsed="false">
      <c r="A335" s="22" t="s">
        <v>8371</v>
      </c>
      <c r="B335" s="23" t="s">
        <v>4212</v>
      </c>
      <c r="C335" s="24" t="s">
        <v>4202</v>
      </c>
      <c r="D335" s="24" t="s">
        <v>4203</v>
      </c>
      <c r="E335" s="24" t="s">
        <v>4204</v>
      </c>
      <c r="F335" s="23" t="s">
        <v>4205</v>
      </c>
      <c r="G335" s="28" t="s">
        <v>73</v>
      </c>
      <c r="H335" s="24" t="n">
        <v>9</v>
      </c>
      <c r="I335" s="23" t="s">
        <v>4213</v>
      </c>
      <c r="J335" s="23" t="s">
        <v>4215</v>
      </c>
      <c r="K335" s="23" t="s">
        <v>74</v>
      </c>
      <c r="L335" s="23" t="s">
        <v>4214</v>
      </c>
    </row>
    <row r="336" customFormat="false" ht="21.75" hidden="false" customHeight="true" outlineLevel="0" collapsed="false">
      <c r="A336" s="22" t="s">
        <v>8371</v>
      </c>
      <c r="B336" s="23" t="s">
        <v>4212</v>
      </c>
      <c r="C336" s="24" t="s">
        <v>4295</v>
      </c>
      <c r="D336" s="24" t="s">
        <v>4203</v>
      </c>
      <c r="E336" s="24" t="s">
        <v>4283</v>
      </c>
      <c r="F336" s="23" t="s">
        <v>4296</v>
      </c>
      <c r="G336" s="25" t="s">
        <v>90</v>
      </c>
      <c r="H336" s="24" t="n">
        <v>7</v>
      </c>
      <c r="I336" s="23" t="s">
        <v>4302</v>
      </c>
      <c r="J336" s="23" t="s">
        <v>4304</v>
      </c>
      <c r="K336" s="23" t="s">
        <v>119</v>
      </c>
      <c r="L336" s="23" t="s">
        <v>4303</v>
      </c>
    </row>
    <row r="337" customFormat="false" ht="21.75" hidden="false" customHeight="true" outlineLevel="0" collapsed="false">
      <c r="A337" s="22" t="s">
        <v>8371</v>
      </c>
      <c r="B337" s="23" t="s">
        <v>4226</v>
      </c>
      <c r="C337" s="24" t="s">
        <v>4217</v>
      </c>
      <c r="D337" s="24" t="s">
        <v>4203</v>
      </c>
      <c r="E337" s="24" t="s">
        <v>4218</v>
      </c>
      <c r="F337" s="23" t="s">
        <v>4219</v>
      </c>
      <c r="G337" s="25" t="s">
        <v>90</v>
      </c>
      <c r="H337" s="24" t="n">
        <v>7</v>
      </c>
      <c r="I337" s="23" t="s">
        <v>4227</v>
      </c>
      <c r="J337" s="23" t="s">
        <v>4229</v>
      </c>
      <c r="K337" s="23" t="s">
        <v>74</v>
      </c>
      <c r="L337" s="23" t="s">
        <v>4228</v>
      </c>
    </row>
    <row r="338" customFormat="false" ht="21.75" hidden="false" customHeight="true" outlineLevel="0" collapsed="false">
      <c r="A338" s="22" t="s">
        <v>8371</v>
      </c>
      <c r="B338" s="23" t="s">
        <v>595</v>
      </c>
      <c r="C338" s="24" t="s">
        <v>586</v>
      </c>
      <c r="D338" s="24" t="s">
        <v>59</v>
      </c>
      <c r="E338" s="24" t="s">
        <v>587</v>
      </c>
      <c r="F338" s="23" t="s">
        <v>588</v>
      </c>
      <c r="G338" s="26" t="s">
        <v>74</v>
      </c>
      <c r="H338" s="24" t="n">
        <v>5</v>
      </c>
      <c r="I338" s="23" t="s">
        <v>596</v>
      </c>
      <c r="J338" s="23" t="s">
        <v>598</v>
      </c>
      <c r="K338" s="23" t="s">
        <v>74</v>
      </c>
      <c r="L338" s="23" t="s">
        <v>597</v>
      </c>
    </row>
    <row r="339" customFormat="false" ht="21.75" hidden="false" customHeight="true" outlineLevel="0" collapsed="false">
      <c r="A339" s="22" t="s">
        <v>8387</v>
      </c>
      <c r="B339" s="23" t="s">
        <v>1481</v>
      </c>
      <c r="C339" s="24" t="s">
        <v>1473</v>
      </c>
      <c r="D339" s="24" t="s">
        <v>837</v>
      </c>
      <c r="E339" s="24" t="s">
        <v>1447</v>
      </c>
      <c r="F339" s="23" t="s">
        <v>1474</v>
      </c>
      <c r="G339" s="25" t="s">
        <v>90</v>
      </c>
      <c r="H339" s="24" t="n">
        <v>8</v>
      </c>
      <c r="I339" s="23" t="s">
        <v>1482</v>
      </c>
      <c r="J339" s="23" t="s">
        <v>1484</v>
      </c>
      <c r="K339" s="23" t="s">
        <v>119</v>
      </c>
      <c r="L339" s="23" t="s">
        <v>1483</v>
      </c>
    </row>
    <row r="340" customFormat="false" ht="21.75" hidden="false" customHeight="true" outlineLevel="0" collapsed="false">
      <c r="A340" s="22" t="s">
        <v>8387</v>
      </c>
      <c r="B340" s="23" t="s">
        <v>5026</v>
      </c>
      <c r="C340" s="24" t="s">
        <v>5017</v>
      </c>
      <c r="D340" s="24" t="s">
        <v>4949</v>
      </c>
      <c r="E340" s="24" t="s">
        <v>5018</v>
      </c>
      <c r="F340" s="23" t="s">
        <v>5019</v>
      </c>
      <c r="G340" s="25" t="s">
        <v>90</v>
      </c>
      <c r="H340" s="24" t="n">
        <v>7</v>
      </c>
      <c r="I340" s="23" t="s">
        <v>5027</v>
      </c>
      <c r="J340" s="23" t="s">
        <v>5029</v>
      </c>
      <c r="K340" s="23" t="s">
        <v>74</v>
      </c>
      <c r="L340" s="23" t="s">
        <v>5028</v>
      </c>
    </row>
    <row r="341" customFormat="false" ht="21.75" hidden="false" customHeight="true" outlineLevel="0" collapsed="false">
      <c r="A341" s="22" t="s">
        <v>8387</v>
      </c>
      <c r="B341" s="23" t="s">
        <v>910</v>
      </c>
      <c r="C341" s="24" t="s">
        <v>902</v>
      </c>
      <c r="D341" s="24" t="s">
        <v>837</v>
      </c>
      <c r="E341" s="24" t="s">
        <v>838</v>
      </c>
      <c r="F341" s="23" t="s">
        <v>903</v>
      </c>
      <c r="G341" s="26" t="s">
        <v>74</v>
      </c>
      <c r="H341" s="24" t="n">
        <v>4</v>
      </c>
      <c r="I341" s="23" t="s">
        <v>911</v>
      </c>
      <c r="J341" s="23" t="s">
        <v>914</v>
      </c>
      <c r="K341" s="23" t="s">
        <v>74</v>
      </c>
      <c r="L341" s="23" t="s">
        <v>913</v>
      </c>
    </row>
    <row r="342" customFormat="false" ht="21.75" hidden="false" customHeight="true" outlineLevel="0" collapsed="false">
      <c r="A342" s="22" t="s">
        <v>8387</v>
      </c>
      <c r="B342" s="23" t="s">
        <v>1455</v>
      </c>
      <c r="C342" s="24" t="s">
        <v>1446</v>
      </c>
      <c r="D342" s="24" t="s">
        <v>837</v>
      </c>
      <c r="E342" s="24" t="s">
        <v>1447</v>
      </c>
      <c r="F342" s="23" t="s">
        <v>1448</v>
      </c>
      <c r="G342" s="25" t="s">
        <v>90</v>
      </c>
      <c r="H342" s="24" t="n">
        <v>7</v>
      </c>
      <c r="I342" s="23" t="s">
        <v>1456</v>
      </c>
      <c r="J342" s="23" t="s">
        <v>1458</v>
      </c>
      <c r="K342" s="23" t="s">
        <v>74</v>
      </c>
      <c r="L342" s="23" t="s">
        <v>1457</v>
      </c>
    </row>
    <row r="343" customFormat="false" ht="21.75" hidden="false" customHeight="true" outlineLevel="0" collapsed="false">
      <c r="A343" s="22" t="s">
        <v>8376</v>
      </c>
      <c r="B343" s="23" t="s">
        <v>716</v>
      </c>
      <c r="C343" s="24" t="s">
        <v>708</v>
      </c>
      <c r="D343" s="24" t="s">
        <v>59</v>
      </c>
      <c r="E343" s="24" t="s">
        <v>709</v>
      </c>
      <c r="F343" s="23" t="s">
        <v>710</v>
      </c>
      <c r="G343" s="28" t="s">
        <v>73</v>
      </c>
      <c r="H343" s="24" t="n">
        <v>9</v>
      </c>
      <c r="I343" s="23" t="s">
        <v>717</v>
      </c>
      <c r="J343" s="23" t="s">
        <v>719</v>
      </c>
      <c r="K343" s="23" t="s">
        <v>74</v>
      </c>
      <c r="L343" s="23" t="s">
        <v>718</v>
      </c>
    </row>
    <row r="344" customFormat="false" ht="21.75" hidden="false" customHeight="true" outlineLevel="0" collapsed="false">
      <c r="A344" s="22" t="s">
        <v>8376</v>
      </c>
      <c r="B344" s="23" t="s">
        <v>716</v>
      </c>
      <c r="C344" s="24" t="s">
        <v>3156</v>
      </c>
      <c r="D344" s="24" t="s">
        <v>2713</v>
      </c>
      <c r="E344" s="24" t="s">
        <v>3144</v>
      </c>
      <c r="F344" s="23" t="s">
        <v>3157</v>
      </c>
      <c r="G344" s="25" t="s">
        <v>90</v>
      </c>
      <c r="H344" s="24" t="n">
        <v>7</v>
      </c>
      <c r="I344" s="23" t="s">
        <v>3164</v>
      </c>
      <c r="J344" s="23" t="s">
        <v>3166</v>
      </c>
      <c r="K344" s="23" t="s">
        <v>74</v>
      </c>
      <c r="L344" s="23" t="s">
        <v>3165</v>
      </c>
    </row>
    <row r="345" customFormat="false" ht="21.75" hidden="false" customHeight="true" outlineLevel="0" collapsed="false">
      <c r="A345" s="22" t="s">
        <v>8376</v>
      </c>
      <c r="B345" s="23" t="s">
        <v>1867</v>
      </c>
      <c r="C345" s="24" t="s">
        <v>1859</v>
      </c>
      <c r="D345" s="24" t="s">
        <v>1500</v>
      </c>
      <c r="E345" s="24" t="s">
        <v>1860</v>
      </c>
      <c r="F345" s="23" t="s">
        <v>1861</v>
      </c>
      <c r="G345" s="25" t="s">
        <v>90</v>
      </c>
      <c r="H345" s="24" t="n">
        <v>8</v>
      </c>
      <c r="I345" s="23" t="s">
        <v>1868</v>
      </c>
      <c r="J345" s="23" t="s">
        <v>1870</v>
      </c>
      <c r="K345" s="23" t="s">
        <v>74</v>
      </c>
      <c r="L345" s="23" t="s">
        <v>1869</v>
      </c>
    </row>
    <row r="346" customFormat="false" ht="21.75" hidden="false" customHeight="true" outlineLevel="0" collapsed="false">
      <c r="A346" s="22" t="s">
        <v>8376</v>
      </c>
      <c r="B346" s="23" t="s">
        <v>1820</v>
      </c>
      <c r="C346" s="24" t="s">
        <v>1811</v>
      </c>
      <c r="D346" s="24" t="s">
        <v>1500</v>
      </c>
      <c r="E346" s="24" t="s">
        <v>1812</v>
      </c>
      <c r="F346" s="23" t="s">
        <v>1813</v>
      </c>
      <c r="G346" s="28" t="s">
        <v>73</v>
      </c>
      <c r="H346" s="24" t="n">
        <v>10</v>
      </c>
      <c r="I346" s="23" t="s">
        <v>1821</v>
      </c>
      <c r="J346" s="23" t="s">
        <v>1823</v>
      </c>
      <c r="K346" s="23" t="s">
        <v>119</v>
      </c>
      <c r="L346" s="23" t="s">
        <v>1822</v>
      </c>
    </row>
    <row r="347" customFormat="false" ht="21.75" hidden="false" customHeight="true" outlineLevel="0" collapsed="false">
      <c r="A347" s="22" t="s">
        <v>8376</v>
      </c>
      <c r="B347" s="23" t="s">
        <v>1905</v>
      </c>
      <c r="C347" s="24" t="s">
        <v>1897</v>
      </c>
      <c r="D347" s="24" t="s">
        <v>1500</v>
      </c>
      <c r="E347" s="24" t="s">
        <v>1898</v>
      </c>
      <c r="F347" s="23" t="s">
        <v>1899</v>
      </c>
      <c r="G347" s="25" t="s">
        <v>90</v>
      </c>
      <c r="H347" s="24" t="n">
        <v>7</v>
      </c>
      <c r="I347" s="23" t="s">
        <v>1906</v>
      </c>
      <c r="J347" s="23" t="s">
        <v>1908</v>
      </c>
      <c r="K347" s="23" t="s">
        <v>74</v>
      </c>
      <c r="L347" s="23" t="s">
        <v>1907</v>
      </c>
    </row>
    <row r="348" customFormat="false" ht="21.75" hidden="false" customHeight="true" outlineLevel="0" collapsed="false">
      <c r="A348" s="22" t="s">
        <v>8406</v>
      </c>
      <c r="B348" s="23" t="s">
        <v>3587</v>
      </c>
      <c r="C348" s="24" t="s">
        <v>3579</v>
      </c>
      <c r="D348" s="24" t="s">
        <v>3291</v>
      </c>
      <c r="E348" s="24" t="s">
        <v>3580</v>
      </c>
      <c r="F348" s="23" t="s">
        <v>3581</v>
      </c>
      <c r="G348" s="26" t="s">
        <v>74</v>
      </c>
      <c r="H348" s="24" t="n">
        <v>5</v>
      </c>
      <c r="I348" s="23" t="s">
        <v>3588</v>
      </c>
      <c r="J348" s="23" t="s">
        <v>3590</v>
      </c>
      <c r="K348" s="23" t="s">
        <v>90</v>
      </c>
      <c r="L348" s="23" t="s">
        <v>3589</v>
      </c>
    </row>
    <row r="349" customFormat="false" ht="21.75" hidden="false" customHeight="true" outlineLevel="0" collapsed="false">
      <c r="A349" s="22" t="s">
        <v>8406</v>
      </c>
      <c r="B349" s="23" t="s">
        <v>3561</v>
      </c>
      <c r="C349" s="24" t="s">
        <v>3553</v>
      </c>
      <c r="D349" s="24" t="s">
        <v>3291</v>
      </c>
      <c r="E349" s="24" t="s">
        <v>3554</v>
      </c>
      <c r="F349" s="23" t="s">
        <v>3555</v>
      </c>
      <c r="G349" s="25" t="s">
        <v>90</v>
      </c>
      <c r="H349" s="24" t="n">
        <v>6</v>
      </c>
      <c r="I349" s="23" t="s">
        <v>3562</v>
      </c>
      <c r="J349" s="23" t="s">
        <v>3564</v>
      </c>
      <c r="K349" s="23" t="s">
        <v>74</v>
      </c>
      <c r="L349" s="23" t="s">
        <v>3563</v>
      </c>
    </row>
    <row r="350" customFormat="false" ht="21.75" hidden="false" customHeight="true" outlineLevel="0" collapsed="false">
      <c r="A350" s="22" t="s">
        <v>8422</v>
      </c>
      <c r="B350" s="23" t="s">
        <v>3548</v>
      </c>
      <c r="C350" s="24" t="s">
        <v>3540</v>
      </c>
      <c r="D350" s="24" t="s">
        <v>3291</v>
      </c>
      <c r="E350" s="24" t="s">
        <v>3541</v>
      </c>
      <c r="F350" s="23" t="s">
        <v>3542</v>
      </c>
      <c r="G350" s="27" t="s">
        <v>119</v>
      </c>
      <c r="H350" s="24" t="n">
        <v>2</v>
      </c>
      <c r="I350" s="23" t="s">
        <v>3549</v>
      </c>
      <c r="J350" s="23" t="s">
        <v>3551</v>
      </c>
      <c r="K350" s="23" t="s">
        <v>90</v>
      </c>
      <c r="L350" s="23" t="s">
        <v>3550</v>
      </c>
    </row>
    <row r="351" customFormat="false" ht="21.75" hidden="false" customHeight="true" outlineLevel="0" collapsed="false">
      <c r="A351" s="22" t="s">
        <v>8423</v>
      </c>
      <c r="B351" s="23" t="s">
        <v>3441</v>
      </c>
      <c r="C351" s="24" t="s">
        <v>3433</v>
      </c>
      <c r="D351" s="24" t="s">
        <v>3291</v>
      </c>
      <c r="E351" s="24" t="s">
        <v>3434</v>
      </c>
      <c r="F351" s="23" t="s">
        <v>3435</v>
      </c>
      <c r="G351" s="26" t="s">
        <v>74</v>
      </c>
      <c r="H351" s="24" t="n">
        <v>4</v>
      </c>
      <c r="I351" s="23" t="s">
        <v>3442</v>
      </c>
      <c r="J351" s="23" t="s">
        <v>3444</v>
      </c>
      <c r="K351" s="23" t="s">
        <v>90</v>
      </c>
      <c r="L351" s="23" t="s">
        <v>3443</v>
      </c>
    </row>
    <row r="352" customFormat="false" ht="21.75" hidden="false" customHeight="true" outlineLevel="0" collapsed="false">
      <c r="A352" s="22" t="s">
        <v>8381</v>
      </c>
      <c r="B352" s="23" t="s">
        <v>2814</v>
      </c>
      <c r="C352" s="24" t="s">
        <v>2806</v>
      </c>
      <c r="D352" s="24" t="s">
        <v>2713</v>
      </c>
      <c r="E352" s="24" t="s">
        <v>2807</v>
      </c>
      <c r="F352" s="23" t="s">
        <v>2808</v>
      </c>
      <c r="G352" s="28" t="s">
        <v>73</v>
      </c>
      <c r="H352" s="24" t="n">
        <v>9</v>
      </c>
      <c r="I352" s="23" t="s">
        <v>2815</v>
      </c>
      <c r="J352" s="23" t="s">
        <v>2817</v>
      </c>
      <c r="K352" s="23" t="s">
        <v>119</v>
      </c>
      <c r="L352" s="23" t="s">
        <v>2816</v>
      </c>
    </row>
    <row r="353" customFormat="false" ht="21.75" hidden="false" customHeight="true" outlineLevel="0" collapsed="false">
      <c r="A353" s="22" t="s">
        <v>8381</v>
      </c>
      <c r="B353" s="23" t="s">
        <v>2814</v>
      </c>
      <c r="C353" s="24" t="s">
        <v>2974</v>
      </c>
      <c r="D353" s="24" t="s">
        <v>2713</v>
      </c>
      <c r="E353" s="24" t="s">
        <v>2975</v>
      </c>
      <c r="F353" s="23" t="s">
        <v>2976</v>
      </c>
      <c r="G353" s="25" t="s">
        <v>90</v>
      </c>
      <c r="H353" s="24" t="n">
        <v>7</v>
      </c>
      <c r="I353" s="23" t="s">
        <v>2983</v>
      </c>
      <c r="J353" s="23" t="s">
        <v>2985</v>
      </c>
      <c r="K353" s="23" t="s">
        <v>74</v>
      </c>
      <c r="L353" s="23" t="s">
        <v>2984</v>
      </c>
    </row>
    <row r="354" customFormat="false" ht="21.75" hidden="false" customHeight="true" outlineLevel="0" collapsed="false">
      <c r="A354" s="22" t="s">
        <v>8381</v>
      </c>
      <c r="B354" s="23" t="s">
        <v>2814</v>
      </c>
      <c r="C354" s="24" t="s">
        <v>2987</v>
      </c>
      <c r="D354" s="24" t="s">
        <v>2713</v>
      </c>
      <c r="E354" s="24" t="s">
        <v>2975</v>
      </c>
      <c r="F354" s="23" t="s">
        <v>2988</v>
      </c>
      <c r="G354" s="25" t="s">
        <v>90</v>
      </c>
      <c r="H354" s="24" t="n">
        <v>7</v>
      </c>
      <c r="I354" s="23" t="s">
        <v>2995</v>
      </c>
      <c r="J354" s="23" t="s">
        <v>2997</v>
      </c>
      <c r="K354" s="23" t="s">
        <v>74</v>
      </c>
      <c r="L354" s="23" t="s">
        <v>2996</v>
      </c>
    </row>
    <row r="355" customFormat="false" ht="21.75" hidden="false" customHeight="true" outlineLevel="0" collapsed="false">
      <c r="A355" s="22" t="s">
        <v>8381</v>
      </c>
      <c r="B355" s="23" t="s">
        <v>3468</v>
      </c>
      <c r="C355" s="24" t="s">
        <v>3460</v>
      </c>
      <c r="D355" s="24" t="s">
        <v>3291</v>
      </c>
      <c r="E355" s="24" t="s">
        <v>3461</v>
      </c>
      <c r="F355" s="23" t="s">
        <v>3462</v>
      </c>
      <c r="G355" s="25" t="s">
        <v>90</v>
      </c>
      <c r="H355" s="24" t="n">
        <v>6</v>
      </c>
      <c r="I355" s="23" t="s">
        <v>3469</v>
      </c>
      <c r="J355" s="23" t="s">
        <v>3471</v>
      </c>
      <c r="K355" s="23" t="s">
        <v>74</v>
      </c>
      <c r="L355" s="23" t="s">
        <v>3470</v>
      </c>
    </row>
    <row r="356" customFormat="false" ht="21.75" hidden="false" customHeight="true" outlineLevel="0" collapsed="false">
      <c r="A356" s="22" t="s">
        <v>8381</v>
      </c>
      <c r="B356" s="23" t="s">
        <v>1281</v>
      </c>
      <c r="C356" s="24" t="s">
        <v>1272</v>
      </c>
      <c r="D356" s="24" t="s">
        <v>837</v>
      </c>
      <c r="E356" s="24" t="s">
        <v>1273</v>
      </c>
      <c r="F356" s="23" t="s">
        <v>1274</v>
      </c>
      <c r="G356" s="26" t="s">
        <v>74</v>
      </c>
      <c r="H356" s="24" t="n">
        <v>5</v>
      </c>
      <c r="I356" s="23" t="s">
        <v>1282</v>
      </c>
      <c r="J356" s="23" t="s">
        <v>1284</v>
      </c>
      <c r="K356" s="23" t="s">
        <v>74</v>
      </c>
      <c r="L356" s="23" t="s">
        <v>1283</v>
      </c>
    </row>
    <row r="357" customFormat="false" ht="21.75" hidden="false" customHeight="true" outlineLevel="0" collapsed="false">
      <c r="A357" s="22" t="s">
        <v>8381</v>
      </c>
      <c r="B357" s="23" t="s">
        <v>3018</v>
      </c>
      <c r="C357" s="24" t="s">
        <v>3011</v>
      </c>
      <c r="D357" s="24" t="s">
        <v>2713</v>
      </c>
      <c r="E357" s="24" t="s">
        <v>2975</v>
      </c>
      <c r="F357" s="23" t="s">
        <v>3012</v>
      </c>
      <c r="G357" s="27" t="s">
        <v>119</v>
      </c>
      <c r="H357" s="24" t="n">
        <v>2</v>
      </c>
      <c r="I357" s="23" t="s">
        <v>3019</v>
      </c>
      <c r="J357" s="23" t="s">
        <v>3021</v>
      </c>
      <c r="K357" s="23" t="s">
        <v>90</v>
      </c>
      <c r="L357" s="23" t="s">
        <v>3020</v>
      </c>
    </row>
    <row r="358" customFormat="false" ht="21.75" hidden="false" customHeight="true" outlineLevel="0" collapsed="false">
      <c r="A358" s="22" t="s">
        <v>8381</v>
      </c>
      <c r="B358" s="23" t="s">
        <v>1293</v>
      </c>
      <c r="C358" s="24" t="s">
        <v>1286</v>
      </c>
      <c r="D358" s="24" t="s">
        <v>837</v>
      </c>
      <c r="E358" s="24" t="s">
        <v>1273</v>
      </c>
      <c r="F358" s="23" t="s">
        <v>1287</v>
      </c>
      <c r="G358" s="26" t="s">
        <v>74</v>
      </c>
      <c r="H358" s="24" t="n">
        <v>5</v>
      </c>
      <c r="I358" s="23" t="s">
        <v>1294</v>
      </c>
      <c r="J358" s="23" t="s">
        <v>1296</v>
      </c>
      <c r="K358" s="23" t="s">
        <v>90</v>
      </c>
      <c r="L358" s="23" t="s">
        <v>1295</v>
      </c>
    </row>
    <row r="359" customFormat="false" ht="21.75" hidden="false" customHeight="true" outlineLevel="0" collapsed="false">
      <c r="A359" s="22" t="s">
        <v>8393</v>
      </c>
      <c r="B359" s="23" t="s">
        <v>1069</v>
      </c>
      <c r="C359" s="24" t="s">
        <v>1061</v>
      </c>
      <c r="D359" s="24" t="s">
        <v>837</v>
      </c>
      <c r="E359" s="24" t="s">
        <v>1048</v>
      </c>
      <c r="F359" s="23" t="s">
        <v>1062</v>
      </c>
      <c r="G359" s="25" t="s">
        <v>90</v>
      </c>
      <c r="H359" s="24" t="n">
        <v>8</v>
      </c>
      <c r="I359" s="23" t="s">
        <v>1070</v>
      </c>
      <c r="J359" s="23" t="s">
        <v>1072</v>
      </c>
      <c r="K359" s="23" t="s">
        <v>119</v>
      </c>
      <c r="L359" s="23" t="s">
        <v>1071</v>
      </c>
    </row>
    <row r="360" customFormat="false" ht="21.75" hidden="false" customHeight="true" outlineLevel="0" collapsed="false">
      <c r="A360" s="22" t="s">
        <v>8393</v>
      </c>
      <c r="B360" s="23" t="s">
        <v>1069</v>
      </c>
      <c r="C360" s="24" t="s">
        <v>5031</v>
      </c>
      <c r="D360" s="24" t="s">
        <v>4949</v>
      </c>
      <c r="E360" s="24" t="s">
        <v>5032</v>
      </c>
      <c r="F360" s="23" t="s">
        <v>5033</v>
      </c>
      <c r="G360" s="25" t="s">
        <v>90</v>
      </c>
      <c r="H360" s="24" t="n">
        <v>7</v>
      </c>
      <c r="I360" s="23" t="s">
        <v>5040</v>
      </c>
      <c r="J360" s="23" t="s">
        <v>5042</v>
      </c>
      <c r="K360" s="23" t="s">
        <v>74</v>
      </c>
      <c r="L360" s="23" t="s">
        <v>5041</v>
      </c>
    </row>
    <row r="361" customFormat="false" ht="21.75" hidden="false" customHeight="true" outlineLevel="0" collapsed="false">
      <c r="A361" s="22" t="s">
        <v>8413</v>
      </c>
      <c r="B361" s="23" t="s">
        <v>3415</v>
      </c>
      <c r="C361" s="24" t="s">
        <v>3407</v>
      </c>
      <c r="D361" s="24" t="s">
        <v>3291</v>
      </c>
      <c r="E361" s="24" t="s">
        <v>3408</v>
      </c>
      <c r="F361" s="23" t="s">
        <v>3409</v>
      </c>
      <c r="G361" s="27" t="s">
        <v>119</v>
      </c>
      <c r="H361" s="24" t="n">
        <v>2</v>
      </c>
      <c r="I361" s="23" t="s">
        <v>3416</v>
      </c>
      <c r="J361" s="23" t="s">
        <v>3418</v>
      </c>
      <c r="K361" s="23" t="s">
        <v>90</v>
      </c>
      <c r="L361" s="23" t="s">
        <v>3417</v>
      </c>
    </row>
    <row r="362" customFormat="false" ht="21.75" hidden="false" customHeight="true" outlineLevel="0" collapsed="false">
      <c r="A362" s="22" t="s">
        <v>8413</v>
      </c>
      <c r="B362" s="23" t="s">
        <v>3312</v>
      </c>
      <c r="C362" s="24" t="s">
        <v>3304</v>
      </c>
      <c r="D362" s="24" t="s">
        <v>3291</v>
      </c>
      <c r="E362" s="24" t="s">
        <v>3305</v>
      </c>
      <c r="F362" s="23" t="s">
        <v>3306</v>
      </c>
      <c r="G362" s="26" t="s">
        <v>74</v>
      </c>
      <c r="H362" s="24" t="n">
        <v>5</v>
      </c>
      <c r="I362" s="23" t="s">
        <v>3313</v>
      </c>
      <c r="J362" s="23" t="s">
        <v>3315</v>
      </c>
      <c r="K362" s="23" t="s">
        <v>90</v>
      </c>
      <c r="L362" s="23" t="s">
        <v>3314</v>
      </c>
    </row>
    <row r="363" customFormat="false" ht="21.75" hidden="false" customHeight="true" outlineLevel="0" collapsed="false">
      <c r="A363" s="22" t="s">
        <v>8424</v>
      </c>
      <c r="B363" s="23" t="s">
        <v>1855</v>
      </c>
      <c r="C363" s="24" t="s">
        <v>1848</v>
      </c>
      <c r="D363" s="24" t="s">
        <v>1500</v>
      </c>
      <c r="E363" s="24" t="s">
        <v>1837</v>
      </c>
      <c r="F363" s="23" t="s">
        <v>1849</v>
      </c>
      <c r="G363" s="27" t="s">
        <v>119</v>
      </c>
      <c r="H363" s="24" t="n">
        <v>2</v>
      </c>
      <c r="I363" s="23" t="s">
        <v>1522</v>
      </c>
      <c r="J363" s="23" t="s">
        <v>1857</v>
      </c>
      <c r="K363" s="23" t="s">
        <v>90</v>
      </c>
      <c r="L363" s="23" t="s">
        <v>1856</v>
      </c>
    </row>
    <row r="364" customFormat="false" ht="21.75" hidden="false" customHeight="true" outlineLevel="0" collapsed="false">
      <c r="A364" s="22" t="s">
        <v>8407</v>
      </c>
      <c r="B364" s="23" t="s">
        <v>1793</v>
      </c>
      <c r="C364" s="24" t="s">
        <v>1784</v>
      </c>
      <c r="D364" s="24" t="s">
        <v>1500</v>
      </c>
      <c r="E364" s="24" t="s">
        <v>1785</v>
      </c>
      <c r="F364" s="23" t="s">
        <v>1786</v>
      </c>
      <c r="G364" s="26" t="s">
        <v>74</v>
      </c>
      <c r="H364" s="24" t="n">
        <v>5</v>
      </c>
      <c r="I364" s="23" t="s">
        <v>1794</v>
      </c>
      <c r="J364" s="23" t="s">
        <v>1796</v>
      </c>
      <c r="K364" s="23" t="s">
        <v>74</v>
      </c>
      <c r="L364" s="23" t="s">
        <v>1795</v>
      </c>
    </row>
    <row r="365" customFormat="false" ht="21.75" hidden="false" customHeight="true" outlineLevel="0" collapsed="false">
      <c r="A365" s="22" t="s">
        <v>8407</v>
      </c>
      <c r="B365" s="23" t="s">
        <v>1675</v>
      </c>
      <c r="C365" s="24" t="s">
        <v>1666</v>
      </c>
      <c r="D365" s="24" t="s">
        <v>1500</v>
      </c>
      <c r="E365" s="24" t="s">
        <v>1667</v>
      </c>
      <c r="F365" s="23" t="s">
        <v>1668</v>
      </c>
      <c r="G365" s="25" t="s">
        <v>90</v>
      </c>
      <c r="H365" s="24" t="n">
        <v>7</v>
      </c>
      <c r="I365" s="23" t="s">
        <v>1676</v>
      </c>
      <c r="J365" s="23" t="s">
        <v>1678</v>
      </c>
      <c r="K365" s="23" t="s">
        <v>74</v>
      </c>
      <c r="L365" s="23" t="s">
        <v>1677</v>
      </c>
    </row>
    <row r="366" customFormat="false" ht="21.75" hidden="false" customHeight="true" outlineLevel="0" collapsed="false">
      <c r="A366" s="22" t="s">
        <v>8410</v>
      </c>
      <c r="B366" s="23" t="s">
        <v>3836</v>
      </c>
      <c r="C366" s="24" t="s">
        <v>3828</v>
      </c>
      <c r="D366" s="24" t="s">
        <v>3291</v>
      </c>
      <c r="E366" s="24" t="s">
        <v>3829</v>
      </c>
      <c r="F366" s="23" t="s">
        <v>3830</v>
      </c>
      <c r="G366" s="25" t="s">
        <v>90</v>
      </c>
      <c r="H366" s="24" t="n">
        <v>8</v>
      </c>
      <c r="I366" s="23" t="s">
        <v>3837</v>
      </c>
      <c r="J366" s="23" t="s">
        <v>3839</v>
      </c>
      <c r="K366" s="23" t="s">
        <v>119</v>
      </c>
      <c r="L366" s="23" t="s">
        <v>3838</v>
      </c>
    </row>
    <row r="367" customFormat="false" ht="21.75" hidden="false" customHeight="true" outlineLevel="0" collapsed="false">
      <c r="A367" s="22" t="s">
        <v>8401</v>
      </c>
      <c r="B367" s="23" t="s">
        <v>2616</v>
      </c>
      <c r="C367" s="24" t="s">
        <v>2608</v>
      </c>
      <c r="D367" s="24" t="s">
        <v>2140</v>
      </c>
      <c r="E367" s="24" t="s">
        <v>2609</v>
      </c>
      <c r="F367" s="23" t="s">
        <v>2610</v>
      </c>
      <c r="G367" s="26" t="s">
        <v>74</v>
      </c>
      <c r="H367" s="24" t="n">
        <v>5</v>
      </c>
      <c r="I367" s="23" t="s">
        <v>2617</v>
      </c>
      <c r="J367" s="23" t="s">
        <v>2619</v>
      </c>
      <c r="K367" s="23" t="s">
        <v>74</v>
      </c>
      <c r="L367" s="23" t="s">
        <v>2618</v>
      </c>
    </row>
    <row r="368" customFormat="false" ht="21.75" hidden="false" customHeight="true" outlineLevel="0" collapsed="false">
      <c r="A368" s="22" t="s">
        <v>8401</v>
      </c>
      <c r="B368" s="23" t="s">
        <v>3978</v>
      </c>
      <c r="C368" s="24" t="s">
        <v>3970</v>
      </c>
      <c r="D368" s="24" t="s">
        <v>3842</v>
      </c>
      <c r="E368" s="24" t="s">
        <v>3971</v>
      </c>
      <c r="F368" s="23" t="s">
        <v>3972</v>
      </c>
      <c r="G368" s="25" t="s">
        <v>90</v>
      </c>
      <c r="H368" s="24" t="n">
        <v>7</v>
      </c>
      <c r="I368" s="23" t="s">
        <v>3979</v>
      </c>
      <c r="J368" s="23" t="s">
        <v>3981</v>
      </c>
      <c r="K368" s="23" t="s">
        <v>74</v>
      </c>
      <c r="L368" s="23" t="s">
        <v>3980</v>
      </c>
    </row>
    <row r="369" customFormat="false" ht="21.75" hidden="false" customHeight="true" outlineLevel="0" collapsed="false">
      <c r="A369" s="22" t="s">
        <v>8401</v>
      </c>
      <c r="B369" s="23" t="s">
        <v>2603</v>
      </c>
      <c r="C369" s="24" t="s">
        <v>2595</v>
      </c>
      <c r="D369" s="24" t="s">
        <v>2140</v>
      </c>
      <c r="E369" s="24" t="s">
        <v>2596</v>
      </c>
      <c r="F369" s="23" t="s">
        <v>2597</v>
      </c>
      <c r="G369" s="26" t="s">
        <v>74</v>
      </c>
      <c r="H369" s="24" t="n">
        <v>5</v>
      </c>
      <c r="I369" s="23" t="s">
        <v>2604</v>
      </c>
      <c r="J369" s="23" t="s">
        <v>2606</v>
      </c>
      <c r="K369" s="23" t="s">
        <v>74</v>
      </c>
      <c r="L369" s="23" t="s">
        <v>2605</v>
      </c>
    </row>
    <row r="370" customFormat="false" ht="21.75" hidden="false" customHeight="true" outlineLevel="0" collapsed="false">
      <c r="A370" s="22" t="s">
        <v>8386</v>
      </c>
      <c r="B370" s="23" t="s">
        <v>2121</v>
      </c>
      <c r="C370" s="24" t="s">
        <v>2112</v>
      </c>
      <c r="D370" s="24" t="s">
        <v>1500</v>
      </c>
      <c r="E370" s="24" t="s">
        <v>2113</v>
      </c>
      <c r="F370" s="23" t="s">
        <v>2114</v>
      </c>
      <c r="G370" s="25" t="s">
        <v>90</v>
      </c>
      <c r="H370" s="24" t="n">
        <v>8</v>
      </c>
      <c r="I370" s="23" t="s">
        <v>2122</v>
      </c>
      <c r="J370" s="23" t="s">
        <v>2124</v>
      </c>
      <c r="K370" s="23" t="s">
        <v>74</v>
      </c>
      <c r="L370" s="23" t="s">
        <v>2123</v>
      </c>
    </row>
    <row r="371" customFormat="false" ht="21.75" hidden="false" customHeight="true" outlineLevel="0" collapsed="false">
      <c r="A371" s="22" t="s">
        <v>8386</v>
      </c>
      <c r="B371" s="23" t="s">
        <v>4958</v>
      </c>
      <c r="C371" s="24" t="s">
        <v>4948</v>
      </c>
      <c r="D371" s="24" t="s">
        <v>4949</v>
      </c>
      <c r="E371" s="24" t="s">
        <v>4950</v>
      </c>
      <c r="F371" s="23" t="s">
        <v>4951</v>
      </c>
      <c r="G371" s="28" t="s">
        <v>73</v>
      </c>
      <c r="H371" s="24" t="n">
        <v>10</v>
      </c>
      <c r="I371" s="23" t="s">
        <v>4959</v>
      </c>
      <c r="J371" s="23" t="s">
        <v>4961</v>
      </c>
      <c r="K371" s="23" t="s">
        <v>74</v>
      </c>
      <c r="L371" s="23" t="s">
        <v>4960</v>
      </c>
    </row>
    <row r="372" customFormat="false" ht="21.75" hidden="false" customHeight="true" outlineLevel="0" collapsed="false">
      <c r="A372" s="22" t="s">
        <v>8386</v>
      </c>
      <c r="B372" s="23" t="s">
        <v>4972</v>
      </c>
      <c r="C372" s="24" t="s">
        <v>4963</v>
      </c>
      <c r="D372" s="24" t="s">
        <v>4949</v>
      </c>
      <c r="E372" s="24" t="s">
        <v>4964</v>
      </c>
      <c r="F372" s="23" t="s">
        <v>4965</v>
      </c>
      <c r="G372" s="25" t="s">
        <v>90</v>
      </c>
      <c r="H372" s="24" t="n">
        <v>7</v>
      </c>
      <c r="I372" s="23" t="s">
        <v>4973</v>
      </c>
      <c r="J372" s="23" t="s">
        <v>4975</v>
      </c>
      <c r="K372" s="23" t="s">
        <v>90</v>
      </c>
      <c r="L372" s="23" t="s">
        <v>4974</v>
      </c>
    </row>
    <row r="373" customFormat="false" ht="21.75" hidden="false" customHeight="true" outlineLevel="0" collapsed="false">
      <c r="A373" s="22" t="s">
        <v>8256</v>
      </c>
      <c r="B373" s="23" t="s">
        <v>3261</v>
      </c>
      <c r="C373" s="24" t="s">
        <v>3254</v>
      </c>
      <c r="D373" s="24" t="s">
        <v>2713</v>
      </c>
      <c r="E373" s="24" t="s">
        <v>3231</v>
      </c>
      <c r="F373" s="23" t="s">
        <v>3255</v>
      </c>
      <c r="G373" s="25" t="s">
        <v>90</v>
      </c>
      <c r="H373" s="24" t="n">
        <v>6</v>
      </c>
      <c r="I373" s="23" t="s">
        <v>3262</v>
      </c>
      <c r="J373" s="23" t="s">
        <v>3264</v>
      </c>
      <c r="K373" s="23" t="s">
        <v>74</v>
      </c>
      <c r="L373" s="23" t="s">
        <v>3263</v>
      </c>
    </row>
    <row r="374" customFormat="false" ht="21.75" hidden="false" customHeight="true" outlineLevel="0" collapsed="false">
      <c r="A374" s="22" t="s">
        <v>8256</v>
      </c>
      <c r="B374" s="23" t="s">
        <v>2643</v>
      </c>
      <c r="C374" s="24" t="s">
        <v>2635</v>
      </c>
      <c r="D374" s="24" t="s">
        <v>2140</v>
      </c>
      <c r="E374" s="24" t="s">
        <v>2622</v>
      </c>
      <c r="F374" s="23" t="s">
        <v>2636</v>
      </c>
      <c r="G374" s="26" t="s">
        <v>74</v>
      </c>
      <c r="H374" s="24" t="n">
        <v>5</v>
      </c>
      <c r="I374" s="23" t="s">
        <v>2644</v>
      </c>
      <c r="J374" s="23" t="s">
        <v>2646</v>
      </c>
      <c r="K374" s="23" t="s">
        <v>74</v>
      </c>
      <c r="L374" s="23" t="s">
        <v>2645</v>
      </c>
    </row>
    <row r="375" customFormat="false" ht="21.75" hidden="false" customHeight="true" outlineLevel="0" collapsed="false">
      <c r="A375" s="22" t="s">
        <v>8256</v>
      </c>
      <c r="B375" s="23" t="s">
        <v>4197</v>
      </c>
      <c r="C375" s="24" t="s">
        <v>4189</v>
      </c>
      <c r="D375" s="24" t="s">
        <v>3842</v>
      </c>
      <c r="E375" s="24" t="s">
        <v>4190</v>
      </c>
      <c r="F375" s="23" t="s">
        <v>4191</v>
      </c>
      <c r="G375" s="25" t="s">
        <v>90</v>
      </c>
      <c r="H375" s="24" t="n">
        <v>7</v>
      </c>
      <c r="I375" s="23" t="s">
        <v>4198</v>
      </c>
      <c r="J375" s="23" t="s">
        <v>4200</v>
      </c>
      <c r="K375" s="23" t="s">
        <v>119</v>
      </c>
      <c r="L375" s="23" t="s">
        <v>4199</v>
      </c>
    </row>
    <row r="376" customFormat="false" ht="21.75" hidden="false" customHeight="true" outlineLevel="0" collapsed="false">
      <c r="A376" s="22" t="s">
        <v>8256</v>
      </c>
      <c r="B376" s="23" t="s">
        <v>3900</v>
      </c>
      <c r="C376" s="24" t="s">
        <v>3892</v>
      </c>
      <c r="D376" s="24" t="s">
        <v>3842</v>
      </c>
      <c r="E376" s="24" t="s">
        <v>3880</v>
      </c>
      <c r="F376" s="23" t="s">
        <v>3893</v>
      </c>
      <c r="G376" s="25" t="s">
        <v>90</v>
      </c>
      <c r="H376" s="24" t="n">
        <v>6</v>
      </c>
      <c r="I376" s="23" t="s">
        <v>3901</v>
      </c>
      <c r="J376" s="23" t="s">
        <v>3903</v>
      </c>
      <c r="K376" s="23" t="s">
        <v>74</v>
      </c>
      <c r="L376" s="23" t="s">
        <v>3902</v>
      </c>
    </row>
    <row r="377" customFormat="false" ht="21.75" hidden="false" customHeight="true" outlineLevel="0" collapsed="false">
      <c r="A377" s="22" t="s">
        <v>8256</v>
      </c>
      <c r="B377" s="23" t="s">
        <v>4107</v>
      </c>
      <c r="C377" s="24" t="s">
        <v>4099</v>
      </c>
      <c r="D377" s="24" t="s">
        <v>3842</v>
      </c>
      <c r="E377" s="24" t="s">
        <v>4100</v>
      </c>
      <c r="F377" s="23" t="s">
        <v>4101</v>
      </c>
      <c r="G377" s="26" t="s">
        <v>74</v>
      </c>
      <c r="H377" s="24" t="n">
        <v>5</v>
      </c>
      <c r="I377" s="23" t="s">
        <v>4108</v>
      </c>
      <c r="J377" s="23" t="s">
        <v>4110</v>
      </c>
      <c r="K377" s="23" t="s">
        <v>74</v>
      </c>
      <c r="L377" s="23" t="s">
        <v>4109</v>
      </c>
    </row>
    <row r="378" customFormat="false" ht="21.75" hidden="false" customHeight="true" outlineLevel="0" collapsed="false">
      <c r="A378" s="22" t="s">
        <v>8256</v>
      </c>
      <c r="B378" s="23" t="s">
        <v>3925</v>
      </c>
      <c r="C378" s="24" t="s">
        <v>3917</v>
      </c>
      <c r="D378" s="24" t="s">
        <v>3842</v>
      </c>
      <c r="E378" s="24" t="s">
        <v>3918</v>
      </c>
      <c r="F378" s="23" t="s">
        <v>3919</v>
      </c>
      <c r="G378" s="26" t="s">
        <v>74</v>
      </c>
      <c r="H378" s="24" t="n">
        <v>4</v>
      </c>
      <c r="I378" s="23" t="s">
        <v>3926</v>
      </c>
      <c r="J378" s="23" t="s">
        <v>3928</v>
      </c>
      <c r="K378" s="23" t="s">
        <v>90</v>
      </c>
      <c r="L378" s="23" t="s">
        <v>3927</v>
      </c>
    </row>
    <row r="379" customFormat="false" ht="21.75" hidden="false" customHeight="true" outlineLevel="0" collapsed="false">
      <c r="A379" s="22" t="s">
        <v>8256</v>
      </c>
      <c r="B379" s="23" t="s">
        <v>3249</v>
      </c>
      <c r="C379" s="24" t="s">
        <v>3242</v>
      </c>
      <c r="D379" s="24" t="s">
        <v>2713</v>
      </c>
      <c r="E379" s="24" t="s">
        <v>3231</v>
      </c>
      <c r="F379" s="23" t="s">
        <v>3243</v>
      </c>
      <c r="G379" s="28" t="s">
        <v>73</v>
      </c>
      <c r="H379" s="24" t="n">
        <v>9</v>
      </c>
      <c r="I379" s="23" t="s">
        <v>3250</v>
      </c>
      <c r="J379" s="23" t="s">
        <v>3252</v>
      </c>
      <c r="K379" s="23" t="s">
        <v>74</v>
      </c>
      <c r="L379" s="23" t="s">
        <v>3251</v>
      </c>
    </row>
    <row r="380" customFormat="false" ht="21.75" hidden="false" customHeight="true" outlineLevel="0" collapsed="false">
      <c r="A380" s="22" t="s">
        <v>8256</v>
      </c>
      <c r="B380" s="23" t="s">
        <v>3249</v>
      </c>
      <c r="C380" s="24" t="s">
        <v>4150</v>
      </c>
      <c r="D380" s="24" t="s">
        <v>3842</v>
      </c>
      <c r="E380" s="24" t="s">
        <v>4151</v>
      </c>
      <c r="F380" s="23" t="s">
        <v>4152</v>
      </c>
      <c r="G380" s="26" t="s">
        <v>74</v>
      </c>
      <c r="H380" s="24" t="n">
        <v>5</v>
      </c>
      <c r="I380" s="23" t="s">
        <v>4158</v>
      </c>
      <c r="J380" s="23" t="s">
        <v>4160</v>
      </c>
      <c r="K380" s="23" t="s">
        <v>74</v>
      </c>
      <c r="L380" s="23" t="s">
        <v>4159</v>
      </c>
    </row>
    <row r="381" customFormat="false" ht="21.75" hidden="false" customHeight="true" outlineLevel="0" collapsed="false">
      <c r="A381" s="22" t="s">
        <v>8256</v>
      </c>
      <c r="B381" s="23" t="s">
        <v>4095</v>
      </c>
      <c r="C381" s="24" t="s">
        <v>4088</v>
      </c>
      <c r="D381" s="24" t="s">
        <v>3842</v>
      </c>
      <c r="E381" s="24" t="s">
        <v>4076</v>
      </c>
      <c r="F381" s="23" t="s">
        <v>4089</v>
      </c>
      <c r="G381" s="25" t="s">
        <v>90</v>
      </c>
      <c r="H381" s="24" t="n">
        <v>7</v>
      </c>
      <c r="I381" s="23" t="s">
        <v>4084</v>
      </c>
      <c r="J381" s="23" t="s">
        <v>4097</v>
      </c>
      <c r="K381" s="23" t="s">
        <v>74</v>
      </c>
      <c r="L381" s="23" t="s">
        <v>4096</v>
      </c>
    </row>
    <row r="382" customFormat="false" ht="21.75" hidden="false" customHeight="true" outlineLevel="0" collapsed="false">
      <c r="A382" s="22" t="s">
        <v>8414</v>
      </c>
      <c r="B382" s="23" t="s">
        <v>3613</v>
      </c>
      <c r="C382" s="24" t="s">
        <v>3605</v>
      </c>
      <c r="D382" s="24" t="s">
        <v>3291</v>
      </c>
      <c r="E382" s="24" t="s">
        <v>3606</v>
      </c>
      <c r="F382" s="23" t="s">
        <v>3607</v>
      </c>
      <c r="G382" s="26" t="s">
        <v>74</v>
      </c>
      <c r="H382" s="24" t="n">
        <v>3</v>
      </c>
      <c r="I382" s="23" t="s">
        <v>3614</v>
      </c>
      <c r="J382" s="23" t="s">
        <v>3616</v>
      </c>
      <c r="K382" s="23" t="s">
        <v>90</v>
      </c>
      <c r="L382" s="23" t="s">
        <v>3615</v>
      </c>
    </row>
    <row r="383" customFormat="false" ht="21.75" hidden="false" customHeight="true" outlineLevel="0" collapsed="false">
      <c r="A383" s="22" t="s">
        <v>8414</v>
      </c>
      <c r="B383" s="23" t="s">
        <v>1441</v>
      </c>
      <c r="C383" s="24" t="s">
        <v>1432</v>
      </c>
      <c r="D383" s="24" t="s">
        <v>837</v>
      </c>
      <c r="E383" s="24" t="s">
        <v>1433</v>
      </c>
      <c r="F383" s="23" t="s">
        <v>1434</v>
      </c>
      <c r="G383" s="27" t="s">
        <v>119</v>
      </c>
      <c r="H383" s="24" t="n">
        <v>2</v>
      </c>
      <c r="I383" s="23" t="s">
        <v>1442</v>
      </c>
      <c r="J383" s="23" t="s">
        <v>1444</v>
      </c>
      <c r="K383" s="23" t="s">
        <v>90</v>
      </c>
      <c r="L383" s="23" t="s">
        <v>1443</v>
      </c>
    </row>
    <row r="384" customFormat="false" ht="21.75" hidden="false" customHeight="true" outlineLevel="0" collapsed="false">
      <c r="A384" s="22" t="s">
        <v>8425</v>
      </c>
      <c r="B384" s="23" t="s">
        <v>3388</v>
      </c>
      <c r="C384" s="24" t="s">
        <v>3380</v>
      </c>
      <c r="D384" s="24" t="s">
        <v>3291</v>
      </c>
      <c r="E384" s="24" t="s">
        <v>3381</v>
      </c>
      <c r="F384" s="23" t="s">
        <v>3382</v>
      </c>
      <c r="G384" s="26" t="s">
        <v>74</v>
      </c>
      <c r="H384" s="24" t="n">
        <v>5</v>
      </c>
      <c r="I384" s="23" t="s">
        <v>3389</v>
      </c>
      <c r="J384" s="23" t="s">
        <v>3391</v>
      </c>
      <c r="K384" s="23" t="s">
        <v>74</v>
      </c>
      <c r="L384" s="23" t="s">
        <v>3390</v>
      </c>
    </row>
    <row r="385" customFormat="false" ht="21.75" hidden="false" customHeight="true" outlineLevel="0" collapsed="false">
      <c r="A385" s="22" t="s">
        <v>8426</v>
      </c>
      <c r="B385" s="23" t="s">
        <v>3769</v>
      </c>
      <c r="C385" s="24" t="s">
        <v>3761</v>
      </c>
      <c r="D385" s="24" t="s">
        <v>3291</v>
      </c>
      <c r="E385" s="24" t="s">
        <v>3762</v>
      </c>
      <c r="F385" s="23" t="s">
        <v>3763</v>
      </c>
      <c r="G385" s="26" t="s">
        <v>74</v>
      </c>
      <c r="H385" s="24" t="n">
        <v>4</v>
      </c>
      <c r="I385" s="23" t="s">
        <v>3770</v>
      </c>
      <c r="J385" s="23" t="s">
        <v>3772</v>
      </c>
      <c r="K385" s="23" t="s">
        <v>90</v>
      </c>
      <c r="L385" s="23" t="s">
        <v>3771</v>
      </c>
    </row>
    <row r="386" customFormat="false" ht="21.75" hidden="false" customHeight="true" outlineLevel="0" collapsed="false">
      <c r="A386" s="22" t="s">
        <v>8395</v>
      </c>
      <c r="B386" s="23" t="s">
        <v>1363</v>
      </c>
      <c r="C386" s="24" t="s">
        <v>1354</v>
      </c>
      <c r="D386" s="24" t="s">
        <v>837</v>
      </c>
      <c r="E386" s="24" t="s">
        <v>1355</v>
      </c>
      <c r="F386" s="23" t="s">
        <v>1356</v>
      </c>
      <c r="G386" s="28" t="s">
        <v>73</v>
      </c>
      <c r="H386" s="24" t="n">
        <v>9</v>
      </c>
      <c r="I386" s="23" t="s">
        <v>1364</v>
      </c>
      <c r="J386" s="23" t="s">
        <v>1366</v>
      </c>
      <c r="K386" s="23" t="s">
        <v>74</v>
      </c>
      <c r="L386" s="23" t="s">
        <v>1365</v>
      </c>
    </row>
    <row r="387" customFormat="false" ht="21.75" hidden="false" customHeight="true" outlineLevel="0" collapsed="false">
      <c r="A387" s="22" t="s">
        <v>8415</v>
      </c>
      <c r="B387" s="23" t="s">
        <v>4500</v>
      </c>
      <c r="C387" s="24" t="s">
        <v>4491</v>
      </c>
      <c r="D387" s="24" t="s">
        <v>4203</v>
      </c>
      <c r="E387" s="24" t="s">
        <v>4492</v>
      </c>
      <c r="F387" s="23" t="s">
        <v>4493</v>
      </c>
      <c r="G387" s="26" t="s">
        <v>74</v>
      </c>
      <c r="H387" s="24" t="n">
        <v>3</v>
      </c>
      <c r="I387" s="23" t="s">
        <v>4501</v>
      </c>
      <c r="J387" s="23" t="s">
        <v>4503</v>
      </c>
      <c r="K387" s="23" t="s">
        <v>90</v>
      </c>
      <c r="L387" s="23" t="s">
        <v>4502</v>
      </c>
    </row>
    <row r="388" customFormat="false" ht="21.75" hidden="false" customHeight="true" outlineLevel="0" collapsed="false">
      <c r="A388" s="22" t="s">
        <v>8415</v>
      </c>
      <c r="B388" s="23" t="s">
        <v>3717</v>
      </c>
      <c r="C388" s="24" t="s">
        <v>3709</v>
      </c>
      <c r="D388" s="24" t="s">
        <v>3291</v>
      </c>
      <c r="E388" s="24" t="s">
        <v>3710</v>
      </c>
      <c r="F388" s="23" t="s">
        <v>3711</v>
      </c>
      <c r="G388" s="27" t="s">
        <v>119</v>
      </c>
      <c r="H388" s="24" t="n">
        <v>2</v>
      </c>
      <c r="I388" s="23" t="s">
        <v>3718</v>
      </c>
      <c r="J388" s="23" t="s">
        <v>3720</v>
      </c>
      <c r="K388" s="23" t="s">
        <v>90</v>
      </c>
      <c r="L388" s="23" t="s">
        <v>3719</v>
      </c>
    </row>
    <row r="389" customFormat="false" ht="21.75" hidden="false" customHeight="true" outlineLevel="0" collapsed="false">
      <c r="A389" s="22" t="s">
        <v>8383</v>
      </c>
      <c r="B389" s="23" t="s">
        <v>5242</v>
      </c>
      <c r="C389" s="24" t="s">
        <v>5233</v>
      </c>
      <c r="D389" s="24" t="s">
        <v>4949</v>
      </c>
      <c r="E389" s="24" t="s">
        <v>5234</v>
      </c>
      <c r="F389" s="23" t="s">
        <v>5235</v>
      </c>
      <c r="G389" s="25" t="s">
        <v>90</v>
      </c>
      <c r="H389" s="24" t="n">
        <v>6</v>
      </c>
      <c r="I389" s="23" t="s">
        <v>5243</v>
      </c>
      <c r="J389" s="23" t="s">
        <v>5245</v>
      </c>
      <c r="K389" s="23" t="s">
        <v>74</v>
      </c>
      <c r="L389" s="23" t="s">
        <v>5244</v>
      </c>
    </row>
    <row r="390" customFormat="false" ht="21.75" hidden="false" customHeight="true" outlineLevel="0" collapsed="false">
      <c r="A390" s="22" t="s">
        <v>8383</v>
      </c>
      <c r="B390" s="23" t="s">
        <v>5269</v>
      </c>
      <c r="C390" s="24" t="s">
        <v>5260</v>
      </c>
      <c r="D390" s="24" t="s">
        <v>4949</v>
      </c>
      <c r="E390" s="24" t="s">
        <v>5261</v>
      </c>
      <c r="F390" s="23" t="s">
        <v>5262</v>
      </c>
      <c r="G390" s="26" t="s">
        <v>74</v>
      </c>
      <c r="H390" s="24" t="n">
        <v>5</v>
      </c>
      <c r="I390" s="23" t="s">
        <v>5270</v>
      </c>
      <c r="J390" s="23" t="s">
        <v>5272</v>
      </c>
      <c r="K390" s="23" t="s">
        <v>74</v>
      </c>
      <c r="L390" s="23" t="s">
        <v>5271</v>
      </c>
    </row>
    <row r="391" customFormat="false" ht="21.75" hidden="false" customHeight="true" outlineLevel="0" collapsed="false">
      <c r="A391" s="22" t="s">
        <v>8383</v>
      </c>
      <c r="B391" s="23" t="s">
        <v>3756</v>
      </c>
      <c r="C391" s="24" t="s">
        <v>3748</v>
      </c>
      <c r="D391" s="24" t="s">
        <v>3291</v>
      </c>
      <c r="E391" s="24" t="s">
        <v>3749</v>
      </c>
      <c r="F391" s="23" t="s">
        <v>3750</v>
      </c>
      <c r="G391" s="27" t="s">
        <v>119</v>
      </c>
      <c r="H391" s="24" t="n">
        <v>2</v>
      </c>
      <c r="I391" s="23" t="s">
        <v>3757</v>
      </c>
      <c r="J391" s="23" t="s">
        <v>3759</v>
      </c>
      <c r="K391" s="23" t="s">
        <v>90</v>
      </c>
      <c r="L391" s="23" t="s">
        <v>3758</v>
      </c>
    </row>
    <row r="392" customFormat="false" ht="21.75" hidden="false" customHeight="true" outlineLevel="0" collapsed="false">
      <c r="A392" s="22" t="s">
        <v>8383</v>
      </c>
      <c r="B392" s="23" t="s">
        <v>5255</v>
      </c>
      <c r="C392" s="24" t="s">
        <v>5247</v>
      </c>
      <c r="D392" s="24" t="s">
        <v>4949</v>
      </c>
      <c r="E392" s="24" t="s">
        <v>5248</v>
      </c>
      <c r="F392" s="23" t="s">
        <v>5249</v>
      </c>
      <c r="G392" s="25" t="s">
        <v>90</v>
      </c>
      <c r="H392" s="24" t="n">
        <v>7</v>
      </c>
      <c r="I392" s="23" t="s">
        <v>5256</v>
      </c>
      <c r="J392" s="23" t="s">
        <v>5258</v>
      </c>
      <c r="K392" s="23" t="s">
        <v>119</v>
      </c>
      <c r="L392" s="23" t="s">
        <v>5257</v>
      </c>
    </row>
    <row r="393" customFormat="false" ht="21.75" hidden="false" customHeight="true" outlineLevel="0" collapsed="false">
      <c r="A393" s="22" t="s">
        <v>8383</v>
      </c>
      <c r="B393" s="23" t="s">
        <v>5296</v>
      </c>
      <c r="C393" s="24" t="s">
        <v>5288</v>
      </c>
      <c r="D393" s="24" t="s">
        <v>4949</v>
      </c>
      <c r="E393" s="24" t="s">
        <v>5289</v>
      </c>
      <c r="F393" s="23" t="s">
        <v>5290</v>
      </c>
      <c r="G393" s="26" t="s">
        <v>74</v>
      </c>
      <c r="H393" s="24" t="n">
        <v>5</v>
      </c>
      <c r="I393" s="23" t="s">
        <v>5297</v>
      </c>
      <c r="J393" s="23" t="s">
        <v>5299</v>
      </c>
      <c r="K393" s="23" t="s">
        <v>74</v>
      </c>
      <c r="L393" s="23" t="s">
        <v>5298</v>
      </c>
    </row>
    <row r="394" customFormat="false" ht="21.75" hidden="false" customHeight="true" outlineLevel="0" collapsed="false">
      <c r="A394" s="22" t="s">
        <v>8383</v>
      </c>
      <c r="B394" s="23" t="s">
        <v>3796</v>
      </c>
      <c r="C394" s="24" t="s">
        <v>3787</v>
      </c>
      <c r="D394" s="24" t="s">
        <v>3291</v>
      </c>
      <c r="E394" s="24" t="s">
        <v>3788</v>
      </c>
      <c r="F394" s="23" t="s">
        <v>3789</v>
      </c>
      <c r="G394" s="28" t="s">
        <v>73</v>
      </c>
      <c r="H394" s="24" t="n">
        <v>9</v>
      </c>
      <c r="I394" s="23" t="s">
        <v>3797</v>
      </c>
      <c r="J394" s="23" t="s">
        <v>3799</v>
      </c>
      <c r="K394" s="23" t="s">
        <v>74</v>
      </c>
      <c r="L394" s="23" t="s">
        <v>3798</v>
      </c>
    </row>
    <row r="395" customFormat="false" ht="21.75" hidden="false" customHeight="true" outlineLevel="0" collapsed="false">
      <c r="A395" s="22" t="s">
        <v>8391</v>
      </c>
      <c r="B395" s="23" t="s">
        <v>4044</v>
      </c>
      <c r="C395" s="24" t="s">
        <v>4036</v>
      </c>
      <c r="D395" s="24" t="s">
        <v>3842</v>
      </c>
      <c r="E395" s="24" t="s">
        <v>4037</v>
      </c>
      <c r="F395" s="23" t="s">
        <v>4038</v>
      </c>
      <c r="G395" s="27" t="s">
        <v>119</v>
      </c>
      <c r="H395" s="24" t="n">
        <v>2</v>
      </c>
      <c r="I395" s="23" t="s">
        <v>4045</v>
      </c>
      <c r="J395" s="23" t="s">
        <v>4047</v>
      </c>
      <c r="K395" s="23" t="s">
        <v>90</v>
      </c>
      <c r="L395" s="23" t="s">
        <v>4046</v>
      </c>
    </row>
    <row r="396" customFormat="false" ht="21.75" hidden="false" customHeight="true" outlineLevel="0" collapsed="false">
      <c r="A396" s="22" t="s">
        <v>8391</v>
      </c>
      <c r="B396" s="23" t="s">
        <v>4070</v>
      </c>
      <c r="C396" s="24" t="s">
        <v>4062</v>
      </c>
      <c r="D396" s="24" t="s">
        <v>3842</v>
      </c>
      <c r="E396" s="24" t="s">
        <v>4050</v>
      </c>
      <c r="F396" s="23" t="s">
        <v>4063</v>
      </c>
      <c r="G396" s="27" t="s">
        <v>119</v>
      </c>
      <c r="H396" s="24" t="n">
        <v>2</v>
      </c>
      <c r="I396" s="23" t="s">
        <v>4071</v>
      </c>
      <c r="J396" s="23" t="s">
        <v>4073</v>
      </c>
      <c r="K396" s="23" t="s">
        <v>90</v>
      </c>
      <c r="L396" s="23" t="s">
        <v>4072</v>
      </c>
    </row>
    <row r="397" customFormat="false" ht="21.75" hidden="false" customHeight="true" outlineLevel="0" collapsed="false">
      <c r="A397" s="22" t="s">
        <v>8391</v>
      </c>
      <c r="B397" s="23" t="s">
        <v>3965</v>
      </c>
      <c r="C397" s="24" t="s">
        <v>3956</v>
      </c>
      <c r="D397" s="24" t="s">
        <v>3842</v>
      </c>
      <c r="E397" s="24" t="s">
        <v>3957</v>
      </c>
      <c r="F397" s="23" t="s">
        <v>3958</v>
      </c>
      <c r="G397" s="25" t="s">
        <v>90</v>
      </c>
      <c r="H397" s="24" t="n">
        <v>7</v>
      </c>
      <c r="I397" s="23" t="s">
        <v>3966</v>
      </c>
      <c r="J397" s="23" t="s">
        <v>3968</v>
      </c>
      <c r="K397" s="23" t="s">
        <v>74</v>
      </c>
      <c r="L397" s="23" t="s">
        <v>3967</v>
      </c>
    </row>
    <row r="398" customFormat="false" ht="21.75" hidden="false" customHeight="true" outlineLevel="0" collapsed="false">
      <c r="A398" s="22" t="s">
        <v>8391</v>
      </c>
      <c r="B398" s="23" t="s">
        <v>4265</v>
      </c>
      <c r="C398" s="24" t="s">
        <v>4256</v>
      </c>
      <c r="D398" s="24" t="s">
        <v>4203</v>
      </c>
      <c r="E398" s="24" t="s">
        <v>4257</v>
      </c>
      <c r="F398" s="23" t="s">
        <v>4258</v>
      </c>
      <c r="G398" s="26" t="s">
        <v>74</v>
      </c>
      <c r="H398" s="24" t="n">
        <v>5</v>
      </c>
      <c r="I398" s="23" t="s">
        <v>4266</v>
      </c>
      <c r="J398" s="23" t="s">
        <v>4268</v>
      </c>
      <c r="K398" s="23" t="s">
        <v>90</v>
      </c>
      <c r="L398" s="23" t="s">
        <v>4267</v>
      </c>
    </row>
    <row r="399" customFormat="false" ht="21.75" hidden="false" customHeight="true" outlineLevel="0" collapsed="false">
      <c r="A399" s="22" t="s">
        <v>8391</v>
      </c>
      <c r="B399" s="23" t="s">
        <v>4278</v>
      </c>
      <c r="C399" s="24" t="s">
        <v>4270</v>
      </c>
      <c r="D399" s="24" t="s">
        <v>4203</v>
      </c>
      <c r="E399" s="24" t="s">
        <v>4271</v>
      </c>
      <c r="F399" s="23" t="s">
        <v>4272</v>
      </c>
      <c r="G399" s="25" t="s">
        <v>90</v>
      </c>
      <c r="H399" s="24" t="n">
        <v>7</v>
      </c>
      <c r="I399" s="23" t="s">
        <v>146</v>
      </c>
      <c r="J399" s="23" t="s">
        <v>4280</v>
      </c>
      <c r="K399" s="23" t="s">
        <v>74</v>
      </c>
      <c r="L399" s="23" t="s">
        <v>4279</v>
      </c>
    </row>
    <row r="400" customFormat="false" ht="21.75" hidden="false" customHeight="true" outlineLevel="0" collapsed="false">
      <c r="A400" s="22" t="s">
        <v>8427</v>
      </c>
      <c r="B400" s="23" t="s">
        <v>3743</v>
      </c>
      <c r="C400" s="24" t="s">
        <v>3735</v>
      </c>
      <c r="D400" s="24" t="s">
        <v>3291</v>
      </c>
      <c r="E400" s="24" t="s">
        <v>3736</v>
      </c>
      <c r="F400" s="23" t="s">
        <v>3737</v>
      </c>
      <c r="G400" s="27" t="s">
        <v>119</v>
      </c>
      <c r="H400" s="24" t="n">
        <v>2</v>
      </c>
      <c r="I400" s="23" t="s">
        <v>3744</v>
      </c>
      <c r="J400" s="23" t="s">
        <v>3746</v>
      </c>
      <c r="K400" s="23" t="s">
        <v>90</v>
      </c>
      <c r="L400" s="23" t="s">
        <v>3745</v>
      </c>
    </row>
    <row r="401" customFormat="false" ht="21.75" hidden="false" customHeight="true" outlineLevel="0" collapsed="false">
      <c r="A401" s="22" t="s">
        <v>8428</v>
      </c>
      <c r="B401" s="23" t="s">
        <v>2669</v>
      </c>
      <c r="C401" s="24" t="s">
        <v>2661</v>
      </c>
      <c r="D401" s="24" t="s">
        <v>2140</v>
      </c>
      <c r="E401" s="24" t="s">
        <v>2662</v>
      </c>
      <c r="F401" s="23" t="s">
        <v>2663</v>
      </c>
      <c r="G401" s="26" t="s">
        <v>74</v>
      </c>
      <c r="H401" s="24" t="n">
        <v>5</v>
      </c>
      <c r="I401" s="23" t="s">
        <v>2670</v>
      </c>
      <c r="J401" s="23" t="s">
        <v>2672</v>
      </c>
      <c r="K401" s="23" t="s">
        <v>90</v>
      </c>
      <c r="L401" s="23" t="s">
        <v>2671</v>
      </c>
    </row>
    <row r="402" customFormat="false" ht="21.75" hidden="false" customHeight="true" outlineLevel="0" collapsed="false">
      <c r="A402" s="22" t="s">
        <v>8429</v>
      </c>
      <c r="B402" s="23" t="s">
        <v>3782</v>
      </c>
      <c r="C402" s="24" t="s">
        <v>3774</v>
      </c>
      <c r="D402" s="24" t="s">
        <v>3291</v>
      </c>
      <c r="E402" s="24" t="s">
        <v>3775</v>
      </c>
      <c r="F402" s="23" t="s">
        <v>3776</v>
      </c>
      <c r="G402" s="26" t="s">
        <v>74</v>
      </c>
      <c r="H402" s="24" t="n">
        <v>5</v>
      </c>
      <c r="I402" s="23" t="s">
        <v>3783</v>
      </c>
      <c r="J402" s="23" t="s">
        <v>3785</v>
      </c>
      <c r="K402" s="23" t="s">
        <v>74</v>
      </c>
      <c r="L402" s="23" t="s">
        <v>3784</v>
      </c>
    </row>
    <row r="403" customFormat="false" ht="21.75" hidden="false" customHeight="true" outlineLevel="0" collapsed="false">
      <c r="A403" s="22" t="s">
        <v>8396</v>
      </c>
      <c r="B403" s="23" t="s">
        <v>3455</v>
      </c>
      <c r="C403" s="24" t="s">
        <v>3446</v>
      </c>
      <c r="D403" s="24" t="s">
        <v>3291</v>
      </c>
      <c r="E403" s="24" t="s">
        <v>3447</v>
      </c>
      <c r="F403" s="23" t="s">
        <v>3448</v>
      </c>
      <c r="G403" s="28" t="s">
        <v>73</v>
      </c>
      <c r="H403" s="24" t="n">
        <v>9</v>
      </c>
      <c r="I403" s="23" t="s">
        <v>3456</v>
      </c>
      <c r="J403" s="23" t="s">
        <v>3458</v>
      </c>
      <c r="K403" s="23" t="s">
        <v>119</v>
      </c>
      <c r="L403" s="23" t="s">
        <v>3457</v>
      </c>
    </row>
    <row r="404" customFormat="false" ht="21.75" hidden="false" customHeight="true" outlineLevel="0" collapsed="false">
      <c r="A404" s="22" t="s">
        <v>8397</v>
      </c>
      <c r="B404" s="23" t="s">
        <v>4005</v>
      </c>
      <c r="C404" s="24" t="s">
        <v>3997</v>
      </c>
      <c r="D404" s="24" t="s">
        <v>3842</v>
      </c>
      <c r="E404" s="24" t="s">
        <v>3998</v>
      </c>
      <c r="F404" s="23" t="s">
        <v>3999</v>
      </c>
      <c r="G404" s="28" t="s">
        <v>73</v>
      </c>
      <c r="H404" s="24" t="n">
        <v>10</v>
      </c>
      <c r="I404" s="23" t="s">
        <v>4006</v>
      </c>
      <c r="J404" s="23" t="s">
        <v>4008</v>
      </c>
      <c r="K404" s="23" t="s">
        <v>119</v>
      </c>
      <c r="L404" s="23" t="s">
        <v>4007</v>
      </c>
    </row>
    <row r="405" customFormat="false" ht="21.75" hidden="false" customHeight="true" outlineLevel="0" collapsed="false">
      <c r="A405" s="22" t="s">
        <v>8402</v>
      </c>
      <c r="B405" s="23" t="s">
        <v>4448</v>
      </c>
      <c r="C405" s="24" t="s">
        <v>4441</v>
      </c>
      <c r="D405" s="24" t="s">
        <v>4203</v>
      </c>
      <c r="E405" s="24" t="s">
        <v>4429</v>
      </c>
      <c r="F405" s="23" t="s">
        <v>4442</v>
      </c>
      <c r="G405" s="27" t="s">
        <v>119</v>
      </c>
      <c r="H405" s="24" t="n">
        <v>2</v>
      </c>
      <c r="I405" s="23" t="s">
        <v>4449</v>
      </c>
      <c r="J405" s="23" t="s">
        <v>4451</v>
      </c>
      <c r="K405" s="23" t="s">
        <v>90</v>
      </c>
      <c r="L405" s="23" t="s">
        <v>4450</v>
      </c>
    </row>
    <row r="406" customFormat="false" ht="21.75" hidden="false" customHeight="true" outlineLevel="0" collapsed="false">
      <c r="A406" s="22" t="s">
        <v>8402</v>
      </c>
      <c r="B406" s="23" t="s">
        <v>4436</v>
      </c>
      <c r="C406" s="24" t="s">
        <v>4428</v>
      </c>
      <c r="D406" s="24" t="s">
        <v>4203</v>
      </c>
      <c r="E406" s="24" t="s">
        <v>4429</v>
      </c>
      <c r="F406" s="23" t="s">
        <v>4430</v>
      </c>
      <c r="G406" s="26" t="s">
        <v>74</v>
      </c>
      <c r="H406" s="24" t="n">
        <v>5</v>
      </c>
      <c r="I406" s="23" t="s">
        <v>4437</v>
      </c>
      <c r="J406" s="23" t="s">
        <v>4439</v>
      </c>
      <c r="K406" s="23" t="s">
        <v>74</v>
      </c>
      <c r="L406" s="23" t="s">
        <v>4438</v>
      </c>
    </row>
    <row r="407" customFormat="false" ht="21.75" hidden="false" customHeight="true" outlineLevel="0" collapsed="false">
      <c r="A407" s="22" t="s">
        <v>8402</v>
      </c>
      <c r="B407" s="23" t="s">
        <v>3691</v>
      </c>
      <c r="C407" s="24" t="s">
        <v>3683</v>
      </c>
      <c r="D407" s="24" t="s">
        <v>3291</v>
      </c>
      <c r="E407" s="24" t="s">
        <v>3684</v>
      </c>
      <c r="F407" s="23" t="s">
        <v>3685</v>
      </c>
      <c r="G407" s="25" t="s">
        <v>90</v>
      </c>
      <c r="H407" s="24" t="n">
        <v>6</v>
      </c>
      <c r="I407" s="23" t="s">
        <v>3692</v>
      </c>
      <c r="J407" s="23" t="s">
        <v>3694</v>
      </c>
      <c r="K407" s="23" t="s">
        <v>74</v>
      </c>
      <c r="L407" s="23" t="s">
        <v>3693</v>
      </c>
    </row>
    <row r="408" customFormat="false" ht="21.75" hidden="false" customHeight="true" outlineLevel="0" collapsed="false">
      <c r="A408" s="22" t="s">
        <v>8411</v>
      </c>
      <c r="B408" s="23" t="s">
        <v>4525</v>
      </c>
      <c r="C408" s="24" t="s">
        <v>4517</v>
      </c>
      <c r="D408" s="24" t="s">
        <v>4203</v>
      </c>
      <c r="E408" s="24" t="s">
        <v>4506</v>
      </c>
      <c r="F408" s="23" t="s">
        <v>4518</v>
      </c>
      <c r="G408" s="27" t="s">
        <v>119</v>
      </c>
      <c r="H408" s="24" t="n">
        <v>1</v>
      </c>
      <c r="I408" s="23" t="s">
        <v>4526</v>
      </c>
      <c r="J408" s="23" t="s">
        <v>4528</v>
      </c>
      <c r="K408" s="23" t="s">
        <v>90</v>
      </c>
      <c r="L408" s="23" t="s">
        <v>4527</v>
      </c>
    </row>
    <row r="409" customFormat="false" ht="21.75" hidden="false" customHeight="true" outlineLevel="0" collapsed="false">
      <c r="A409" s="22" t="s">
        <v>8411</v>
      </c>
      <c r="B409" s="23" t="s">
        <v>3704</v>
      </c>
      <c r="C409" s="24" t="s">
        <v>4505</v>
      </c>
      <c r="D409" s="24" t="s">
        <v>4203</v>
      </c>
      <c r="E409" s="24" t="s">
        <v>4506</v>
      </c>
      <c r="F409" s="23" t="s">
        <v>4507</v>
      </c>
      <c r="G409" s="26" t="s">
        <v>74</v>
      </c>
      <c r="H409" s="24" t="n">
        <v>5</v>
      </c>
      <c r="I409" s="23" t="s">
        <v>4513</v>
      </c>
      <c r="J409" s="23" t="s">
        <v>4515</v>
      </c>
      <c r="K409" s="23" t="s">
        <v>74</v>
      </c>
      <c r="L409" s="23" t="s">
        <v>4514</v>
      </c>
    </row>
    <row r="410" customFormat="false" ht="21.75" hidden="false" customHeight="true" outlineLevel="0" collapsed="false">
      <c r="A410" s="22" t="s">
        <v>8411</v>
      </c>
      <c r="B410" s="23" t="s">
        <v>3704</v>
      </c>
      <c r="C410" s="24" t="s">
        <v>4529</v>
      </c>
      <c r="D410" s="24" t="s">
        <v>4203</v>
      </c>
      <c r="E410" s="24" t="s">
        <v>4506</v>
      </c>
      <c r="F410" s="23" t="s">
        <v>4530</v>
      </c>
      <c r="G410" s="27" t="s">
        <v>119</v>
      </c>
      <c r="H410" s="24" t="n">
        <v>2</v>
      </c>
      <c r="I410" s="23" t="s">
        <v>4537</v>
      </c>
      <c r="J410" s="23" t="s">
        <v>4539</v>
      </c>
      <c r="K410" s="23" t="s">
        <v>90</v>
      </c>
      <c r="L410" s="23" t="s">
        <v>4538</v>
      </c>
    </row>
    <row r="411" customFormat="false" ht="21.75" hidden="false" customHeight="true" outlineLevel="0" collapsed="false">
      <c r="A411" s="22" t="s">
        <v>8411</v>
      </c>
      <c r="B411" s="23" t="s">
        <v>3704</v>
      </c>
      <c r="C411" s="24" t="s">
        <v>3696</v>
      </c>
      <c r="D411" s="24" t="s">
        <v>3291</v>
      </c>
      <c r="E411" s="24" t="s">
        <v>3697</v>
      </c>
      <c r="F411" s="23" t="s">
        <v>3698</v>
      </c>
      <c r="G411" s="26" t="s">
        <v>74</v>
      </c>
      <c r="H411" s="24" t="n">
        <v>4</v>
      </c>
      <c r="I411" s="23" t="s">
        <v>3705</v>
      </c>
      <c r="J411" s="23" t="s">
        <v>3707</v>
      </c>
      <c r="K411" s="23" t="s">
        <v>90</v>
      </c>
      <c r="L411" s="23" t="s">
        <v>3706</v>
      </c>
    </row>
  </sheetData>
  <autoFilter ref="A4:L411"/>
  <mergeCells count="4">
    <mergeCell ref="A1:L1"/>
    <mergeCell ref="N1:U1"/>
    <mergeCell ref="A2:L2"/>
    <mergeCell ref="N2:U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15"/>
    <col collapsed="false" customWidth="true" hidden="false" outlineLevel="0" max="4" min="4" style="0" width="42"/>
    <col collapsed="false" customWidth="true" hidden="false" outlineLevel="0" max="5" min="5" style="0" width="40"/>
    <col collapsed="false" customWidth="true" hidden="false" outlineLevel="0" max="6" min="6" style="0" width="24"/>
    <col collapsed="false" customWidth="true" hidden="false" outlineLevel="0" max="7" min="7" style="0" width="11"/>
    <col collapsed="false" customWidth="true" hidden="false" outlineLevel="0" max="8" min="8" style="0" width="12"/>
    <col collapsed="false" customWidth="true" hidden="false" outlineLevel="0" max="9" min="9" style="0" width="16"/>
    <col collapsed="false" customWidth="true" hidden="false" outlineLevel="0" max="10" min="10" style="0" width="46"/>
    <col collapsed="false" customWidth="true" hidden="false" outlineLevel="0" max="11" min="11" style="0" width="12"/>
    <col collapsed="false" customWidth="true" hidden="false" outlineLevel="0" max="12" min="12" style="0" width="46"/>
  </cols>
  <sheetData>
    <row r="1" customFormat="false" ht="17.35" hidden="false" customHeight="false" outlineLevel="0" collapsed="false">
      <c r="A1" s="29" t="s">
        <v>8430</v>
      </c>
      <c r="B1" s="29"/>
      <c r="C1" s="29"/>
      <c r="D1" s="29"/>
      <c r="E1" s="29"/>
      <c r="F1" s="29"/>
      <c r="G1" s="29"/>
      <c r="H1" s="29"/>
      <c r="I1" s="29"/>
      <c r="J1" s="29"/>
      <c r="K1" s="29"/>
      <c r="L1" s="29"/>
    </row>
    <row r="2" customFormat="false" ht="60" hidden="false" customHeight="true" outlineLevel="0" collapsed="false">
      <c r="A2" s="18" t="s">
        <v>8431</v>
      </c>
      <c r="B2" s="18"/>
      <c r="C2" s="18"/>
      <c r="D2" s="18"/>
      <c r="E2" s="18"/>
      <c r="F2" s="18"/>
      <c r="G2" s="18"/>
      <c r="H2" s="18"/>
      <c r="I2" s="18"/>
      <c r="J2" s="18"/>
      <c r="K2" s="18"/>
      <c r="L2" s="18"/>
    </row>
    <row r="4" customFormat="false" ht="24" hidden="false" customHeight="true" outlineLevel="0" collapsed="false">
      <c r="A4" s="21" t="s">
        <v>8432</v>
      </c>
      <c r="B4" s="21" t="s">
        <v>8433</v>
      </c>
      <c r="C4" s="21" t="s">
        <v>8357</v>
      </c>
      <c r="D4" s="21" t="s">
        <v>8434</v>
      </c>
      <c r="E4" s="21" t="s">
        <v>8435</v>
      </c>
      <c r="F4" s="21" t="s">
        <v>8436</v>
      </c>
      <c r="G4" s="21" t="s">
        <v>8437</v>
      </c>
      <c r="H4" s="21" t="s">
        <v>41</v>
      </c>
      <c r="I4" s="21" t="s">
        <v>8438</v>
      </c>
      <c r="J4" s="21" t="s">
        <v>8439</v>
      </c>
      <c r="K4" s="21" t="s">
        <v>8440</v>
      </c>
      <c r="L4" s="21" t="s">
        <v>8441</v>
      </c>
    </row>
    <row r="5" customFormat="false" ht="43.25" hidden="false" customHeight="false" outlineLevel="0" collapsed="false">
      <c r="A5" s="22" t="s">
        <v>8442</v>
      </c>
      <c r="B5" s="24" t="s">
        <v>8443</v>
      </c>
      <c r="C5" s="24" t="s">
        <v>8373</v>
      </c>
      <c r="D5" s="23" t="s">
        <v>8444</v>
      </c>
      <c r="E5" s="23" t="s">
        <v>8445</v>
      </c>
      <c r="F5" s="28" t="s">
        <v>8446</v>
      </c>
      <c r="G5" s="24" t="s">
        <v>74</v>
      </c>
      <c r="H5" s="24" t="s">
        <v>8447</v>
      </c>
      <c r="I5" s="24" t="s">
        <v>8448</v>
      </c>
      <c r="J5" s="23" t="s">
        <v>8449</v>
      </c>
      <c r="K5" s="30" t="s">
        <v>2225</v>
      </c>
      <c r="L5" s="23" t="s">
        <v>8450</v>
      </c>
    </row>
    <row r="6" customFormat="false" ht="32.8" hidden="false" customHeight="false" outlineLevel="0" collapsed="false">
      <c r="A6" s="22" t="s">
        <v>8442</v>
      </c>
      <c r="B6" s="24" t="s">
        <v>8443</v>
      </c>
      <c r="C6" s="24" t="s">
        <v>8373</v>
      </c>
      <c r="D6" s="23" t="s">
        <v>8451</v>
      </c>
      <c r="E6" s="23" t="s">
        <v>8452</v>
      </c>
      <c r="F6" s="28" t="s">
        <v>8446</v>
      </c>
      <c r="G6" s="24" t="s">
        <v>90</v>
      </c>
      <c r="H6" s="24" t="s">
        <v>8447</v>
      </c>
      <c r="I6" s="24" t="s">
        <v>8453</v>
      </c>
      <c r="J6" s="23" t="s">
        <v>8449</v>
      </c>
      <c r="K6" s="30" t="s">
        <v>2225</v>
      </c>
      <c r="L6" s="23" t="s">
        <v>8454</v>
      </c>
    </row>
    <row r="7" customFormat="false" ht="43.25" hidden="false" customHeight="false" outlineLevel="0" collapsed="false">
      <c r="A7" s="22" t="s">
        <v>8442</v>
      </c>
      <c r="B7" s="24" t="s">
        <v>8443</v>
      </c>
      <c r="C7" s="24" t="s">
        <v>8373</v>
      </c>
      <c r="D7" s="23" t="s">
        <v>8455</v>
      </c>
      <c r="E7" s="23" t="s">
        <v>8456</v>
      </c>
      <c r="F7" s="25" t="s">
        <v>8457</v>
      </c>
      <c r="G7" s="24" t="s">
        <v>119</v>
      </c>
      <c r="H7" s="24" t="s">
        <v>8458</v>
      </c>
      <c r="I7" s="24" t="s">
        <v>8459</v>
      </c>
      <c r="J7" s="23" t="s">
        <v>8449</v>
      </c>
      <c r="K7" s="30" t="s">
        <v>2225</v>
      </c>
      <c r="L7" s="23" t="s">
        <v>8460</v>
      </c>
    </row>
    <row r="8" customFormat="false" ht="43.25" hidden="false" customHeight="false" outlineLevel="0" collapsed="false">
      <c r="A8" s="22" t="s">
        <v>8442</v>
      </c>
      <c r="B8" s="24" t="s">
        <v>8443</v>
      </c>
      <c r="C8" s="24" t="s">
        <v>8375</v>
      </c>
      <c r="D8" s="23" t="s">
        <v>8461</v>
      </c>
      <c r="E8" s="23" t="s">
        <v>8462</v>
      </c>
      <c r="F8" s="26" t="s">
        <v>8463</v>
      </c>
      <c r="G8" s="24" t="s">
        <v>74</v>
      </c>
      <c r="H8" s="24" t="s">
        <v>8447</v>
      </c>
      <c r="I8" s="24" t="s">
        <v>8464</v>
      </c>
      <c r="J8" s="23" t="s">
        <v>8449</v>
      </c>
      <c r="K8" s="30" t="s">
        <v>2225</v>
      </c>
      <c r="L8" s="23" t="s">
        <v>8465</v>
      </c>
    </row>
    <row r="9" customFormat="false" ht="43.25" hidden="false" customHeight="false" outlineLevel="0" collapsed="false">
      <c r="A9" s="22" t="s">
        <v>8442</v>
      </c>
      <c r="B9" s="24" t="s">
        <v>8443</v>
      </c>
      <c r="C9" s="24" t="s">
        <v>8466</v>
      </c>
      <c r="D9" s="23" t="s">
        <v>8467</v>
      </c>
      <c r="E9" s="23" t="s">
        <v>8468</v>
      </c>
      <c r="F9" s="27" t="s">
        <v>8469</v>
      </c>
      <c r="G9" s="24" t="s">
        <v>90</v>
      </c>
      <c r="H9" s="24" t="s">
        <v>8458</v>
      </c>
      <c r="I9" s="24" t="s">
        <v>8470</v>
      </c>
      <c r="J9" s="23" t="s">
        <v>8471</v>
      </c>
      <c r="K9" s="26" t="s">
        <v>74</v>
      </c>
      <c r="L9" s="23" t="s">
        <v>8472</v>
      </c>
    </row>
    <row r="10" customFormat="false" ht="43.25" hidden="false" customHeight="false" outlineLevel="0" collapsed="false">
      <c r="A10" s="22" t="s">
        <v>8442</v>
      </c>
      <c r="B10" s="24" t="s">
        <v>8443</v>
      </c>
      <c r="C10" s="24" t="s">
        <v>8375</v>
      </c>
      <c r="D10" s="23" t="s">
        <v>8473</v>
      </c>
      <c r="E10" s="23" t="s">
        <v>8474</v>
      </c>
      <c r="F10" s="27" t="s">
        <v>8469</v>
      </c>
      <c r="G10" s="24" t="s">
        <v>90</v>
      </c>
      <c r="H10" s="24" t="s">
        <v>8447</v>
      </c>
      <c r="I10" s="24" t="s">
        <v>8475</v>
      </c>
      <c r="J10" s="23" t="s">
        <v>8476</v>
      </c>
      <c r="K10" s="26" t="s">
        <v>74</v>
      </c>
      <c r="L10" s="23" t="s">
        <v>8477</v>
      </c>
    </row>
    <row r="11" customFormat="false" ht="53.7" hidden="false" customHeight="false" outlineLevel="0" collapsed="false">
      <c r="A11" s="22" t="s">
        <v>8442</v>
      </c>
      <c r="B11" s="24" t="s">
        <v>8443</v>
      </c>
      <c r="C11" s="24" t="s">
        <v>8466</v>
      </c>
      <c r="D11" s="23" t="s">
        <v>8478</v>
      </c>
      <c r="E11" s="23" t="s">
        <v>8479</v>
      </c>
      <c r="F11" s="27" t="s">
        <v>8469</v>
      </c>
      <c r="G11" s="24" t="s">
        <v>90</v>
      </c>
      <c r="H11" s="24" t="s">
        <v>8447</v>
      </c>
      <c r="I11" s="24" t="s">
        <v>8480</v>
      </c>
      <c r="J11" s="23" t="s">
        <v>8481</v>
      </c>
      <c r="K11" s="26" t="s">
        <v>74</v>
      </c>
      <c r="L11" s="23" t="s">
        <v>8482</v>
      </c>
    </row>
    <row r="12" customFormat="false" ht="43.25" hidden="false" customHeight="false" outlineLevel="0" collapsed="false">
      <c r="A12" s="22" t="s">
        <v>8442</v>
      </c>
      <c r="B12" s="24" t="s">
        <v>8443</v>
      </c>
      <c r="C12" s="24" t="s">
        <v>8373</v>
      </c>
      <c r="D12" s="23" t="s">
        <v>8483</v>
      </c>
      <c r="E12" s="23" t="s">
        <v>8484</v>
      </c>
      <c r="F12" s="27" t="s">
        <v>8469</v>
      </c>
      <c r="G12" s="24" t="s">
        <v>90</v>
      </c>
      <c r="H12" s="24" t="s">
        <v>8447</v>
      </c>
      <c r="I12" s="24" t="s">
        <v>8485</v>
      </c>
      <c r="J12" s="23" t="s">
        <v>8449</v>
      </c>
      <c r="K12" s="30" t="s">
        <v>2225</v>
      </c>
      <c r="L12" s="23" t="s">
        <v>8486</v>
      </c>
    </row>
    <row r="13" customFormat="false" ht="43.25" hidden="false" customHeight="false" outlineLevel="0" collapsed="false">
      <c r="A13" s="22" t="s">
        <v>8442</v>
      </c>
      <c r="B13" s="24" t="s">
        <v>8443</v>
      </c>
      <c r="C13" s="24" t="s">
        <v>8375</v>
      </c>
      <c r="D13" s="23" t="s">
        <v>8487</v>
      </c>
      <c r="E13" s="23" t="s">
        <v>8488</v>
      </c>
      <c r="F13" s="27" t="s">
        <v>8469</v>
      </c>
      <c r="G13" s="24" t="s">
        <v>90</v>
      </c>
      <c r="H13" s="24" t="s">
        <v>8447</v>
      </c>
      <c r="I13" s="24" t="s">
        <v>8489</v>
      </c>
      <c r="J13" s="23" t="s">
        <v>8490</v>
      </c>
      <c r="K13" s="26" t="s">
        <v>74</v>
      </c>
      <c r="L13" s="23" t="s">
        <v>8491</v>
      </c>
    </row>
    <row r="14" customFormat="false" ht="32.8" hidden="false" customHeight="false" outlineLevel="0" collapsed="false">
      <c r="A14" s="22" t="s">
        <v>8442</v>
      </c>
      <c r="B14" s="24" t="s">
        <v>8443</v>
      </c>
      <c r="C14" s="24" t="s">
        <v>8466</v>
      </c>
      <c r="D14" s="23" t="s">
        <v>8492</v>
      </c>
      <c r="E14" s="23" t="s">
        <v>8493</v>
      </c>
      <c r="F14" s="27" t="s">
        <v>8469</v>
      </c>
      <c r="G14" s="24" t="s">
        <v>74</v>
      </c>
      <c r="H14" s="24" t="s">
        <v>8447</v>
      </c>
      <c r="I14" s="24" t="s">
        <v>8494</v>
      </c>
      <c r="J14" s="23" t="s">
        <v>8495</v>
      </c>
      <c r="K14" s="27" t="s">
        <v>90</v>
      </c>
      <c r="L14" s="23" t="s">
        <v>8496</v>
      </c>
    </row>
    <row r="15" customFormat="false" ht="43.25" hidden="false" customHeight="false" outlineLevel="0" collapsed="false">
      <c r="A15" s="22" t="s">
        <v>8442</v>
      </c>
      <c r="B15" s="24" t="s">
        <v>8443</v>
      </c>
      <c r="C15" s="24" t="s">
        <v>8373</v>
      </c>
      <c r="D15" s="23" t="s">
        <v>8497</v>
      </c>
      <c r="E15" s="23" t="s">
        <v>8498</v>
      </c>
      <c r="F15" s="27" t="s">
        <v>8469</v>
      </c>
      <c r="G15" s="24" t="s">
        <v>74</v>
      </c>
      <c r="H15" s="24" t="s">
        <v>8447</v>
      </c>
      <c r="I15" s="24" t="s">
        <v>8499</v>
      </c>
      <c r="J15" s="23" t="s">
        <v>8449</v>
      </c>
      <c r="K15" s="30" t="s">
        <v>2225</v>
      </c>
      <c r="L15" s="23" t="s">
        <v>8500</v>
      </c>
    </row>
    <row r="16" customFormat="false" ht="43.25" hidden="false" customHeight="false" outlineLevel="0" collapsed="false">
      <c r="A16" s="24" t="s">
        <v>8501</v>
      </c>
      <c r="B16" s="24" t="s">
        <v>8502</v>
      </c>
      <c r="C16" s="24" t="s">
        <v>8503</v>
      </c>
      <c r="D16" s="23" t="s">
        <v>8504</v>
      </c>
      <c r="E16" s="23" t="s">
        <v>8505</v>
      </c>
      <c r="F16" s="26" t="s">
        <v>8463</v>
      </c>
      <c r="G16" s="24" t="s">
        <v>90</v>
      </c>
      <c r="H16" s="24" t="s">
        <v>8506</v>
      </c>
      <c r="I16" s="24" t="s">
        <v>8507</v>
      </c>
      <c r="J16" s="23" t="s">
        <v>8508</v>
      </c>
      <c r="K16" s="26" t="s">
        <v>74</v>
      </c>
      <c r="L16" s="23" t="s">
        <v>8509</v>
      </c>
    </row>
    <row r="17" customFormat="false" ht="53.7" hidden="false" customHeight="false" outlineLevel="0" collapsed="false">
      <c r="A17" s="24" t="s">
        <v>8501</v>
      </c>
      <c r="B17" s="24" t="s">
        <v>8502</v>
      </c>
      <c r="C17" s="24" t="s">
        <v>8377</v>
      </c>
      <c r="D17" s="23" t="s">
        <v>8510</v>
      </c>
      <c r="E17" s="23" t="s">
        <v>8511</v>
      </c>
      <c r="F17" s="26" t="s">
        <v>8463</v>
      </c>
      <c r="G17" s="24" t="s">
        <v>74</v>
      </c>
      <c r="H17" s="24" t="s">
        <v>8506</v>
      </c>
      <c r="I17" s="24" t="s">
        <v>8512</v>
      </c>
      <c r="J17" s="23" t="s">
        <v>8513</v>
      </c>
      <c r="K17" s="26" t="s">
        <v>74</v>
      </c>
      <c r="L17" s="23" t="s">
        <v>8514</v>
      </c>
    </row>
    <row r="18" customFormat="false" ht="32.8" hidden="false" customHeight="false" outlineLevel="0" collapsed="false">
      <c r="A18" s="24" t="s">
        <v>8501</v>
      </c>
      <c r="B18" s="24" t="s">
        <v>8502</v>
      </c>
      <c r="C18" s="24" t="s">
        <v>8503</v>
      </c>
      <c r="D18" s="23" t="s">
        <v>8515</v>
      </c>
      <c r="E18" s="23" t="s">
        <v>8516</v>
      </c>
      <c r="F18" s="27" t="s">
        <v>8469</v>
      </c>
      <c r="G18" s="24" t="s">
        <v>74</v>
      </c>
      <c r="H18" s="24" t="s">
        <v>8447</v>
      </c>
      <c r="I18" s="24" t="s">
        <v>8517</v>
      </c>
      <c r="J18" s="23" t="s">
        <v>8449</v>
      </c>
      <c r="K18" s="30" t="s">
        <v>2225</v>
      </c>
      <c r="L18" s="23" t="s">
        <v>8518</v>
      </c>
    </row>
    <row r="19" customFormat="false" ht="32.8" hidden="false" customHeight="false" outlineLevel="0" collapsed="false">
      <c r="A19" s="24" t="s">
        <v>8501</v>
      </c>
      <c r="B19" s="24" t="s">
        <v>8502</v>
      </c>
      <c r="C19" s="24" t="s">
        <v>8503</v>
      </c>
      <c r="D19" s="23" t="s">
        <v>8519</v>
      </c>
      <c r="E19" s="23" t="s">
        <v>8520</v>
      </c>
      <c r="F19" s="27" t="s">
        <v>8469</v>
      </c>
      <c r="G19" s="24" t="s">
        <v>74</v>
      </c>
      <c r="H19" s="24" t="s">
        <v>8447</v>
      </c>
      <c r="I19" s="24" t="s">
        <v>8521</v>
      </c>
      <c r="J19" s="23" t="s">
        <v>8522</v>
      </c>
      <c r="K19" s="26" t="s">
        <v>74</v>
      </c>
      <c r="L19" s="23" t="s">
        <v>8523</v>
      </c>
    </row>
    <row r="20" customFormat="false" ht="32.8" hidden="false" customHeight="false" outlineLevel="0" collapsed="false">
      <c r="A20" s="24" t="s">
        <v>8501</v>
      </c>
      <c r="B20" s="24" t="s">
        <v>8502</v>
      </c>
      <c r="C20" s="24" t="s">
        <v>8367</v>
      </c>
      <c r="D20" s="23" t="s">
        <v>8524</v>
      </c>
      <c r="E20" s="23" t="s">
        <v>8525</v>
      </c>
      <c r="F20" s="27" t="s">
        <v>8469</v>
      </c>
      <c r="G20" s="24" t="s">
        <v>90</v>
      </c>
      <c r="H20" s="24" t="s">
        <v>8447</v>
      </c>
      <c r="I20" s="24" t="s">
        <v>8526</v>
      </c>
      <c r="J20" s="23" t="s">
        <v>8527</v>
      </c>
      <c r="K20" s="27" t="s">
        <v>90</v>
      </c>
      <c r="L20" s="23" t="s">
        <v>8528</v>
      </c>
    </row>
    <row r="21" customFormat="false" ht="32.8" hidden="false" customHeight="false" outlineLevel="0" collapsed="false">
      <c r="A21" s="24" t="s">
        <v>8501</v>
      </c>
      <c r="B21" s="24" t="s">
        <v>8502</v>
      </c>
      <c r="C21" s="24" t="s">
        <v>8377</v>
      </c>
      <c r="D21" s="23" t="s">
        <v>8529</v>
      </c>
      <c r="E21" s="23" t="s">
        <v>8530</v>
      </c>
      <c r="F21" s="27" t="s">
        <v>8469</v>
      </c>
      <c r="G21" s="24" t="s">
        <v>90</v>
      </c>
      <c r="H21" s="24" t="s">
        <v>8447</v>
      </c>
      <c r="I21" s="24" t="s">
        <v>8531</v>
      </c>
      <c r="J21" s="23" t="s">
        <v>8532</v>
      </c>
      <c r="K21" s="27" t="s">
        <v>90</v>
      </c>
      <c r="L21" s="23" t="s">
        <v>8533</v>
      </c>
    </row>
    <row r="22" customFormat="false" ht="32.8" hidden="false" customHeight="false" outlineLevel="0" collapsed="false">
      <c r="A22" s="24" t="s">
        <v>8501</v>
      </c>
      <c r="B22" s="24" t="s">
        <v>8502</v>
      </c>
      <c r="C22" s="24" t="s">
        <v>8367</v>
      </c>
      <c r="D22" s="23" t="s">
        <v>8534</v>
      </c>
      <c r="E22" s="23" t="s">
        <v>8535</v>
      </c>
      <c r="F22" s="27" t="s">
        <v>8469</v>
      </c>
      <c r="G22" s="24" t="s">
        <v>90</v>
      </c>
      <c r="H22" s="24" t="s">
        <v>8447</v>
      </c>
      <c r="I22" s="24" t="s">
        <v>8536</v>
      </c>
      <c r="J22" s="23" t="s">
        <v>8537</v>
      </c>
      <c r="K22" s="27" t="s">
        <v>90</v>
      </c>
      <c r="L22" s="23" t="s">
        <v>8538</v>
      </c>
    </row>
    <row r="23" customFormat="false" ht="32.8" hidden="false" customHeight="false" outlineLevel="0" collapsed="false">
      <c r="A23" s="24" t="s">
        <v>8501</v>
      </c>
      <c r="B23" s="24" t="s">
        <v>8502</v>
      </c>
      <c r="C23" s="24" t="s">
        <v>8367</v>
      </c>
      <c r="D23" s="23" t="s">
        <v>8539</v>
      </c>
      <c r="E23" s="23" t="s">
        <v>8540</v>
      </c>
      <c r="F23" s="27" t="s">
        <v>8469</v>
      </c>
      <c r="G23" s="24" t="s">
        <v>119</v>
      </c>
      <c r="H23" s="24" t="s">
        <v>8447</v>
      </c>
      <c r="I23" s="24" t="s">
        <v>8541</v>
      </c>
      <c r="J23" s="23" t="s">
        <v>8542</v>
      </c>
      <c r="K23" s="26" t="s">
        <v>74</v>
      </c>
      <c r="L23" s="23" t="s">
        <v>8543</v>
      </c>
    </row>
    <row r="24" customFormat="false" ht="32.8" hidden="false" customHeight="false" outlineLevel="0" collapsed="false">
      <c r="A24" s="22" t="s">
        <v>8544</v>
      </c>
      <c r="B24" s="24" t="s">
        <v>8545</v>
      </c>
      <c r="C24" s="24" t="s">
        <v>8366</v>
      </c>
      <c r="D24" s="23" t="s">
        <v>8546</v>
      </c>
      <c r="E24" s="23" t="s">
        <v>8547</v>
      </c>
      <c r="F24" s="28" t="s">
        <v>8446</v>
      </c>
      <c r="G24" s="24" t="s">
        <v>90</v>
      </c>
      <c r="H24" s="24" t="s">
        <v>8458</v>
      </c>
      <c r="I24" s="24" t="s">
        <v>8548</v>
      </c>
      <c r="J24" s="23" t="s">
        <v>8549</v>
      </c>
      <c r="K24" s="27" t="s">
        <v>90</v>
      </c>
      <c r="L24" s="23" t="s">
        <v>8550</v>
      </c>
    </row>
    <row r="25" customFormat="false" ht="22.35" hidden="false" customHeight="false" outlineLevel="0" collapsed="false">
      <c r="A25" s="22" t="s">
        <v>8544</v>
      </c>
      <c r="B25" s="24" t="s">
        <v>8545</v>
      </c>
      <c r="C25" s="24" t="s">
        <v>8375</v>
      </c>
      <c r="D25" s="23" t="s">
        <v>8551</v>
      </c>
      <c r="E25" s="23" t="s">
        <v>8552</v>
      </c>
      <c r="F25" s="28" t="s">
        <v>8446</v>
      </c>
      <c r="G25" s="24" t="s">
        <v>74</v>
      </c>
      <c r="H25" s="24" t="s">
        <v>8447</v>
      </c>
      <c r="I25" s="24" t="s">
        <v>8553</v>
      </c>
      <c r="J25" s="23" t="s">
        <v>8554</v>
      </c>
      <c r="K25" s="27" t="s">
        <v>90</v>
      </c>
      <c r="L25" s="23" t="s">
        <v>8555</v>
      </c>
    </row>
    <row r="26" customFormat="false" ht="32.8" hidden="false" customHeight="false" outlineLevel="0" collapsed="false">
      <c r="A26" s="22" t="s">
        <v>8544</v>
      </c>
      <c r="B26" s="24" t="s">
        <v>8545</v>
      </c>
      <c r="C26" s="24" t="s">
        <v>8366</v>
      </c>
      <c r="D26" s="23" t="s">
        <v>8556</v>
      </c>
      <c r="E26" s="23" t="s">
        <v>8557</v>
      </c>
      <c r="F26" s="28" t="s">
        <v>8446</v>
      </c>
      <c r="G26" s="24" t="s">
        <v>90</v>
      </c>
      <c r="H26" s="24" t="s">
        <v>8447</v>
      </c>
      <c r="I26" s="24" t="s">
        <v>8558</v>
      </c>
      <c r="J26" s="23" t="s">
        <v>8449</v>
      </c>
      <c r="K26" s="30" t="s">
        <v>2225</v>
      </c>
      <c r="L26" s="23" t="s">
        <v>8559</v>
      </c>
    </row>
    <row r="27" customFormat="false" ht="43.25" hidden="false" customHeight="false" outlineLevel="0" collapsed="false">
      <c r="A27" s="22" t="s">
        <v>8544</v>
      </c>
      <c r="B27" s="24" t="s">
        <v>8545</v>
      </c>
      <c r="C27" s="24" t="s">
        <v>8366</v>
      </c>
      <c r="D27" s="23" t="s">
        <v>8556</v>
      </c>
      <c r="E27" s="23" t="s">
        <v>8560</v>
      </c>
      <c r="F27" s="25" t="s">
        <v>8457</v>
      </c>
      <c r="G27" s="24" t="s">
        <v>74</v>
      </c>
      <c r="H27" s="24" t="s">
        <v>8458</v>
      </c>
      <c r="I27" s="24" t="s">
        <v>8561</v>
      </c>
      <c r="J27" s="23" t="s">
        <v>8449</v>
      </c>
      <c r="K27" s="30" t="s">
        <v>2225</v>
      </c>
      <c r="L27" s="23" t="s">
        <v>8562</v>
      </c>
    </row>
    <row r="28" customFormat="false" ht="43.25" hidden="false" customHeight="false" outlineLevel="0" collapsed="false">
      <c r="A28" s="22" t="s">
        <v>8544</v>
      </c>
      <c r="B28" s="24" t="s">
        <v>8545</v>
      </c>
      <c r="C28" s="24" t="s">
        <v>8366</v>
      </c>
      <c r="D28" s="23" t="s">
        <v>8556</v>
      </c>
      <c r="E28" s="23" t="s">
        <v>8563</v>
      </c>
      <c r="F28" s="25" t="s">
        <v>8457</v>
      </c>
      <c r="G28" s="24" t="s">
        <v>74</v>
      </c>
      <c r="H28" s="24" t="s">
        <v>8458</v>
      </c>
      <c r="I28" s="24" t="s">
        <v>8564</v>
      </c>
      <c r="J28" s="23" t="s">
        <v>8565</v>
      </c>
      <c r="K28" s="26" t="s">
        <v>74</v>
      </c>
      <c r="L28" s="23" t="s">
        <v>8566</v>
      </c>
    </row>
    <row r="29" customFormat="false" ht="53.7" hidden="false" customHeight="false" outlineLevel="0" collapsed="false">
      <c r="A29" s="22" t="s">
        <v>8544</v>
      </c>
      <c r="B29" s="24" t="s">
        <v>8545</v>
      </c>
      <c r="C29" s="24" t="s">
        <v>8366</v>
      </c>
      <c r="D29" s="23" t="s">
        <v>8567</v>
      </c>
      <c r="E29" s="23" t="s">
        <v>8568</v>
      </c>
      <c r="F29" s="25" t="s">
        <v>8457</v>
      </c>
      <c r="G29" s="24" t="s">
        <v>90</v>
      </c>
      <c r="H29" s="24" t="s">
        <v>8458</v>
      </c>
      <c r="I29" s="24" t="s">
        <v>8569</v>
      </c>
      <c r="J29" s="23" t="s">
        <v>8449</v>
      </c>
      <c r="K29" s="30" t="s">
        <v>2225</v>
      </c>
      <c r="L29" s="23" t="s">
        <v>8570</v>
      </c>
    </row>
    <row r="30" customFormat="false" ht="32.8" hidden="false" customHeight="false" outlineLevel="0" collapsed="false">
      <c r="A30" s="22" t="s">
        <v>8544</v>
      </c>
      <c r="B30" s="24" t="s">
        <v>8545</v>
      </c>
      <c r="C30" s="24" t="s">
        <v>8375</v>
      </c>
      <c r="D30" s="23" t="s">
        <v>8551</v>
      </c>
      <c r="E30" s="23" t="s">
        <v>8571</v>
      </c>
      <c r="F30" s="26" t="s">
        <v>8463</v>
      </c>
      <c r="G30" s="24" t="s">
        <v>90</v>
      </c>
      <c r="H30" s="24" t="s">
        <v>8506</v>
      </c>
      <c r="I30" s="24" t="s">
        <v>8572</v>
      </c>
      <c r="J30" s="23" t="s">
        <v>8573</v>
      </c>
      <c r="K30" s="27" t="s">
        <v>90</v>
      </c>
      <c r="L30" s="23" t="s">
        <v>8574</v>
      </c>
    </row>
    <row r="31" customFormat="false" ht="22.35" hidden="false" customHeight="false" outlineLevel="0" collapsed="false">
      <c r="A31" s="22" t="s">
        <v>8544</v>
      </c>
      <c r="B31" s="24" t="s">
        <v>8545</v>
      </c>
      <c r="C31" s="24" t="s">
        <v>8375</v>
      </c>
      <c r="D31" s="23" t="s">
        <v>8551</v>
      </c>
      <c r="E31" s="23" t="s">
        <v>8575</v>
      </c>
      <c r="F31" s="26" t="s">
        <v>8463</v>
      </c>
      <c r="G31" s="24" t="s">
        <v>90</v>
      </c>
      <c r="H31" s="24" t="s">
        <v>8506</v>
      </c>
      <c r="I31" s="24" t="s">
        <v>8576</v>
      </c>
      <c r="J31" s="23" t="s">
        <v>8449</v>
      </c>
      <c r="K31" s="30" t="s">
        <v>2225</v>
      </c>
      <c r="L31" s="23" t="s">
        <v>8577</v>
      </c>
    </row>
    <row r="32" customFormat="false" ht="53.7" hidden="false" customHeight="false" outlineLevel="0" collapsed="false">
      <c r="A32" s="22" t="s">
        <v>8544</v>
      </c>
      <c r="B32" s="24" t="s">
        <v>8545</v>
      </c>
      <c r="C32" s="24" t="s">
        <v>8366</v>
      </c>
      <c r="D32" s="23" t="s">
        <v>8578</v>
      </c>
      <c r="E32" s="23" t="s">
        <v>8579</v>
      </c>
      <c r="F32" s="26" t="s">
        <v>8463</v>
      </c>
      <c r="G32" s="24" t="s">
        <v>74</v>
      </c>
      <c r="H32" s="24" t="s">
        <v>8506</v>
      </c>
      <c r="I32" s="24" t="s">
        <v>8580</v>
      </c>
      <c r="J32" s="23" t="s">
        <v>8581</v>
      </c>
      <c r="K32" s="27" t="s">
        <v>90</v>
      </c>
      <c r="L32" s="23" t="s">
        <v>8582</v>
      </c>
    </row>
    <row r="33" customFormat="false" ht="32.8" hidden="false" customHeight="false" outlineLevel="0" collapsed="false">
      <c r="A33" s="22" t="s">
        <v>8544</v>
      </c>
      <c r="B33" s="24" t="s">
        <v>8545</v>
      </c>
      <c r="C33" s="24" t="s">
        <v>8372</v>
      </c>
      <c r="D33" s="23" t="s">
        <v>8583</v>
      </c>
      <c r="E33" s="23" t="s">
        <v>8584</v>
      </c>
      <c r="F33" s="27" t="s">
        <v>8469</v>
      </c>
      <c r="G33" s="24" t="s">
        <v>90</v>
      </c>
      <c r="H33" s="24" t="s">
        <v>8447</v>
      </c>
      <c r="I33" s="24" t="s">
        <v>8585</v>
      </c>
      <c r="J33" s="23" t="s">
        <v>8449</v>
      </c>
      <c r="K33" s="30" t="s">
        <v>2225</v>
      </c>
      <c r="L33" s="23" t="s">
        <v>8586</v>
      </c>
    </row>
    <row r="34" customFormat="false" ht="43.25" hidden="false" customHeight="false" outlineLevel="0" collapsed="false">
      <c r="A34" s="22" t="s">
        <v>8544</v>
      </c>
      <c r="B34" s="24" t="s">
        <v>8545</v>
      </c>
      <c r="C34" s="24" t="s">
        <v>8375</v>
      </c>
      <c r="D34" s="23" t="s">
        <v>8587</v>
      </c>
      <c r="E34" s="23" t="s">
        <v>8588</v>
      </c>
      <c r="F34" s="27" t="s">
        <v>8469</v>
      </c>
      <c r="G34" s="24" t="s">
        <v>90</v>
      </c>
      <c r="H34" s="24" t="s">
        <v>8447</v>
      </c>
      <c r="I34" s="24" t="s">
        <v>8589</v>
      </c>
      <c r="J34" s="23" t="s">
        <v>8495</v>
      </c>
      <c r="K34" s="27" t="s">
        <v>90</v>
      </c>
      <c r="L34" s="23" t="s">
        <v>8590</v>
      </c>
    </row>
    <row r="35" customFormat="false" ht="43.25" hidden="false" customHeight="false" outlineLevel="0" collapsed="false">
      <c r="A35" s="24" t="s">
        <v>8591</v>
      </c>
      <c r="B35" s="24" t="s">
        <v>8592</v>
      </c>
      <c r="C35" s="24" t="s">
        <v>8366</v>
      </c>
      <c r="D35" s="23" t="s">
        <v>8593</v>
      </c>
      <c r="E35" s="23" t="s">
        <v>8594</v>
      </c>
      <c r="F35" s="28" t="s">
        <v>8446</v>
      </c>
      <c r="G35" s="24" t="s">
        <v>90</v>
      </c>
      <c r="H35" s="24" t="s">
        <v>8458</v>
      </c>
      <c r="I35" s="24" t="s">
        <v>8595</v>
      </c>
      <c r="J35" s="23" t="s">
        <v>8449</v>
      </c>
      <c r="K35" s="30" t="s">
        <v>2225</v>
      </c>
      <c r="L35" s="23" t="s">
        <v>8596</v>
      </c>
    </row>
    <row r="36" customFormat="false" ht="43.25" hidden="false" customHeight="false" outlineLevel="0" collapsed="false">
      <c r="A36" s="24" t="s">
        <v>8591</v>
      </c>
      <c r="B36" s="24" t="s">
        <v>8592</v>
      </c>
      <c r="C36" s="24" t="s">
        <v>8366</v>
      </c>
      <c r="D36" s="23" t="s">
        <v>8597</v>
      </c>
      <c r="E36" s="23" t="s">
        <v>8598</v>
      </c>
      <c r="F36" s="28" t="s">
        <v>8446</v>
      </c>
      <c r="G36" s="24" t="s">
        <v>8599</v>
      </c>
      <c r="H36" s="24" t="s">
        <v>8458</v>
      </c>
      <c r="I36" s="24" t="s">
        <v>8600</v>
      </c>
      <c r="J36" s="23" t="s">
        <v>8449</v>
      </c>
      <c r="K36" s="30" t="s">
        <v>2225</v>
      </c>
      <c r="L36" s="23" t="s">
        <v>8601</v>
      </c>
    </row>
    <row r="37" customFormat="false" ht="43.25" hidden="false" customHeight="false" outlineLevel="0" collapsed="false">
      <c r="A37" s="24" t="s">
        <v>8591</v>
      </c>
      <c r="B37" s="24" t="s">
        <v>8592</v>
      </c>
      <c r="C37" s="24" t="s">
        <v>8372</v>
      </c>
      <c r="D37" s="23" t="s">
        <v>8602</v>
      </c>
      <c r="E37" s="23" t="s">
        <v>8603</v>
      </c>
      <c r="F37" s="28" t="s">
        <v>8446</v>
      </c>
      <c r="G37" s="24" t="s">
        <v>90</v>
      </c>
      <c r="H37" s="24" t="s">
        <v>8447</v>
      </c>
      <c r="I37" s="24" t="s">
        <v>8604</v>
      </c>
      <c r="J37" s="23" t="s">
        <v>8449</v>
      </c>
      <c r="K37" s="30" t="s">
        <v>2225</v>
      </c>
      <c r="L37" s="23" t="s">
        <v>8605</v>
      </c>
    </row>
    <row r="38" customFormat="false" ht="43.25" hidden="false" customHeight="false" outlineLevel="0" collapsed="false">
      <c r="A38" s="24" t="s">
        <v>8591</v>
      </c>
      <c r="B38" s="24" t="s">
        <v>8592</v>
      </c>
      <c r="C38" s="24" t="s">
        <v>8366</v>
      </c>
      <c r="D38" s="23" t="s">
        <v>8606</v>
      </c>
      <c r="E38" s="23" t="s">
        <v>8607</v>
      </c>
      <c r="F38" s="25" t="s">
        <v>8457</v>
      </c>
      <c r="G38" s="24" t="s">
        <v>74</v>
      </c>
      <c r="H38" s="24" t="s">
        <v>8458</v>
      </c>
      <c r="I38" s="24" t="s">
        <v>8608</v>
      </c>
      <c r="J38" s="23" t="s">
        <v>8609</v>
      </c>
      <c r="K38" s="26" t="s">
        <v>74</v>
      </c>
      <c r="L38" s="23" t="s">
        <v>8610</v>
      </c>
    </row>
    <row r="39" customFormat="false" ht="32.8" hidden="false" customHeight="false" outlineLevel="0" collapsed="false">
      <c r="A39" s="24" t="s">
        <v>8591</v>
      </c>
      <c r="B39" s="24" t="s">
        <v>8592</v>
      </c>
      <c r="C39" s="24" t="s">
        <v>8366</v>
      </c>
      <c r="D39" s="23" t="s">
        <v>8611</v>
      </c>
      <c r="E39" s="23" t="s">
        <v>8612</v>
      </c>
      <c r="F39" s="25" t="s">
        <v>8457</v>
      </c>
      <c r="G39" s="24" t="s">
        <v>90</v>
      </c>
      <c r="H39" s="24" t="s">
        <v>8458</v>
      </c>
      <c r="I39" s="24" t="s">
        <v>8613</v>
      </c>
      <c r="J39" s="23" t="s">
        <v>8565</v>
      </c>
      <c r="K39" s="27" t="s">
        <v>90</v>
      </c>
      <c r="L39" s="23" t="s">
        <v>8614</v>
      </c>
    </row>
    <row r="40" customFormat="false" ht="22.35" hidden="false" customHeight="false" outlineLevel="0" collapsed="false">
      <c r="A40" s="24" t="s">
        <v>8591</v>
      </c>
      <c r="B40" s="24" t="s">
        <v>8592</v>
      </c>
      <c r="C40" s="24" t="s">
        <v>8375</v>
      </c>
      <c r="D40" s="23" t="s">
        <v>8615</v>
      </c>
      <c r="E40" s="23" t="s">
        <v>8616</v>
      </c>
      <c r="F40" s="26" t="s">
        <v>8463</v>
      </c>
      <c r="G40" s="24" t="s">
        <v>90</v>
      </c>
      <c r="H40" s="24" t="s">
        <v>8506</v>
      </c>
      <c r="I40" s="24" t="s">
        <v>8617</v>
      </c>
      <c r="J40" s="23" t="s">
        <v>8573</v>
      </c>
      <c r="K40" s="27" t="s">
        <v>90</v>
      </c>
      <c r="L40" s="23" t="s">
        <v>8618</v>
      </c>
    </row>
    <row r="41" customFormat="false" ht="32.8" hidden="false" customHeight="false" outlineLevel="0" collapsed="false">
      <c r="A41" s="24" t="s">
        <v>8591</v>
      </c>
      <c r="B41" s="24" t="s">
        <v>8592</v>
      </c>
      <c r="C41" s="24" t="s">
        <v>8366</v>
      </c>
      <c r="D41" s="23" t="s">
        <v>8619</v>
      </c>
      <c r="E41" s="23" t="s">
        <v>8620</v>
      </c>
      <c r="F41" s="26" t="s">
        <v>8463</v>
      </c>
      <c r="G41" s="24" t="s">
        <v>119</v>
      </c>
      <c r="H41" s="24" t="s">
        <v>8506</v>
      </c>
      <c r="I41" s="24" t="s">
        <v>8621</v>
      </c>
      <c r="J41" s="23" t="s">
        <v>8449</v>
      </c>
      <c r="K41" s="30" t="s">
        <v>2225</v>
      </c>
      <c r="L41" s="23" t="s">
        <v>8622</v>
      </c>
    </row>
    <row r="42" customFormat="false" ht="32.8" hidden="false" customHeight="false" outlineLevel="0" collapsed="false">
      <c r="A42" s="24" t="s">
        <v>8591</v>
      </c>
      <c r="B42" s="24" t="s">
        <v>8592</v>
      </c>
      <c r="C42" s="24" t="s">
        <v>8375</v>
      </c>
      <c r="D42" s="23" t="s">
        <v>8623</v>
      </c>
      <c r="E42" s="23" t="s">
        <v>8624</v>
      </c>
      <c r="F42" s="27" t="s">
        <v>8469</v>
      </c>
      <c r="G42" s="24" t="s">
        <v>90</v>
      </c>
      <c r="H42" s="24" t="s">
        <v>8447</v>
      </c>
      <c r="I42" s="24" t="s">
        <v>8625</v>
      </c>
      <c r="J42" s="23" t="s">
        <v>8626</v>
      </c>
      <c r="K42" s="26" t="s">
        <v>74</v>
      </c>
      <c r="L42" s="23" t="s">
        <v>8627</v>
      </c>
    </row>
    <row r="43" customFormat="false" ht="43.25" hidden="false" customHeight="false" outlineLevel="0" collapsed="false">
      <c r="A43" s="24" t="s">
        <v>8591</v>
      </c>
      <c r="B43" s="24" t="s">
        <v>8592</v>
      </c>
      <c r="C43" s="24" t="s">
        <v>8372</v>
      </c>
      <c r="D43" s="23" t="s">
        <v>8628</v>
      </c>
      <c r="E43" s="23" t="s">
        <v>8629</v>
      </c>
      <c r="F43" s="27" t="s">
        <v>8469</v>
      </c>
      <c r="G43" s="24" t="s">
        <v>90</v>
      </c>
      <c r="H43" s="24" t="s">
        <v>8447</v>
      </c>
      <c r="I43" s="24" t="s">
        <v>8630</v>
      </c>
      <c r="J43" s="23" t="s">
        <v>8449</v>
      </c>
      <c r="K43" s="30" t="s">
        <v>2225</v>
      </c>
      <c r="L43" s="23" t="s">
        <v>8631</v>
      </c>
    </row>
    <row r="44" customFormat="false" ht="43.25" hidden="false" customHeight="false" outlineLevel="0" collapsed="false">
      <c r="A44" s="24" t="s">
        <v>8591</v>
      </c>
      <c r="B44" s="24" t="s">
        <v>8592</v>
      </c>
      <c r="C44" s="24" t="s">
        <v>8503</v>
      </c>
      <c r="D44" s="23" t="s">
        <v>8632</v>
      </c>
      <c r="E44" s="23" t="s">
        <v>8633</v>
      </c>
      <c r="F44" s="27" t="s">
        <v>8469</v>
      </c>
      <c r="G44" s="24" t="s">
        <v>74</v>
      </c>
      <c r="H44" s="24" t="s">
        <v>8447</v>
      </c>
      <c r="I44" s="24" t="s">
        <v>8634</v>
      </c>
      <c r="J44" s="23" t="s">
        <v>8449</v>
      </c>
      <c r="K44" s="30" t="s">
        <v>2225</v>
      </c>
      <c r="L44" s="23" t="s">
        <v>8635</v>
      </c>
    </row>
    <row r="45" customFormat="false" ht="32.8" hidden="false" customHeight="false" outlineLevel="0" collapsed="false">
      <c r="A45" s="24" t="s">
        <v>8591</v>
      </c>
      <c r="B45" s="24" t="s">
        <v>8592</v>
      </c>
      <c r="C45" s="24" t="s">
        <v>8367</v>
      </c>
      <c r="D45" s="23" t="s">
        <v>8636</v>
      </c>
      <c r="E45" s="23" t="s">
        <v>8637</v>
      </c>
      <c r="F45" s="27" t="s">
        <v>8469</v>
      </c>
      <c r="G45" s="24" t="s">
        <v>90</v>
      </c>
      <c r="H45" s="24" t="s">
        <v>8447</v>
      </c>
      <c r="I45" s="24" t="s">
        <v>8638</v>
      </c>
      <c r="J45" s="23" t="s">
        <v>8490</v>
      </c>
      <c r="K45" s="27" t="s">
        <v>90</v>
      </c>
      <c r="L45" s="23" t="s">
        <v>8639</v>
      </c>
    </row>
    <row r="46" customFormat="false" ht="32.8" hidden="false" customHeight="false" outlineLevel="0" collapsed="false">
      <c r="A46" s="22" t="s">
        <v>8640</v>
      </c>
      <c r="B46" s="24" t="s">
        <v>8641</v>
      </c>
      <c r="C46" s="24" t="s">
        <v>8366</v>
      </c>
      <c r="D46" s="23" t="s">
        <v>8642</v>
      </c>
      <c r="E46" s="23" t="s">
        <v>8643</v>
      </c>
      <c r="F46" s="27" t="s">
        <v>8469</v>
      </c>
      <c r="G46" s="24" t="s">
        <v>119</v>
      </c>
      <c r="H46" s="24" t="s">
        <v>8506</v>
      </c>
      <c r="I46" s="24" t="s">
        <v>8644</v>
      </c>
      <c r="J46" s="23" t="s">
        <v>8645</v>
      </c>
      <c r="K46" s="26" t="s">
        <v>74</v>
      </c>
      <c r="L46" s="23" t="s">
        <v>8646</v>
      </c>
    </row>
    <row r="47" customFormat="false" ht="43.25" hidden="false" customHeight="false" outlineLevel="0" collapsed="false">
      <c r="A47" s="24" t="s">
        <v>8647</v>
      </c>
      <c r="B47" s="24" t="s">
        <v>8648</v>
      </c>
      <c r="C47" s="24" t="s">
        <v>8366</v>
      </c>
      <c r="D47" s="23" t="s">
        <v>8649</v>
      </c>
      <c r="E47" s="23" t="s">
        <v>8650</v>
      </c>
      <c r="F47" s="28" t="s">
        <v>8446</v>
      </c>
      <c r="G47" s="24" t="s">
        <v>8599</v>
      </c>
      <c r="H47" s="24" t="s">
        <v>8506</v>
      </c>
      <c r="I47" s="24" t="s">
        <v>8651</v>
      </c>
      <c r="J47" s="23" t="s">
        <v>8513</v>
      </c>
      <c r="K47" s="26" t="s">
        <v>74</v>
      </c>
      <c r="L47" s="23" t="s">
        <v>8652</v>
      </c>
    </row>
    <row r="48" customFormat="false" ht="43.25" hidden="false" customHeight="false" outlineLevel="0" collapsed="false">
      <c r="A48" s="24" t="s">
        <v>8647</v>
      </c>
      <c r="B48" s="24" t="s">
        <v>8648</v>
      </c>
      <c r="C48" s="24" t="s">
        <v>8373</v>
      </c>
      <c r="D48" s="23" t="s">
        <v>8653</v>
      </c>
      <c r="E48" s="23" t="s">
        <v>8654</v>
      </c>
      <c r="F48" s="28" t="s">
        <v>8446</v>
      </c>
      <c r="G48" s="24" t="s">
        <v>90</v>
      </c>
      <c r="H48" s="24" t="s">
        <v>8458</v>
      </c>
      <c r="I48" s="24" t="s">
        <v>8655</v>
      </c>
      <c r="J48" s="23" t="s">
        <v>8449</v>
      </c>
      <c r="K48" s="30" t="s">
        <v>2225</v>
      </c>
      <c r="L48" s="23" t="s">
        <v>8656</v>
      </c>
    </row>
    <row r="49" customFormat="false" ht="32.8" hidden="false" customHeight="false" outlineLevel="0" collapsed="false">
      <c r="A49" s="24" t="s">
        <v>8647</v>
      </c>
      <c r="B49" s="24" t="s">
        <v>8648</v>
      </c>
      <c r="C49" s="24" t="s">
        <v>8372</v>
      </c>
      <c r="D49" s="23" t="s">
        <v>8657</v>
      </c>
      <c r="E49" s="23" t="s">
        <v>8658</v>
      </c>
      <c r="F49" s="28" t="s">
        <v>8446</v>
      </c>
      <c r="G49" s="24" t="s">
        <v>8599</v>
      </c>
      <c r="H49" s="24" t="s">
        <v>8447</v>
      </c>
      <c r="I49" s="24" t="s">
        <v>8659</v>
      </c>
      <c r="J49" s="23" t="s">
        <v>8449</v>
      </c>
      <c r="K49" s="30" t="s">
        <v>2225</v>
      </c>
      <c r="L49" s="23" t="s">
        <v>8660</v>
      </c>
    </row>
    <row r="50" customFormat="false" ht="32.8" hidden="false" customHeight="false" outlineLevel="0" collapsed="false">
      <c r="A50" s="24" t="s">
        <v>8647</v>
      </c>
      <c r="B50" s="24" t="s">
        <v>8648</v>
      </c>
      <c r="C50" s="24" t="s">
        <v>8373</v>
      </c>
      <c r="D50" s="23" t="s">
        <v>8661</v>
      </c>
      <c r="E50" s="23" t="s">
        <v>8662</v>
      </c>
      <c r="F50" s="28" t="s">
        <v>8446</v>
      </c>
      <c r="G50" s="24" t="s">
        <v>8599</v>
      </c>
      <c r="H50" s="24" t="s">
        <v>8447</v>
      </c>
      <c r="I50" s="24" t="s">
        <v>8663</v>
      </c>
      <c r="J50" s="23" t="s">
        <v>8449</v>
      </c>
      <c r="K50" s="30" t="s">
        <v>2225</v>
      </c>
      <c r="L50" s="23" t="s">
        <v>8664</v>
      </c>
    </row>
    <row r="51" customFormat="false" ht="43.25" hidden="false" customHeight="false" outlineLevel="0" collapsed="false">
      <c r="A51" s="24" t="s">
        <v>8647</v>
      </c>
      <c r="B51" s="24" t="s">
        <v>8648</v>
      </c>
      <c r="C51" s="24" t="s">
        <v>8373</v>
      </c>
      <c r="D51" s="23" t="s">
        <v>8665</v>
      </c>
      <c r="E51" s="23" t="s">
        <v>8666</v>
      </c>
      <c r="F51" s="28" t="s">
        <v>8446</v>
      </c>
      <c r="G51" s="24" t="s">
        <v>74</v>
      </c>
      <c r="H51" s="24" t="s">
        <v>8447</v>
      </c>
      <c r="I51" s="24" t="s">
        <v>8667</v>
      </c>
      <c r="J51" s="23" t="s">
        <v>8668</v>
      </c>
      <c r="K51" s="26" t="s">
        <v>74</v>
      </c>
      <c r="L51" s="23" t="s">
        <v>8669</v>
      </c>
    </row>
    <row r="52" customFormat="false" ht="32.8" hidden="false" customHeight="false" outlineLevel="0" collapsed="false">
      <c r="A52" s="24" t="s">
        <v>8647</v>
      </c>
      <c r="B52" s="24" t="s">
        <v>8648</v>
      </c>
      <c r="C52" s="24" t="s">
        <v>8366</v>
      </c>
      <c r="D52" s="23" t="s">
        <v>8670</v>
      </c>
      <c r="E52" s="23" t="s">
        <v>8671</v>
      </c>
      <c r="F52" s="25" t="s">
        <v>8457</v>
      </c>
      <c r="G52" s="24" t="s">
        <v>90</v>
      </c>
      <c r="H52" s="24" t="s">
        <v>8458</v>
      </c>
      <c r="I52" s="24" t="s">
        <v>8672</v>
      </c>
      <c r="J52" s="23" t="s">
        <v>8673</v>
      </c>
      <c r="K52" s="27" t="s">
        <v>90</v>
      </c>
      <c r="L52" s="23" t="s">
        <v>8674</v>
      </c>
    </row>
    <row r="53" customFormat="false" ht="43.25" hidden="false" customHeight="false" outlineLevel="0" collapsed="false">
      <c r="A53" s="24" t="s">
        <v>8647</v>
      </c>
      <c r="B53" s="24" t="s">
        <v>8648</v>
      </c>
      <c r="C53" s="24" t="s">
        <v>8366</v>
      </c>
      <c r="D53" s="23" t="s">
        <v>8675</v>
      </c>
      <c r="E53" s="23" t="s">
        <v>8676</v>
      </c>
      <c r="F53" s="25" t="s">
        <v>8457</v>
      </c>
      <c r="G53" s="24" t="s">
        <v>90</v>
      </c>
      <c r="H53" s="24" t="s">
        <v>8458</v>
      </c>
      <c r="I53" s="24" t="s">
        <v>8677</v>
      </c>
      <c r="J53" s="23" t="s">
        <v>8449</v>
      </c>
      <c r="K53" s="30" t="s">
        <v>2225</v>
      </c>
      <c r="L53" s="23" t="s">
        <v>8678</v>
      </c>
    </row>
    <row r="54" customFormat="false" ht="32.8" hidden="false" customHeight="false" outlineLevel="0" collapsed="false">
      <c r="A54" s="24" t="s">
        <v>8647</v>
      </c>
      <c r="B54" s="24" t="s">
        <v>8648</v>
      </c>
      <c r="C54" s="24" t="s">
        <v>8366</v>
      </c>
      <c r="D54" s="23" t="s">
        <v>8649</v>
      </c>
      <c r="E54" s="23" t="s">
        <v>8679</v>
      </c>
      <c r="F54" s="25" t="s">
        <v>8457</v>
      </c>
      <c r="G54" s="24" t="s">
        <v>90</v>
      </c>
      <c r="H54" s="24" t="s">
        <v>8458</v>
      </c>
      <c r="I54" s="24" t="s">
        <v>8680</v>
      </c>
      <c r="J54" s="23" t="s">
        <v>8565</v>
      </c>
      <c r="K54" s="27" t="s">
        <v>90</v>
      </c>
      <c r="L54" s="23" t="s">
        <v>8681</v>
      </c>
    </row>
    <row r="55" customFormat="false" ht="32.8" hidden="false" customHeight="false" outlineLevel="0" collapsed="false">
      <c r="A55" s="24" t="s">
        <v>8647</v>
      </c>
      <c r="B55" s="24" t="s">
        <v>8648</v>
      </c>
      <c r="C55" s="24" t="s">
        <v>8366</v>
      </c>
      <c r="D55" s="23" t="s">
        <v>8649</v>
      </c>
      <c r="E55" s="23" t="s">
        <v>8682</v>
      </c>
      <c r="F55" s="25" t="s">
        <v>8457</v>
      </c>
      <c r="G55" s="24" t="s">
        <v>74</v>
      </c>
      <c r="H55" s="24" t="s">
        <v>8458</v>
      </c>
      <c r="I55" s="24" t="s">
        <v>8683</v>
      </c>
      <c r="J55" s="23" t="s">
        <v>8449</v>
      </c>
      <c r="K55" s="30" t="s">
        <v>2225</v>
      </c>
      <c r="L55" s="23" t="s">
        <v>8684</v>
      </c>
    </row>
    <row r="56" customFormat="false" ht="22.35" hidden="false" customHeight="false" outlineLevel="0" collapsed="false">
      <c r="A56" s="24" t="s">
        <v>8647</v>
      </c>
      <c r="B56" s="24" t="s">
        <v>8648</v>
      </c>
      <c r="C56" s="24" t="s">
        <v>8375</v>
      </c>
      <c r="D56" s="23" t="s">
        <v>8615</v>
      </c>
      <c r="E56" s="23" t="s">
        <v>8571</v>
      </c>
      <c r="F56" s="26" t="s">
        <v>8463</v>
      </c>
      <c r="G56" s="24" t="s">
        <v>90</v>
      </c>
      <c r="H56" s="24" t="s">
        <v>8506</v>
      </c>
      <c r="I56" s="24" t="s">
        <v>8685</v>
      </c>
      <c r="J56" s="23" t="s">
        <v>8573</v>
      </c>
      <c r="K56" s="27" t="s">
        <v>90</v>
      </c>
      <c r="L56" s="23" t="s">
        <v>8686</v>
      </c>
    </row>
    <row r="57" customFormat="false" ht="32.8" hidden="false" customHeight="false" outlineLevel="0" collapsed="false">
      <c r="A57" s="24" t="s">
        <v>8647</v>
      </c>
      <c r="B57" s="24" t="s">
        <v>8648</v>
      </c>
      <c r="C57" s="24" t="s">
        <v>8375</v>
      </c>
      <c r="D57" s="23" t="s">
        <v>8615</v>
      </c>
      <c r="E57" s="23" t="s">
        <v>8687</v>
      </c>
      <c r="F57" s="26" t="s">
        <v>8463</v>
      </c>
      <c r="G57" s="24" t="s">
        <v>90</v>
      </c>
      <c r="H57" s="24" t="s">
        <v>8506</v>
      </c>
      <c r="I57" s="24" t="s">
        <v>8688</v>
      </c>
      <c r="J57" s="23" t="s">
        <v>8449</v>
      </c>
      <c r="K57" s="30" t="s">
        <v>2225</v>
      </c>
      <c r="L57" s="23" t="s">
        <v>8689</v>
      </c>
    </row>
    <row r="58" customFormat="false" ht="22.35" hidden="false" customHeight="false" outlineLevel="0" collapsed="false">
      <c r="A58" s="24" t="s">
        <v>8647</v>
      </c>
      <c r="B58" s="24" t="s">
        <v>8648</v>
      </c>
      <c r="C58" s="24" t="s">
        <v>8366</v>
      </c>
      <c r="D58" s="23" t="s">
        <v>8690</v>
      </c>
      <c r="E58" s="23" t="s">
        <v>8691</v>
      </c>
      <c r="F58" s="26" t="s">
        <v>8463</v>
      </c>
      <c r="G58" s="24" t="s">
        <v>119</v>
      </c>
      <c r="H58" s="24" t="s">
        <v>8506</v>
      </c>
      <c r="I58" s="24" t="s">
        <v>8692</v>
      </c>
      <c r="J58" s="23" t="s">
        <v>8581</v>
      </c>
      <c r="K58" s="27" t="s">
        <v>90</v>
      </c>
      <c r="L58" s="23" t="s">
        <v>8693</v>
      </c>
    </row>
    <row r="59" customFormat="false" ht="43.25" hidden="false" customHeight="false" outlineLevel="0" collapsed="false">
      <c r="A59" s="24" t="s">
        <v>8647</v>
      </c>
      <c r="B59" s="24" t="s">
        <v>8648</v>
      </c>
      <c r="C59" s="24" t="s">
        <v>8375</v>
      </c>
      <c r="D59" s="23" t="s">
        <v>8694</v>
      </c>
      <c r="E59" s="23" t="s">
        <v>8695</v>
      </c>
      <c r="F59" s="27" t="s">
        <v>8469</v>
      </c>
      <c r="G59" s="24" t="s">
        <v>90</v>
      </c>
      <c r="H59" s="24" t="s">
        <v>8447</v>
      </c>
      <c r="I59" s="24" t="s">
        <v>8696</v>
      </c>
      <c r="J59" s="23" t="s">
        <v>8697</v>
      </c>
      <c r="K59" s="26" t="s">
        <v>74</v>
      </c>
      <c r="L59" s="23" t="s">
        <v>8698</v>
      </c>
    </row>
    <row r="60" customFormat="false" ht="43.25" hidden="false" customHeight="false" outlineLevel="0" collapsed="false">
      <c r="A60" s="24" t="s">
        <v>8647</v>
      </c>
      <c r="B60" s="24" t="s">
        <v>8648</v>
      </c>
      <c r="C60" s="24" t="s">
        <v>8375</v>
      </c>
      <c r="D60" s="23" t="s">
        <v>8699</v>
      </c>
      <c r="E60" s="23" t="s">
        <v>8700</v>
      </c>
      <c r="F60" s="27" t="s">
        <v>8469</v>
      </c>
      <c r="G60" s="24" t="s">
        <v>74</v>
      </c>
      <c r="H60" s="24" t="s">
        <v>8447</v>
      </c>
      <c r="I60" s="24" t="s">
        <v>8701</v>
      </c>
      <c r="J60" s="23" t="s">
        <v>8702</v>
      </c>
      <c r="K60" s="27" t="s">
        <v>90</v>
      </c>
      <c r="L60" s="23" t="s">
        <v>8703</v>
      </c>
    </row>
    <row r="61" customFormat="false" ht="32.8" hidden="false" customHeight="false" outlineLevel="0" collapsed="false">
      <c r="A61" s="24" t="s">
        <v>8647</v>
      </c>
      <c r="B61" s="24" t="s">
        <v>8648</v>
      </c>
      <c r="C61" s="24" t="s">
        <v>8366</v>
      </c>
      <c r="D61" s="23" t="s">
        <v>8704</v>
      </c>
      <c r="E61" s="23" t="s">
        <v>8705</v>
      </c>
      <c r="F61" s="27" t="s">
        <v>8469</v>
      </c>
      <c r="G61" s="24" t="s">
        <v>90</v>
      </c>
      <c r="H61" s="24" t="s">
        <v>8447</v>
      </c>
      <c r="I61" s="24" t="s">
        <v>8706</v>
      </c>
      <c r="J61" s="23" t="s">
        <v>8490</v>
      </c>
      <c r="K61" s="27" t="s">
        <v>90</v>
      </c>
      <c r="L61" s="23" t="s">
        <v>8707</v>
      </c>
    </row>
    <row r="62" customFormat="false" ht="32.8" hidden="false" customHeight="false" outlineLevel="0" collapsed="false">
      <c r="A62" s="24" t="s">
        <v>8647</v>
      </c>
      <c r="B62" s="24" t="s">
        <v>8648</v>
      </c>
      <c r="C62" s="24" t="s">
        <v>8375</v>
      </c>
      <c r="D62" s="23" t="s">
        <v>8708</v>
      </c>
      <c r="E62" s="23" t="s">
        <v>8709</v>
      </c>
      <c r="F62" s="27" t="s">
        <v>8469</v>
      </c>
      <c r="G62" s="24" t="s">
        <v>90</v>
      </c>
      <c r="H62" s="24" t="s">
        <v>8447</v>
      </c>
      <c r="I62" s="24" t="s">
        <v>8710</v>
      </c>
      <c r="J62" s="23" t="s">
        <v>8490</v>
      </c>
      <c r="K62" s="26" t="s">
        <v>74</v>
      </c>
      <c r="L62" s="23" t="s">
        <v>8711</v>
      </c>
    </row>
    <row r="63" customFormat="false" ht="53.7" hidden="false" customHeight="false" outlineLevel="0" collapsed="false">
      <c r="A63" s="22" t="s">
        <v>8712</v>
      </c>
      <c r="B63" s="24" t="s">
        <v>8713</v>
      </c>
      <c r="C63" s="24" t="s">
        <v>8399</v>
      </c>
      <c r="D63" s="23" t="s">
        <v>8714</v>
      </c>
      <c r="E63" s="23" t="s">
        <v>8715</v>
      </c>
      <c r="F63" s="25" t="s">
        <v>8457</v>
      </c>
      <c r="G63" s="24" t="s">
        <v>90</v>
      </c>
      <c r="H63" s="24" t="s">
        <v>8458</v>
      </c>
      <c r="I63" s="24" t="s">
        <v>8716</v>
      </c>
      <c r="J63" s="23" t="s">
        <v>8717</v>
      </c>
      <c r="K63" s="26" t="s">
        <v>74</v>
      </c>
      <c r="L63" s="23" t="s">
        <v>8718</v>
      </c>
    </row>
    <row r="64" customFormat="false" ht="43.25" hidden="false" customHeight="false" outlineLevel="0" collapsed="false">
      <c r="A64" s="22" t="s">
        <v>8712</v>
      </c>
      <c r="B64" s="24" t="s">
        <v>8713</v>
      </c>
      <c r="C64" s="24" t="s">
        <v>8366</v>
      </c>
      <c r="D64" s="23" t="s">
        <v>8719</v>
      </c>
      <c r="E64" s="23" t="s">
        <v>8720</v>
      </c>
      <c r="F64" s="25" t="s">
        <v>8457</v>
      </c>
      <c r="G64" s="24" t="s">
        <v>74</v>
      </c>
      <c r="H64" s="24" t="s">
        <v>8458</v>
      </c>
      <c r="I64" s="24" t="s">
        <v>8721</v>
      </c>
      <c r="J64" s="23" t="s">
        <v>8449</v>
      </c>
      <c r="K64" s="30" t="s">
        <v>2225</v>
      </c>
      <c r="L64" s="23" t="s">
        <v>8722</v>
      </c>
    </row>
    <row r="65" customFormat="false" ht="53.7" hidden="false" customHeight="false" outlineLevel="0" collapsed="false">
      <c r="A65" s="22" t="s">
        <v>8712</v>
      </c>
      <c r="B65" s="24" t="s">
        <v>8713</v>
      </c>
      <c r="C65" s="24" t="s">
        <v>8366</v>
      </c>
      <c r="D65" s="23" t="s">
        <v>8719</v>
      </c>
      <c r="E65" s="23" t="s">
        <v>8723</v>
      </c>
      <c r="F65" s="25" t="s">
        <v>8457</v>
      </c>
      <c r="G65" s="24" t="s">
        <v>90</v>
      </c>
      <c r="H65" s="24" t="s">
        <v>8458</v>
      </c>
      <c r="I65" s="24" t="s">
        <v>8724</v>
      </c>
      <c r="J65" s="23" t="s">
        <v>8449</v>
      </c>
      <c r="K65" s="30" t="s">
        <v>2225</v>
      </c>
      <c r="L65" s="23" t="s">
        <v>8725</v>
      </c>
    </row>
    <row r="66" customFormat="false" ht="32.8" hidden="false" customHeight="false" outlineLevel="0" collapsed="false">
      <c r="A66" s="22" t="s">
        <v>8712</v>
      </c>
      <c r="B66" s="24" t="s">
        <v>8713</v>
      </c>
      <c r="C66" s="24" t="s">
        <v>8366</v>
      </c>
      <c r="D66" s="23" t="s">
        <v>8726</v>
      </c>
      <c r="E66" s="23" t="s">
        <v>8727</v>
      </c>
      <c r="F66" s="26" t="s">
        <v>8463</v>
      </c>
      <c r="G66" s="24" t="s">
        <v>119</v>
      </c>
      <c r="H66" s="24" t="s">
        <v>8506</v>
      </c>
      <c r="I66" s="24" t="s">
        <v>8728</v>
      </c>
      <c r="J66" s="23" t="s">
        <v>8449</v>
      </c>
      <c r="K66" s="30" t="s">
        <v>2225</v>
      </c>
      <c r="L66" s="23" t="s">
        <v>8729</v>
      </c>
    </row>
    <row r="67" customFormat="false" ht="32.8" hidden="false" customHeight="false" outlineLevel="0" collapsed="false">
      <c r="A67" s="22" t="s">
        <v>8712</v>
      </c>
      <c r="B67" s="24" t="s">
        <v>8713</v>
      </c>
      <c r="C67" s="24" t="s">
        <v>8399</v>
      </c>
      <c r="D67" s="23" t="s">
        <v>8730</v>
      </c>
      <c r="E67" s="23" t="s">
        <v>8731</v>
      </c>
      <c r="F67" s="26" t="s">
        <v>8463</v>
      </c>
      <c r="G67" s="24" t="s">
        <v>119</v>
      </c>
      <c r="H67" s="24" t="s">
        <v>8506</v>
      </c>
      <c r="I67" s="24" t="s">
        <v>8732</v>
      </c>
      <c r="J67" s="23" t="s">
        <v>8449</v>
      </c>
      <c r="K67" s="30" t="s">
        <v>2225</v>
      </c>
      <c r="L67" s="23" t="s">
        <v>8733</v>
      </c>
    </row>
    <row r="68" customFormat="false" ht="43.25" hidden="false" customHeight="false" outlineLevel="0" collapsed="false">
      <c r="A68" s="22" t="s">
        <v>8712</v>
      </c>
      <c r="B68" s="24" t="s">
        <v>8713</v>
      </c>
      <c r="C68" s="24" t="s">
        <v>8503</v>
      </c>
      <c r="D68" s="23" t="s">
        <v>8734</v>
      </c>
      <c r="E68" s="23" t="s">
        <v>8735</v>
      </c>
      <c r="F68" s="27" t="s">
        <v>8469</v>
      </c>
      <c r="G68" s="24" t="s">
        <v>74</v>
      </c>
      <c r="H68" s="24" t="s">
        <v>8447</v>
      </c>
      <c r="I68" s="24" t="s">
        <v>8736</v>
      </c>
      <c r="J68" s="23" t="s">
        <v>8449</v>
      </c>
      <c r="K68" s="30" t="s">
        <v>2225</v>
      </c>
      <c r="L68" s="23" t="s">
        <v>8737</v>
      </c>
    </row>
    <row r="69" customFormat="false" ht="32.8" hidden="false" customHeight="false" outlineLevel="0" collapsed="false">
      <c r="A69" s="22" t="s">
        <v>8712</v>
      </c>
      <c r="B69" s="24" t="s">
        <v>8713</v>
      </c>
      <c r="C69" s="24" t="s">
        <v>8367</v>
      </c>
      <c r="D69" s="23" t="s">
        <v>8738</v>
      </c>
      <c r="E69" s="23" t="s">
        <v>8739</v>
      </c>
      <c r="F69" s="27" t="s">
        <v>8469</v>
      </c>
      <c r="G69" s="24" t="s">
        <v>90</v>
      </c>
      <c r="H69" s="24" t="s">
        <v>8447</v>
      </c>
      <c r="I69" s="24" t="s">
        <v>8740</v>
      </c>
      <c r="J69" s="23" t="s">
        <v>8527</v>
      </c>
      <c r="K69" s="27" t="s">
        <v>90</v>
      </c>
      <c r="L69" s="23" t="s">
        <v>8741</v>
      </c>
    </row>
    <row r="70" customFormat="false" ht="32.8" hidden="false" customHeight="false" outlineLevel="0" collapsed="false">
      <c r="A70" s="22" t="s">
        <v>8712</v>
      </c>
      <c r="B70" s="24" t="s">
        <v>8713</v>
      </c>
      <c r="C70" s="24" t="s">
        <v>8366</v>
      </c>
      <c r="D70" s="23" t="s">
        <v>8742</v>
      </c>
      <c r="E70" s="23" t="s">
        <v>8743</v>
      </c>
      <c r="F70" s="27" t="s">
        <v>8469</v>
      </c>
      <c r="G70" s="24" t="s">
        <v>90</v>
      </c>
      <c r="H70" s="24" t="s">
        <v>8447</v>
      </c>
      <c r="I70" s="24" t="s">
        <v>8744</v>
      </c>
      <c r="J70" s="23" t="s">
        <v>8490</v>
      </c>
      <c r="K70" s="26" t="s">
        <v>74</v>
      </c>
      <c r="L70" s="23" t="s">
        <v>8745</v>
      </c>
    </row>
    <row r="71" customFormat="false" ht="32.8" hidden="false" customHeight="false" outlineLevel="0" collapsed="false">
      <c r="A71" s="22" t="s">
        <v>8712</v>
      </c>
      <c r="B71" s="24" t="s">
        <v>8713</v>
      </c>
      <c r="C71" s="24" t="s">
        <v>8366</v>
      </c>
      <c r="D71" s="23" t="s">
        <v>8746</v>
      </c>
      <c r="E71" s="23" t="s">
        <v>8747</v>
      </c>
      <c r="F71" s="27" t="s">
        <v>8469</v>
      </c>
      <c r="G71" s="24" t="s">
        <v>74</v>
      </c>
      <c r="H71" s="24" t="s">
        <v>8447</v>
      </c>
      <c r="I71" s="24" t="s">
        <v>8748</v>
      </c>
      <c r="J71" s="23" t="s">
        <v>8749</v>
      </c>
      <c r="K71" s="27" t="s">
        <v>90</v>
      </c>
      <c r="L71" s="23" t="s">
        <v>8750</v>
      </c>
    </row>
    <row r="72" customFormat="false" ht="32.8" hidden="false" customHeight="false" outlineLevel="0" collapsed="false">
      <c r="A72" s="22" t="s">
        <v>8712</v>
      </c>
      <c r="B72" s="24" t="s">
        <v>8713</v>
      </c>
      <c r="C72" s="24" t="s">
        <v>8503</v>
      </c>
      <c r="D72" s="23" t="s">
        <v>8751</v>
      </c>
      <c r="E72" s="23" t="s">
        <v>8752</v>
      </c>
      <c r="F72" s="27" t="s">
        <v>8469</v>
      </c>
      <c r="G72" s="24" t="s">
        <v>90</v>
      </c>
      <c r="H72" s="24" t="s">
        <v>8447</v>
      </c>
      <c r="I72" s="24" t="s">
        <v>8753</v>
      </c>
      <c r="J72" s="23" t="s">
        <v>8542</v>
      </c>
      <c r="K72" s="27" t="s">
        <v>90</v>
      </c>
      <c r="L72" s="23" t="s">
        <v>8754</v>
      </c>
    </row>
    <row r="73" customFormat="false" ht="32.8" hidden="false" customHeight="false" outlineLevel="0" collapsed="false">
      <c r="A73" s="22" t="s">
        <v>8712</v>
      </c>
      <c r="B73" s="24" t="s">
        <v>8713</v>
      </c>
      <c r="C73" s="24" t="s">
        <v>8366</v>
      </c>
      <c r="D73" s="23" t="s">
        <v>8755</v>
      </c>
      <c r="E73" s="23" t="s">
        <v>8756</v>
      </c>
      <c r="F73" s="27" t="s">
        <v>8469</v>
      </c>
      <c r="G73" s="24" t="s">
        <v>119</v>
      </c>
      <c r="H73" s="24" t="s">
        <v>8447</v>
      </c>
      <c r="I73" s="24" t="s">
        <v>8757</v>
      </c>
      <c r="J73" s="23" t="s">
        <v>8542</v>
      </c>
      <c r="K73" s="26" t="s">
        <v>74</v>
      </c>
      <c r="L73" s="23" t="s">
        <v>8758</v>
      </c>
    </row>
    <row r="74" customFormat="false" ht="43.25" hidden="false" customHeight="false" outlineLevel="0" collapsed="false">
      <c r="A74" s="24" t="s">
        <v>8759</v>
      </c>
      <c r="B74" s="24" t="s">
        <v>8760</v>
      </c>
      <c r="C74" s="24" t="s">
        <v>8424</v>
      </c>
      <c r="D74" s="23" t="s">
        <v>8761</v>
      </c>
      <c r="E74" s="23" t="s">
        <v>8762</v>
      </c>
      <c r="F74" s="28" t="s">
        <v>8446</v>
      </c>
      <c r="G74" s="24" t="s">
        <v>8599</v>
      </c>
      <c r="H74" s="24" t="s">
        <v>8458</v>
      </c>
      <c r="I74" s="24" t="s">
        <v>8763</v>
      </c>
      <c r="J74" s="23" t="s">
        <v>8449</v>
      </c>
      <c r="K74" s="30" t="s">
        <v>2225</v>
      </c>
      <c r="L74" s="23" t="s">
        <v>8764</v>
      </c>
    </row>
    <row r="75" customFormat="false" ht="32.8" hidden="false" customHeight="false" outlineLevel="0" collapsed="false">
      <c r="A75" s="24" t="s">
        <v>8759</v>
      </c>
      <c r="B75" s="24" t="s">
        <v>8760</v>
      </c>
      <c r="C75" s="24" t="s">
        <v>8399</v>
      </c>
      <c r="D75" s="23" t="s">
        <v>8765</v>
      </c>
      <c r="E75" s="23" t="s">
        <v>8766</v>
      </c>
      <c r="F75" s="26" t="s">
        <v>8463</v>
      </c>
      <c r="G75" s="24" t="s">
        <v>90</v>
      </c>
      <c r="H75" s="24" t="s">
        <v>8506</v>
      </c>
      <c r="I75" s="24" t="s">
        <v>8767</v>
      </c>
      <c r="J75" s="23" t="s">
        <v>8449</v>
      </c>
      <c r="K75" s="30" t="s">
        <v>2225</v>
      </c>
      <c r="L75" s="23" t="s">
        <v>8768</v>
      </c>
    </row>
    <row r="76" customFormat="false" ht="32.8" hidden="false" customHeight="false" outlineLevel="0" collapsed="false">
      <c r="A76" s="24" t="s">
        <v>8759</v>
      </c>
      <c r="B76" s="24" t="s">
        <v>8760</v>
      </c>
      <c r="C76" s="24" t="s">
        <v>8424</v>
      </c>
      <c r="D76" s="23" t="s">
        <v>8769</v>
      </c>
      <c r="E76" s="23" t="s">
        <v>8770</v>
      </c>
      <c r="F76" s="27" t="s">
        <v>8469</v>
      </c>
      <c r="G76" s="24" t="s">
        <v>74</v>
      </c>
      <c r="H76" s="24" t="s">
        <v>8458</v>
      </c>
      <c r="I76" s="24" t="s">
        <v>8771</v>
      </c>
      <c r="J76" s="23" t="s">
        <v>8449</v>
      </c>
      <c r="K76" s="30" t="s">
        <v>2225</v>
      </c>
      <c r="L76" s="23" t="s">
        <v>8772</v>
      </c>
    </row>
    <row r="77" customFormat="false" ht="32.8" hidden="false" customHeight="false" outlineLevel="0" collapsed="false">
      <c r="A77" s="24" t="s">
        <v>8759</v>
      </c>
      <c r="B77" s="24" t="s">
        <v>8760</v>
      </c>
      <c r="C77" s="24" t="s">
        <v>8367</v>
      </c>
      <c r="D77" s="23" t="s">
        <v>8773</v>
      </c>
      <c r="E77" s="23" t="s">
        <v>8739</v>
      </c>
      <c r="F77" s="27" t="s">
        <v>8469</v>
      </c>
      <c r="G77" s="24" t="s">
        <v>90</v>
      </c>
      <c r="H77" s="24" t="s">
        <v>8447</v>
      </c>
      <c r="I77" s="24" t="s">
        <v>8774</v>
      </c>
      <c r="J77" s="23" t="s">
        <v>8527</v>
      </c>
      <c r="K77" s="27" t="s">
        <v>90</v>
      </c>
      <c r="L77" s="23" t="s">
        <v>8775</v>
      </c>
    </row>
    <row r="78" customFormat="false" ht="32.8" hidden="false" customHeight="false" outlineLevel="0" collapsed="false">
      <c r="A78" s="24" t="s">
        <v>8759</v>
      </c>
      <c r="B78" s="24" t="s">
        <v>8760</v>
      </c>
      <c r="C78" s="24" t="s">
        <v>8399</v>
      </c>
      <c r="D78" s="23" t="s">
        <v>8776</v>
      </c>
      <c r="E78" s="23" t="s">
        <v>8777</v>
      </c>
      <c r="F78" s="27" t="s">
        <v>8469</v>
      </c>
      <c r="G78" s="24" t="s">
        <v>90</v>
      </c>
      <c r="H78" s="24" t="s">
        <v>8447</v>
      </c>
      <c r="I78" s="24" t="s">
        <v>8778</v>
      </c>
      <c r="J78" s="23" t="s">
        <v>8490</v>
      </c>
      <c r="K78" s="26" t="s">
        <v>74</v>
      </c>
      <c r="L78" s="23" t="s">
        <v>8779</v>
      </c>
    </row>
    <row r="79" customFormat="false" ht="32.8" hidden="false" customHeight="false" outlineLevel="0" collapsed="false">
      <c r="A79" s="24" t="s">
        <v>8759</v>
      </c>
      <c r="B79" s="24" t="s">
        <v>8760</v>
      </c>
      <c r="C79" s="24" t="s">
        <v>8503</v>
      </c>
      <c r="D79" s="23" t="s">
        <v>8780</v>
      </c>
      <c r="E79" s="23" t="s">
        <v>8752</v>
      </c>
      <c r="F79" s="27" t="s">
        <v>8469</v>
      </c>
      <c r="G79" s="24" t="s">
        <v>90</v>
      </c>
      <c r="H79" s="24" t="s">
        <v>8447</v>
      </c>
      <c r="I79" s="24" t="s">
        <v>8781</v>
      </c>
      <c r="J79" s="23" t="s">
        <v>8542</v>
      </c>
      <c r="K79" s="27" t="s">
        <v>90</v>
      </c>
      <c r="L79" s="23" t="s">
        <v>8754</v>
      </c>
    </row>
    <row r="80" customFormat="false" ht="43.25" hidden="false" customHeight="false" outlineLevel="0" collapsed="false">
      <c r="A80" s="22" t="s">
        <v>8782</v>
      </c>
      <c r="B80" s="24" t="s">
        <v>8783</v>
      </c>
      <c r="C80" s="24" t="s">
        <v>8366</v>
      </c>
      <c r="D80" s="23" t="s">
        <v>8784</v>
      </c>
      <c r="E80" s="23" t="s">
        <v>8785</v>
      </c>
      <c r="F80" s="28" t="s">
        <v>8446</v>
      </c>
      <c r="G80" s="24" t="s">
        <v>90</v>
      </c>
      <c r="H80" s="24" t="s">
        <v>8458</v>
      </c>
      <c r="I80" s="24" t="s">
        <v>8786</v>
      </c>
      <c r="J80" s="23" t="s">
        <v>8787</v>
      </c>
      <c r="K80" s="27" t="s">
        <v>90</v>
      </c>
      <c r="L80" s="23" t="s">
        <v>8788</v>
      </c>
    </row>
    <row r="81" customFormat="false" ht="32.8" hidden="false" customHeight="false" outlineLevel="0" collapsed="false">
      <c r="A81" s="22" t="s">
        <v>8782</v>
      </c>
      <c r="B81" s="24" t="s">
        <v>8783</v>
      </c>
      <c r="C81" s="24" t="s">
        <v>8366</v>
      </c>
      <c r="D81" s="23" t="s">
        <v>8789</v>
      </c>
      <c r="E81" s="23" t="s">
        <v>8790</v>
      </c>
      <c r="F81" s="25" t="s">
        <v>8457</v>
      </c>
      <c r="G81" s="24" t="s">
        <v>8599</v>
      </c>
      <c r="H81" s="24" t="s">
        <v>8458</v>
      </c>
      <c r="I81" s="24" t="s">
        <v>8791</v>
      </c>
      <c r="J81" s="23" t="s">
        <v>8792</v>
      </c>
      <c r="K81" s="27" t="s">
        <v>90</v>
      </c>
      <c r="L81" s="23" t="s">
        <v>8793</v>
      </c>
    </row>
    <row r="82" customFormat="false" ht="32.8" hidden="false" customHeight="false" outlineLevel="0" collapsed="false">
      <c r="A82" s="22" t="s">
        <v>8782</v>
      </c>
      <c r="B82" s="24" t="s">
        <v>8783</v>
      </c>
      <c r="C82" s="24" t="s">
        <v>8366</v>
      </c>
      <c r="D82" s="23" t="s">
        <v>8794</v>
      </c>
      <c r="E82" s="23" t="s">
        <v>8795</v>
      </c>
      <c r="F82" s="25" t="s">
        <v>8457</v>
      </c>
      <c r="G82" s="24" t="s">
        <v>90</v>
      </c>
      <c r="H82" s="24" t="s">
        <v>8458</v>
      </c>
      <c r="I82" s="24" t="s">
        <v>8796</v>
      </c>
      <c r="J82" s="23" t="s">
        <v>8797</v>
      </c>
      <c r="K82" s="27" t="s">
        <v>90</v>
      </c>
      <c r="L82" s="23" t="s">
        <v>8798</v>
      </c>
    </row>
    <row r="83" customFormat="false" ht="32.8" hidden="false" customHeight="false" outlineLevel="0" collapsed="false">
      <c r="A83" s="22" t="s">
        <v>8782</v>
      </c>
      <c r="B83" s="24" t="s">
        <v>8783</v>
      </c>
      <c r="C83" s="24" t="s">
        <v>8366</v>
      </c>
      <c r="D83" s="23" t="s">
        <v>8784</v>
      </c>
      <c r="E83" s="23" t="s">
        <v>8799</v>
      </c>
      <c r="F83" s="25" t="s">
        <v>8457</v>
      </c>
      <c r="G83" s="24" t="s">
        <v>90</v>
      </c>
      <c r="H83" s="24" t="s">
        <v>8458</v>
      </c>
      <c r="I83" s="24" t="s">
        <v>8800</v>
      </c>
      <c r="J83" s="23" t="s">
        <v>8801</v>
      </c>
      <c r="K83" s="27" t="s">
        <v>90</v>
      </c>
      <c r="L83" s="23" t="s">
        <v>8802</v>
      </c>
    </row>
    <row r="84" customFormat="false" ht="32.8" hidden="false" customHeight="false" outlineLevel="0" collapsed="false">
      <c r="A84" s="22" t="s">
        <v>8782</v>
      </c>
      <c r="B84" s="24" t="s">
        <v>8783</v>
      </c>
      <c r="C84" s="24" t="s">
        <v>8366</v>
      </c>
      <c r="D84" s="23" t="s">
        <v>8803</v>
      </c>
      <c r="E84" s="23" t="s">
        <v>8804</v>
      </c>
      <c r="F84" s="25" t="s">
        <v>8457</v>
      </c>
      <c r="G84" s="24" t="s">
        <v>90</v>
      </c>
      <c r="H84" s="24" t="s">
        <v>8458</v>
      </c>
      <c r="I84" s="24" t="s">
        <v>8805</v>
      </c>
      <c r="J84" s="23" t="s">
        <v>8806</v>
      </c>
      <c r="K84" s="27" t="s">
        <v>90</v>
      </c>
      <c r="L84" s="23" t="s">
        <v>8807</v>
      </c>
    </row>
    <row r="85" customFormat="false" ht="32.8" hidden="false" customHeight="false" outlineLevel="0" collapsed="false">
      <c r="A85" s="22" t="s">
        <v>8782</v>
      </c>
      <c r="B85" s="24" t="s">
        <v>8783</v>
      </c>
      <c r="C85" s="24" t="s">
        <v>8366</v>
      </c>
      <c r="D85" s="23" t="s">
        <v>8808</v>
      </c>
      <c r="E85" s="23" t="s">
        <v>8809</v>
      </c>
      <c r="F85" s="25" t="s">
        <v>8457</v>
      </c>
      <c r="G85" s="24" t="s">
        <v>90</v>
      </c>
      <c r="H85" s="24" t="s">
        <v>8458</v>
      </c>
      <c r="I85" s="24" t="s">
        <v>8810</v>
      </c>
      <c r="J85" s="23" t="s">
        <v>8811</v>
      </c>
      <c r="K85" s="26" t="s">
        <v>74</v>
      </c>
      <c r="L85" s="23" t="s">
        <v>8812</v>
      </c>
    </row>
    <row r="86" customFormat="false" ht="32.8" hidden="false" customHeight="false" outlineLevel="0" collapsed="false">
      <c r="A86" s="22" t="s">
        <v>8782</v>
      </c>
      <c r="B86" s="24" t="s">
        <v>8783</v>
      </c>
      <c r="C86" s="24" t="s">
        <v>8366</v>
      </c>
      <c r="D86" s="23" t="s">
        <v>8784</v>
      </c>
      <c r="E86" s="23" t="s">
        <v>8813</v>
      </c>
      <c r="F86" s="26" t="s">
        <v>8463</v>
      </c>
      <c r="G86" s="24" t="s">
        <v>90</v>
      </c>
      <c r="H86" s="24" t="s">
        <v>8506</v>
      </c>
      <c r="I86" s="24" t="s">
        <v>8814</v>
      </c>
      <c r="J86" s="23" t="s">
        <v>8581</v>
      </c>
      <c r="K86" s="27" t="s">
        <v>90</v>
      </c>
      <c r="L86" s="23" t="s">
        <v>8815</v>
      </c>
    </row>
    <row r="87" customFormat="false" ht="32.8" hidden="false" customHeight="false" outlineLevel="0" collapsed="false">
      <c r="A87" s="22" t="s">
        <v>8782</v>
      </c>
      <c r="B87" s="24" t="s">
        <v>8783</v>
      </c>
      <c r="C87" s="24" t="s">
        <v>8366</v>
      </c>
      <c r="D87" s="23" t="s">
        <v>8816</v>
      </c>
      <c r="E87" s="23" t="s">
        <v>8817</v>
      </c>
      <c r="F87" s="27" t="s">
        <v>8469</v>
      </c>
      <c r="G87" s="24" t="s">
        <v>90</v>
      </c>
      <c r="H87" s="24" t="s">
        <v>8447</v>
      </c>
      <c r="I87" s="24" t="s">
        <v>8818</v>
      </c>
      <c r="J87" s="23" t="s">
        <v>8490</v>
      </c>
      <c r="K87" s="27" t="s">
        <v>90</v>
      </c>
      <c r="L87" s="23" t="s">
        <v>8819</v>
      </c>
    </row>
    <row r="88" customFormat="false" ht="32.8" hidden="false" customHeight="false" outlineLevel="0" collapsed="false">
      <c r="A88" s="22" t="s">
        <v>8782</v>
      </c>
      <c r="B88" s="24" t="s">
        <v>8783</v>
      </c>
      <c r="C88" s="24" t="s">
        <v>8367</v>
      </c>
      <c r="D88" s="23" t="s">
        <v>8820</v>
      </c>
      <c r="E88" s="23" t="s">
        <v>8739</v>
      </c>
      <c r="F88" s="27" t="s">
        <v>8469</v>
      </c>
      <c r="G88" s="24" t="s">
        <v>90</v>
      </c>
      <c r="H88" s="24" t="s">
        <v>8447</v>
      </c>
      <c r="I88" s="24" t="s">
        <v>8821</v>
      </c>
      <c r="J88" s="23" t="s">
        <v>8527</v>
      </c>
      <c r="K88" s="27" t="s">
        <v>90</v>
      </c>
      <c r="L88" s="23" t="s">
        <v>8775</v>
      </c>
    </row>
    <row r="89" customFormat="false" ht="32.8" hidden="false" customHeight="false" outlineLevel="0" collapsed="false">
      <c r="A89" s="22" t="s">
        <v>8782</v>
      </c>
      <c r="B89" s="24" t="s">
        <v>8783</v>
      </c>
      <c r="C89" s="24" t="s">
        <v>8366</v>
      </c>
      <c r="D89" s="23" t="s">
        <v>8822</v>
      </c>
      <c r="E89" s="23" t="s">
        <v>8823</v>
      </c>
      <c r="F89" s="27" t="s">
        <v>8469</v>
      </c>
      <c r="G89" s="24" t="s">
        <v>74</v>
      </c>
      <c r="H89" s="24" t="s">
        <v>8447</v>
      </c>
      <c r="I89" s="24" t="s">
        <v>8824</v>
      </c>
      <c r="J89" s="23" t="s">
        <v>8749</v>
      </c>
      <c r="K89" s="27" t="s">
        <v>90</v>
      </c>
      <c r="L89" s="23" t="s">
        <v>8825</v>
      </c>
    </row>
    <row r="90" customFormat="false" ht="32.8" hidden="false" customHeight="false" outlineLevel="0" collapsed="false">
      <c r="A90" s="22" t="s">
        <v>8782</v>
      </c>
      <c r="B90" s="24" t="s">
        <v>8783</v>
      </c>
      <c r="C90" s="24" t="s">
        <v>8377</v>
      </c>
      <c r="D90" s="23" t="s">
        <v>8826</v>
      </c>
      <c r="E90" s="23" t="s">
        <v>8827</v>
      </c>
      <c r="F90" s="27" t="s">
        <v>8469</v>
      </c>
      <c r="G90" s="24" t="s">
        <v>90</v>
      </c>
      <c r="H90" s="24" t="s">
        <v>8447</v>
      </c>
      <c r="I90" s="24" t="s">
        <v>8828</v>
      </c>
      <c r="J90" s="23" t="s">
        <v>8829</v>
      </c>
      <c r="K90" s="26" t="s">
        <v>74</v>
      </c>
      <c r="L90" s="23" t="s">
        <v>8830</v>
      </c>
    </row>
    <row r="91" customFormat="false" ht="43.25" hidden="false" customHeight="false" outlineLevel="0" collapsed="false">
      <c r="A91" s="22" t="s">
        <v>8782</v>
      </c>
      <c r="B91" s="24" t="s">
        <v>8783</v>
      </c>
      <c r="C91" s="24" t="s">
        <v>8424</v>
      </c>
      <c r="D91" s="23" t="s">
        <v>8831</v>
      </c>
      <c r="E91" s="23" t="s">
        <v>8832</v>
      </c>
      <c r="F91" s="27" t="s">
        <v>8469</v>
      </c>
      <c r="G91" s="24" t="s">
        <v>74</v>
      </c>
      <c r="H91" s="24" t="s">
        <v>8447</v>
      </c>
      <c r="I91" s="24" t="s">
        <v>8833</v>
      </c>
      <c r="J91" s="23" t="s">
        <v>8449</v>
      </c>
      <c r="K91" s="30" t="s">
        <v>2225</v>
      </c>
      <c r="L91" s="23" t="s">
        <v>8834</v>
      </c>
    </row>
    <row r="92" customFormat="false" ht="43.25" hidden="false" customHeight="false" outlineLevel="0" collapsed="false">
      <c r="A92" s="24" t="s">
        <v>8835</v>
      </c>
      <c r="B92" s="24" t="s">
        <v>8836</v>
      </c>
      <c r="C92" s="24" t="s">
        <v>8503</v>
      </c>
      <c r="D92" s="23" t="s">
        <v>8837</v>
      </c>
      <c r="E92" s="23" t="s">
        <v>8838</v>
      </c>
      <c r="F92" s="28" t="s">
        <v>8446</v>
      </c>
      <c r="G92" s="24" t="s">
        <v>74</v>
      </c>
      <c r="H92" s="24" t="s">
        <v>8447</v>
      </c>
      <c r="I92" s="24" t="s">
        <v>8839</v>
      </c>
      <c r="J92" s="23" t="s">
        <v>8668</v>
      </c>
      <c r="K92" s="26" t="s">
        <v>74</v>
      </c>
      <c r="L92" s="23" t="s">
        <v>8840</v>
      </c>
    </row>
    <row r="93" customFormat="false" ht="32.8" hidden="false" customHeight="false" outlineLevel="0" collapsed="false">
      <c r="A93" s="24" t="s">
        <v>8835</v>
      </c>
      <c r="B93" s="24" t="s">
        <v>8836</v>
      </c>
      <c r="C93" s="24" t="s">
        <v>8503</v>
      </c>
      <c r="D93" s="23" t="s">
        <v>8841</v>
      </c>
      <c r="E93" s="23" t="s">
        <v>8842</v>
      </c>
      <c r="F93" s="28" t="s">
        <v>8446</v>
      </c>
      <c r="G93" s="24" t="s">
        <v>119</v>
      </c>
      <c r="H93" s="24" t="s">
        <v>8447</v>
      </c>
      <c r="I93" s="24" t="s">
        <v>8843</v>
      </c>
      <c r="J93" s="23" t="s">
        <v>8449</v>
      </c>
      <c r="K93" s="30" t="s">
        <v>2225</v>
      </c>
      <c r="L93" s="23" t="s">
        <v>8844</v>
      </c>
    </row>
    <row r="94" customFormat="false" ht="43.25" hidden="false" customHeight="false" outlineLevel="0" collapsed="false">
      <c r="A94" s="24" t="s">
        <v>8835</v>
      </c>
      <c r="B94" s="24" t="s">
        <v>8836</v>
      </c>
      <c r="C94" s="24" t="s">
        <v>8366</v>
      </c>
      <c r="D94" s="23" t="s">
        <v>8845</v>
      </c>
      <c r="E94" s="23" t="s">
        <v>8846</v>
      </c>
      <c r="F94" s="25" t="s">
        <v>8457</v>
      </c>
      <c r="G94" s="24" t="s">
        <v>74</v>
      </c>
      <c r="H94" s="24" t="s">
        <v>8458</v>
      </c>
      <c r="I94" s="24" t="s">
        <v>8847</v>
      </c>
      <c r="J94" s="23" t="s">
        <v>8449</v>
      </c>
      <c r="K94" s="30" t="s">
        <v>2225</v>
      </c>
      <c r="L94" s="23" t="s">
        <v>8848</v>
      </c>
    </row>
    <row r="95" customFormat="false" ht="43.25" hidden="false" customHeight="false" outlineLevel="0" collapsed="false">
      <c r="A95" s="24" t="s">
        <v>8835</v>
      </c>
      <c r="B95" s="24" t="s">
        <v>8836</v>
      </c>
      <c r="C95" s="24" t="s">
        <v>8377</v>
      </c>
      <c r="D95" s="23" t="s">
        <v>8849</v>
      </c>
      <c r="E95" s="23" t="s">
        <v>8850</v>
      </c>
      <c r="F95" s="27" t="s">
        <v>8469</v>
      </c>
      <c r="G95" s="24" t="s">
        <v>74</v>
      </c>
      <c r="H95" s="24" t="s">
        <v>8506</v>
      </c>
      <c r="I95" s="24" t="s">
        <v>8851</v>
      </c>
      <c r="J95" s="23" t="s">
        <v>8449</v>
      </c>
      <c r="K95" s="30" t="s">
        <v>2225</v>
      </c>
      <c r="L95" s="23" t="s">
        <v>8852</v>
      </c>
    </row>
    <row r="96" customFormat="false" ht="32.8" hidden="false" customHeight="false" outlineLevel="0" collapsed="false">
      <c r="A96" s="24" t="s">
        <v>8835</v>
      </c>
      <c r="B96" s="24" t="s">
        <v>8836</v>
      </c>
      <c r="C96" s="24" t="s">
        <v>8372</v>
      </c>
      <c r="D96" s="23" t="s">
        <v>8853</v>
      </c>
      <c r="E96" s="23" t="s">
        <v>8854</v>
      </c>
      <c r="F96" s="27" t="s">
        <v>8469</v>
      </c>
      <c r="G96" s="24" t="s">
        <v>119</v>
      </c>
      <c r="H96" s="24" t="s">
        <v>8506</v>
      </c>
      <c r="I96" s="24" t="s">
        <v>8855</v>
      </c>
      <c r="J96" s="23" t="s">
        <v>8449</v>
      </c>
      <c r="K96" s="30" t="s">
        <v>2225</v>
      </c>
      <c r="L96" s="23" t="s">
        <v>8856</v>
      </c>
    </row>
    <row r="97" customFormat="false" ht="32.8" hidden="false" customHeight="false" outlineLevel="0" collapsed="false">
      <c r="A97" s="24" t="s">
        <v>8835</v>
      </c>
      <c r="B97" s="24" t="s">
        <v>8836</v>
      </c>
      <c r="C97" s="24" t="s">
        <v>8366</v>
      </c>
      <c r="D97" s="23" t="s">
        <v>8857</v>
      </c>
      <c r="E97" s="23" t="s">
        <v>8858</v>
      </c>
      <c r="F97" s="27" t="s">
        <v>8469</v>
      </c>
      <c r="G97" s="24" t="s">
        <v>74</v>
      </c>
      <c r="H97" s="24" t="s">
        <v>8458</v>
      </c>
      <c r="I97" s="24" t="s">
        <v>8859</v>
      </c>
      <c r="J97" s="23" t="s">
        <v>8449</v>
      </c>
      <c r="K97" s="30" t="s">
        <v>2225</v>
      </c>
      <c r="L97" s="23" t="s">
        <v>8860</v>
      </c>
    </row>
    <row r="98" customFormat="false" ht="64.15" hidden="false" customHeight="false" outlineLevel="0" collapsed="false">
      <c r="A98" s="22" t="s">
        <v>8861</v>
      </c>
      <c r="B98" s="24" t="s">
        <v>8862</v>
      </c>
      <c r="C98" s="24" t="s">
        <v>8503</v>
      </c>
      <c r="D98" s="23" t="s">
        <v>8863</v>
      </c>
      <c r="E98" s="23" t="s">
        <v>8864</v>
      </c>
      <c r="F98" s="27" t="s">
        <v>8469</v>
      </c>
      <c r="G98" s="24" t="s">
        <v>119</v>
      </c>
      <c r="H98" s="24" t="s">
        <v>8458</v>
      </c>
      <c r="I98" s="24" t="s">
        <v>8865</v>
      </c>
      <c r="J98" s="23" t="s">
        <v>8449</v>
      </c>
      <c r="K98" s="30" t="s">
        <v>2225</v>
      </c>
      <c r="L98" s="23" t="s">
        <v>8866</v>
      </c>
    </row>
    <row r="99" customFormat="false" ht="32.8" hidden="false" customHeight="false" outlineLevel="0" collapsed="false">
      <c r="A99" s="24" t="s">
        <v>8867</v>
      </c>
      <c r="B99" s="24" t="s">
        <v>8868</v>
      </c>
      <c r="C99" s="24" t="s">
        <v>8366</v>
      </c>
      <c r="D99" s="23" t="s">
        <v>8869</v>
      </c>
      <c r="E99" s="23" t="s">
        <v>8870</v>
      </c>
      <c r="F99" s="28" t="s">
        <v>8446</v>
      </c>
      <c r="G99" s="24" t="s">
        <v>90</v>
      </c>
      <c r="H99" s="24" t="s">
        <v>8458</v>
      </c>
      <c r="I99" s="24" t="s">
        <v>8871</v>
      </c>
      <c r="J99" s="23" t="s">
        <v>8549</v>
      </c>
      <c r="K99" s="27" t="s">
        <v>90</v>
      </c>
      <c r="L99" s="23" t="s">
        <v>8872</v>
      </c>
    </row>
    <row r="100" customFormat="false" ht="43.25" hidden="false" customHeight="false" outlineLevel="0" collapsed="false">
      <c r="A100" s="24" t="s">
        <v>8867</v>
      </c>
      <c r="B100" s="24" t="s">
        <v>8868</v>
      </c>
      <c r="C100" s="24" t="s">
        <v>8366</v>
      </c>
      <c r="D100" s="23" t="s">
        <v>8873</v>
      </c>
      <c r="E100" s="23" t="s">
        <v>8874</v>
      </c>
      <c r="F100" s="25" t="s">
        <v>8457</v>
      </c>
      <c r="G100" s="24" t="s">
        <v>90</v>
      </c>
      <c r="H100" s="24" t="s">
        <v>8458</v>
      </c>
      <c r="I100" s="24" t="s">
        <v>8875</v>
      </c>
      <c r="J100" s="23" t="s">
        <v>8806</v>
      </c>
      <c r="K100" s="26" t="s">
        <v>74</v>
      </c>
      <c r="L100" s="23" t="s">
        <v>8876</v>
      </c>
    </row>
    <row r="101" customFormat="false" ht="43.25" hidden="false" customHeight="false" outlineLevel="0" collapsed="false">
      <c r="A101" s="24" t="s">
        <v>8867</v>
      </c>
      <c r="B101" s="24" t="s">
        <v>8868</v>
      </c>
      <c r="C101" s="24" t="s">
        <v>8366</v>
      </c>
      <c r="D101" s="23" t="s">
        <v>8877</v>
      </c>
      <c r="E101" s="23" t="s">
        <v>8878</v>
      </c>
      <c r="F101" s="25" t="s">
        <v>8457</v>
      </c>
      <c r="G101" s="24" t="s">
        <v>74</v>
      </c>
      <c r="H101" s="24" t="s">
        <v>8458</v>
      </c>
      <c r="I101" s="24" t="s">
        <v>8879</v>
      </c>
      <c r="J101" s="23" t="s">
        <v>8880</v>
      </c>
      <c r="K101" s="26" t="s">
        <v>74</v>
      </c>
      <c r="L101" s="23" t="s">
        <v>8881</v>
      </c>
    </row>
    <row r="102" customFormat="false" ht="32.8" hidden="false" customHeight="false" outlineLevel="0" collapsed="false">
      <c r="A102" s="24" t="s">
        <v>8867</v>
      </c>
      <c r="B102" s="24" t="s">
        <v>8868</v>
      </c>
      <c r="C102" s="24" t="s">
        <v>8366</v>
      </c>
      <c r="D102" s="23" t="s">
        <v>8882</v>
      </c>
      <c r="E102" s="23" t="s">
        <v>8883</v>
      </c>
      <c r="F102" s="25" t="s">
        <v>8457</v>
      </c>
      <c r="G102" s="24" t="s">
        <v>90</v>
      </c>
      <c r="H102" s="24" t="s">
        <v>8458</v>
      </c>
      <c r="I102" s="24" t="s">
        <v>8884</v>
      </c>
      <c r="J102" s="23" t="s">
        <v>8885</v>
      </c>
      <c r="K102" s="27" t="s">
        <v>90</v>
      </c>
      <c r="L102" s="23" t="s">
        <v>8886</v>
      </c>
    </row>
    <row r="103" customFormat="false" ht="22.35" hidden="false" customHeight="false" outlineLevel="0" collapsed="false">
      <c r="A103" s="24" t="s">
        <v>8867</v>
      </c>
      <c r="B103" s="24" t="s">
        <v>8868</v>
      </c>
      <c r="C103" s="24" t="s">
        <v>8375</v>
      </c>
      <c r="D103" s="23" t="s">
        <v>8615</v>
      </c>
      <c r="E103" s="23" t="s">
        <v>8571</v>
      </c>
      <c r="F103" s="26" t="s">
        <v>8463</v>
      </c>
      <c r="G103" s="24" t="s">
        <v>90</v>
      </c>
      <c r="H103" s="24" t="s">
        <v>8506</v>
      </c>
      <c r="I103" s="24" t="s">
        <v>8887</v>
      </c>
      <c r="J103" s="23" t="s">
        <v>8573</v>
      </c>
      <c r="K103" s="27" t="s">
        <v>90</v>
      </c>
      <c r="L103" s="23" t="s">
        <v>8686</v>
      </c>
    </row>
    <row r="104" customFormat="false" ht="43.25" hidden="false" customHeight="false" outlineLevel="0" collapsed="false">
      <c r="A104" s="24" t="s">
        <v>8867</v>
      </c>
      <c r="B104" s="24" t="s">
        <v>8868</v>
      </c>
      <c r="C104" s="24" t="s">
        <v>8375</v>
      </c>
      <c r="D104" s="23" t="s">
        <v>8615</v>
      </c>
      <c r="E104" s="23" t="s">
        <v>8888</v>
      </c>
      <c r="F104" s="26" t="s">
        <v>8463</v>
      </c>
      <c r="G104" s="24" t="s">
        <v>90</v>
      </c>
      <c r="H104" s="24" t="s">
        <v>8506</v>
      </c>
      <c r="I104" s="24" t="s">
        <v>8889</v>
      </c>
      <c r="J104" s="23" t="s">
        <v>8449</v>
      </c>
      <c r="K104" s="30" t="s">
        <v>2225</v>
      </c>
      <c r="L104" s="23" t="s">
        <v>8890</v>
      </c>
    </row>
    <row r="105" customFormat="false" ht="32.8" hidden="false" customHeight="false" outlineLevel="0" collapsed="false">
      <c r="A105" s="24" t="s">
        <v>8867</v>
      </c>
      <c r="B105" s="24" t="s">
        <v>8868</v>
      </c>
      <c r="C105" s="24" t="s">
        <v>8375</v>
      </c>
      <c r="D105" s="23" t="s">
        <v>8615</v>
      </c>
      <c r="E105" s="23" t="s">
        <v>8891</v>
      </c>
      <c r="F105" s="26" t="s">
        <v>8463</v>
      </c>
      <c r="G105" s="24" t="s">
        <v>90</v>
      </c>
      <c r="H105" s="24" t="s">
        <v>8506</v>
      </c>
      <c r="I105" s="24" t="s">
        <v>8892</v>
      </c>
      <c r="J105" s="23" t="s">
        <v>8449</v>
      </c>
      <c r="K105" s="30" t="s">
        <v>2225</v>
      </c>
      <c r="L105" s="23" t="s">
        <v>8689</v>
      </c>
    </row>
    <row r="106" customFormat="false" ht="43.25" hidden="false" customHeight="false" outlineLevel="0" collapsed="false">
      <c r="A106" s="24" t="s">
        <v>8867</v>
      </c>
      <c r="B106" s="24" t="s">
        <v>8868</v>
      </c>
      <c r="C106" s="24" t="s">
        <v>8366</v>
      </c>
      <c r="D106" s="23" t="s">
        <v>8893</v>
      </c>
      <c r="E106" s="23" t="s">
        <v>8894</v>
      </c>
      <c r="F106" s="26" t="s">
        <v>8463</v>
      </c>
      <c r="G106" s="24" t="s">
        <v>119</v>
      </c>
      <c r="H106" s="24" t="s">
        <v>8506</v>
      </c>
      <c r="I106" s="24" t="s">
        <v>8895</v>
      </c>
      <c r="J106" s="23" t="s">
        <v>8581</v>
      </c>
      <c r="K106" s="26" t="s">
        <v>74</v>
      </c>
      <c r="L106" s="23" t="s">
        <v>8896</v>
      </c>
    </row>
    <row r="107" customFormat="false" ht="32.8" hidden="false" customHeight="false" outlineLevel="0" collapsed="false">
      <c r="A107" s="24" t="s">
        <v>8867</v>
      </c>
      <c r="B107" s="24" t="s">
        <v>8868</v>
      </c>
      <c r="C107" s="24" t="s">
        <v>8366</v>
      </c>
      <c r="D107" s="23" t="s">
        <v>8897</v>
      </c>
      <c r="E107" s="23" t="s">
        <v>8898</v>
      </c>
      <c r="F107" s="27" t="s">
        <v>8469</v>
      </c>
      <c r="G107" s="24" t="s">
        <v>74</v>
      </c>
      <c r="H107" s="24" t="s">
        <v>8458</v>
      </c>
      <c r="I107" s="24" t="s">
        <v>8899</v>
      </c>
      <c r="J107" s="23" t="s">
        <v>8449</v>
      </c>
      <c r="K107" s="30" t="s">
        <v>2225</v>
      </c>
      <c r="L107" s="23" t="s">
        <v>8900</v>
      </c>
    </row>
    <row r="108" customFormat="false" ht="53.7" hidden="false" customHeight="false" outlineLevel="0" collapsed="false">
      <c r="A108" s="24" t="s">
        <v>8867</v>
      </c>
      <c r="B108" s="24" t="s">
        <v>8868</v>
      </c>
      <c r="C108" s="24" t="s">
        <v>8372</v>
      </c>
      <c r="D108" s="23" t="s">
        <v>8901</v>
      </c>
      <c r="E108" s="23" t="s">
        <v>8902</v>
      </c>
      <c r="F108" s="27" t="s">
        <v>8469</v>
      </c>
      <c r="G108" s="24" t="s">
        <v>90</v>
      </c>
      <c r="H108" s="24" t="s">
        <v>8447</v>
      </c>
      <c r="I108" s="24" t="s">
        <v>8903</v>
      </c>
      <c r="J108" s="23" t="s">
        <v>8449</v>
      </c>
      <c r="K108" s="30" t="s">
        <v>2225</v>
      </c>
      <c r="L108" s="23" t="s">
        <v>8904</v>
      </c>
    </row>
    <row r="109" customFormat="false" ht="43.25" hidden="false" customHeight="false" outlineLevel="0" collapsed="false">
      <c r="A109" s="24" t="s">
        <v>8867</v>
      </c>
      <c r="B109" s="24" t="s">
        <v>8868</v>
      </c>
      <c r="C109" s="24" t="s">
        <v>8375</v>
      </c>
      <c r="D109" s="23" t="s">
        <v>8905</v>
      </c>
      <c r="E109" s="23" t="s">
        <v>8906</v>
      </c>
      <c r="F109" s="27" t="s">
        <v>8469</v>
      </c>
      <c r="G109" s="24" t="s">
        <v>90</v>
      </c>
      <c r="H109" s="24" t="s">
        <v>8447</v>
      </c>
      <c r="I109" s="24" t="s">
        <v>8907</v>
      </c>
      <c r="J109" s="23" t="s">
        <v>8697</v>
      </c>
      <c r="K109" s="26" t="s">
        <v>74</v>
      </c>
      <c r="L109" s="23" t="s">
        <v>8908</v>
      </c>
    </row>
    <row r="110" customFormat="false" ht="32.8" hidden="false" customHeight="false" outlineLevel="0" collapsed="false">
      <c r="A110" s="24" t="s">
        <v>8867</v>
      </c>
      <c r="B110" s="24" t="s">
        <v>8868</v>
      </c>
      <c r="C110" s="24" t="s">
        <v>8375</v>
      </c>
      <c r="D110" s="23" t="s">
        <v>8909</v>
      </c>
      <c r="E110" s="23" t="s">
        <v>8910</v>
      </c>
      <c r="F110" s="27" t="s">
        <v>8469</v>
      </c>
      <c r="G110" s="24" t="s">
        <v>90</v>
      </c>
      <c r="H110" s="24" t="s">
        <v>8447</v>
      </c>
      <c r="I110" s="24" t="s">
        <v>8911</v>
      </c>
      <c r="J110" s="23" t="s">
        <v>8490</v>
      </c>
      <c r="K110" s="27" t="s">
        <v>90</v>
      </c>
      <c r="L110" s="23" t="s">
        <v>8639</v>
      </c>
    </row>
    <row r="111" customFormat="false" ht="43.25" hidden="false" customHeight="false" outlineLevel="0" collapsed="false">
      <c r="A111" s="24" t="s">
        <v>8867</v>
      </c>
      <c r="B111" s="24" t="s">
        <v>8868</v>
      </c>
      <c r="C111" s="24" t="s">
        <v>8375</v>
      </c>
      <c r="D111" s="23" t="s">
        <v>8912</v>
      </c>
      <c r="E111" s="23" t="s">
        <v>8913</v>
      </c>
      <c r="F111" s="27" t="s">
        <v>8469</v>
      </c>
      <c r="G111" s="24" t="s">
        <v>90</v>
      </c>
      <c r="H111" s="24" t="s">
        <v>8447</v>
      </c>
      <c r="I111" s="24" t="s">
        <v>8914</v>
      </c>
      <c r="J111" s="23" t="s">
        <v>8449</v>
      </c>
      <c r="K111" s="30" t="s">
        <v>2225</v>
      </c>
      <c r="L111" s="23" t="s">
        <v>8915</v>
      </c>
    </row>
  </sheetData>
  <autoFilter ref="A4:L111"/>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28"/>
    <col collapsed="false" customWidth="true" hidden="false" outlineLevel="0" max="3" min="2" style="1" width="20"/>
    <col collapsed="false" customWidth="true" hidden="false" outlineLevel="0" max="4" min="4" style="1" width="26"/>
    <col collapsed="false" customWidth="true" hidden="false" outlineLevel="0" max="5" min="5" style="1" width="20"/>
    <col collapsed="false" customWidth="true" hidden="false" outlineLevel="0" max="6" min="6" style="1" width="14"/>
    <col collapsed="false" customWidth="true" hidden="false" outlineLevel="0" max="8" min="7" style="1" width="42"/>
  </cols>
  <sheetData>
    <row r="1" customFormat="false" ht="18" hidden="false" customHeight="true" outlineLevel="0" collapsed="false">
      <c r="A1" s="7" t="s">
        <v>8916</v>
      </c>
    </row>
    <row r="2" customFormat="false" ht="15" hidden="false" customHeight="true" outlineLevel="0" collapsed="false">
      <c r="A2" s="3" t="s">
        <v>8917</v>
      </c>
    </row>
    <row r="4" customFormat="false" ht="15" hidden="false" customHeight="true" outlineLevel="0" collapsed="false">
      <c r="A4" s="31" t="s">
        <v>8918</v>
      </c>
    </row>
    <row r="5" customFormat="false" ht="25.5" hidden="false" customHeight="true" outlineLevel="0" collapsed="false">
      <c r="A5" s="8" t="s">
        <v>8919</v>
      </c>
      <c r="B5" s="8" t="s">
        <v>8920</v>
      </c>
      <c r="C5" s="8" t="s">
        <v>8921</v>
      </c>
      <c r="D5" s="8" t="s">
        <v>8922</v>
      </c>
      <c r="E5" s="8" t="s">
        <v>8923</v>
      </c>
      <c r="F5" s="8" t="s">
        <v>2326</v>
      </c>
      <c r="G5" s="8" t="s">
        <v>8924</v>
      </c>
      <c r="H5" s="8" t="s">
        <v>8925</v>
      </c>
    </row>
    <row r="6" customFormat="false" ht="45.75" hidden="false" customHeight="true" outlineLevel="0" collapsed="false">
      <c r="A6" s="10" t="s">
        <v>8926</v>
      </c>
      <c r="B6" s="10" t="s">
        <v>8927</v>
      </c>
      <c r="C6" s="10" t="s">
        <v>8928</v>
      </c>
      <c r="D6" s="10" t="s">
        <v>8929</v>
      </c>
      <c r="E6" s="10" t="s">
        <v>8930</v>
      </c>
      <c r="F6" s="10" t="s">
        <v>119</v>
      </c>
      <c r="G6" s="10" t="s">
        <v>8931</v>
      </c>
      <c r="H6" s="10" t="s">
        <v>8932</v>
      </c>
    </row>
    <row r="7" customFormat="false" ht="45.75" hidden="false" customHeight="true" outlineLevel="0" collapsed="false">
      <c r="A7" s="10" t="s">
        <v>8933</v>
      </c>
      <c r="B7" s="10" t="s">
        <v>8934</v>
      </c>
      <c r="C7" s="10" t="s">
        <v>8935</v>
      </c>
      <c r="D7" s="10" t="s">
        <v>8936</v>
      </c>
      <c r="E7" s="10" t="s">
        <v>8937</v>
      </c>
      <c r="F7" s="10" t="s">
        <v>8938</v>
      </c>
      <c r="G7" s="10" t="s">
        <v>8939</v>
      </c>
      <c r="H7" s="10" t="s">
        <v>8940</v>
      </c>
    </row>
    <row r="8" customFormat="false" ht="45.75" hidden="false" customHeight="true" outlineLevel="0" collapsed="false">
      <c r="A8" s="10" t="s">
        <v>8941</v>
      </c>
      <c r="B8" s="10" t="s">
        <v>8942</v>
      </c>
      <c r="C8" s="10" t="s">
        <v>8943</v>
      </c>
      <c r="D8" s="10" t="s">
        <v>8944</v>
      </c>
      <c r="E8" s="10" t="s">
        <v>8945</v>
      </c>
      <c r="F8" s="10" t="s">
        <v>90</v>
      </c>
      <c r="G8" s="10" t="s">
        <v>8946</v>
      </c>
      <c r="H8" s="10" t="s">
        <v>8947</v>
      </c>
    </row>
    <row r="9" customFormat="false" ht="45.75" hidden="false" customHeight="true" outlineLevel="0" collapsed="false">
      <c r="A9" s="10" t="s">
        <v>8948</v>
      </c>
      <c r="B9" s="10" t="s">
        <v>8949</v>
      </c>
      <c r="C9" s="10" t="s">
        <v>8950</v>
      </c>
      <c r="D9" s="10" t="s">
        <v>2225</v>
      </c>
      <c r="E9" s="10" t="s">
        <v>8951</v>
      </c>
      <c r="F9" s="10" t="s">
        <v>8952</v>
      </c>
      <c r="G9" s="10" t="s">
        <v>8953</v>
      </c>
      <c r="H9" s="10" t="s">
        <v>8954</v>
      </c>
    </row>
    <row r="10" customFormat="false" ht="45.75" hidden="false" customHeight="true" outlineLevel="0" collapsed="false">
      <c r="A10" s="10" t="s">
        <v>8955</v>
      </c>
      <c r="B10" s="10" t="s">
        <v>8956</v>
      </c>
      <c r="C10" s="10" t="s">
        <v>8935</v>
      </c>
      <c r="D10" s="10" t="s">
        <v>2225</v>
      </c>
      <c r="E10" s="10" t="s">
        <v>8956</v>
      </c>
      <c r="F10" s="10" t="s">
        <v>119</v>
      </c>
      <c r="G10" s="10" t="s">
        <v>8957</v>
      </c>
      <c r="H10" s="10" t="s">
        <v>8958</v>
      </c>
    </row>
    <row r="11" customFormat="false" ht="45.75" hidden="false" customHeight="true" outlineLevel="0" collapsed="false">
      <c r="A11" s="10" t="s">
        <v>8959</v>
      </c>
      <c r="B11" s="10" t="s">
        <v>8960</v>
      </c>
      <c r="C11" s="10" t="s">
        <v>8961</v>
      </c>
      <c r="D11" s="10" t="s">
        <v>2225</v>
      </c>
      <c r="E11" s="10" t="s">
        <v>8962</v>
      </c>
      <c r="F11" s="10" t="s">
        <v>8952</v>
      </c>
      <c r="G11" s="10" t="s">
        <v>8963</v>
      </c>
      <c r="H11" s="10" t="s">
        <v>8964</v>
      </c>
    </row>
    <row r="12" customFormat="false" ht="45.75" hidden="false" customHeight="true" outlineLevel="0" collapsed="false">
      <c r="A12" s="10" t="s">
        <v>8965</v>
      </c>
      <c r="B12" s="10" t="s">
        <v>8927</v>
      </c>
      <c r="C12" s="10" t="s">
        <v>8966</v>
      </c>
      <c r="D12" s="10" t="s">
        <v>2225</v>
      </c>
      <c r="E12" s="10" t="s">
        <v>8967</v>
      </c>
      <c r="F12" s="10" t="s">
        <v>119</v>
      </c>
      <c r="G12" s="10" t="s">
        <v>8968</v>
      </c>
      <c r="H12" s="10" t="s">
        <v>8969</v>
      </c>
    </row>
    <row r="13" customFormat="false" ht="45.75" hidden="false" customHeight="true" outlineLevel="0" collapsed="false">
      <c r="A13" s="10" t="s">
        <v>8970</v>
      </c>
      <c r="B13" s="10" t="s">
        <v>8971</v>
      </c>
      <c r="C13" s="10" t="s">
        <v>8972</v>
      </c>
      <c r="D13" s="10" t="s">
        <v>8973</v>
      </c>
      <c r="E13" s="10" t="s">
        <v>8974</v>
      </c>
      <c r="F13" s="10" t="s">
        <v>8975</v>
      </c>
      <c r="G13" s="10" t="s">
        <v>8976</v>
      </c>
      <c r="H13" s="10" t="s">
        <v>8977</v>
      </c>
    </row>
    <row r="14" customFormat="false" ht="45.75" hidden="false" customHeight="true" outlineLevel="0" collapsed="false">
      <c r="A14" s="10" t="s">
        <v>8978</v>
      </c>
      <c r="B14" s="10" t="s">
        <v>8979</v>
      </c>
      <c r="C14" s="10" t="s">
        <v>8980</v>
      </c>
      <c r="D14" s="10" t="s">
        <v>119</v>
      </c>
      <c r="E14" s="10" t="s">
        <v>8981</v>
      </c>
      <c r="F14" s="10" t="s">
        <v>8975</v>
      </c>
      <c r="G14" s="10" t="s">
        <v>8982</v>
      </c>
      <c r="H14" s="10" t="s">
        <v>8983</v>
      </c>
    </row>
    <row r="15" customFormat="false" ht="45.75" hidden="false" customHeight="true" outlineLevel="0" collapsed="false">
      <c r="A15" s="10" t="s">
        <v>8984</v>
      </c>
      <c r="B15" s="10" t="s">
        <v>8985</v>
      </c>
      <c r="C15" s="10" t="s">
        <v>8986</v>
      </c>
      <c r="D15" s="10" t="s">
        <v>8987</v>
      </c>
      <c r="E15" s="10" t="s">
        <v>8988</v>
      </c>
      <c r="F15" s="10" t="s">
        <v>119</v>
      </c>
      <c r="G15" s="10" t="s">
        <v>8989</v>
      </c>
      <c r="H15" s="10" t="s">
        <v>8990</v>
      </c>
    </row>
    <row r="16" customFormat="false" ht="45.75" hidden="false" customHeight="true" outlineLevel="0" collapsed="false">
      <c r="A16" s="10" t="s">
        <v>8991</v>
      </c>
      <c r="B16" s="10" t="s">
        <v>8971</v>
      </c>
      <c r="C16" s="10" t="s">
        <v>8992</v>
      </c>
      <c r="D16" s="10" t="s">
        <v>8993</v>
      </c>
      <c r="E16" s="10" t="s">
        <v>8971</v>
      </c>
      <c r="F16" s="10" t="s">
        <v>8952</v>
      </c>
      <c r="G16" s="10" t="s">
        <v>8994</v>
      </c>
      <c r="H16" s="10" t="s">
        <v>8995</v>
      </c>
    </row>
    <row r="17" customFormat="false" ht="45.75" hidden="false" customHeight="true" outlineLevel="0" collapsed="false">
      <c r="A17" s="10" t="s">
        <v>8996</v>
      </c>
      <c r="B17" s="10" t="s">
        <v>8997</v>
      </c>
      <c r="C17" s="10" t="s">
        <v>8937</v>
      </c>
      <c r="D17" s="10" t="s">
        <v>2225</v>
      </c>
      <c r="E17" s="10" t="s">
        <v>8998</v>
      </c>
      <c r="F17" s="10" t="s">
        <v>119</v>
      </c>
      <c r="G17" s="10" t="s">
        <v>8999</v>
      </c>
      <c r="H17" s="10" t="s">
        <v>9000</v>
      </c>
    </row>
    <row r="18" customFormat="false" ht="45.75" hidden="false" customHeight="true" outlineLevel="0" collapsed="false">
      <c r="A18" s="10" t="s">
        <v>9001</v>
      </c>
      <c r="B18" s="10" t="s">
        <v>9002</v>
      </c>
      <c r="C18" s="10" t="s">
        <v>119</v>
      </c>
      <c r="D18" s="10" t="s">
        <v>2225</v>
      </c>
      <c r="E18" s="10" t="s">
        <v>9003</v>
      </c>
      <c r="F18" s="10" t="s">
        <v>8952</v>
      </c>
      <c r="G18" s="10" t="s">
        <v>9004</v>
      </c>
      <c r="H18" s="10" t="s">
        <v>9005</v>
      </c>
    </row>
    <row r="19" customFormat="false" ht="45.75" hidden="false" customHeight="true" outlineLevel="0" collapsed="false">
      <c r="A19" s="10" t="s">
        <v>9006</v>
      </c>
      <c r="B19" s="10" t="s">
        <v>9007</v>
      </c>
      <c r="C19" s="10" t="s">
        <v>9007</v>
      </c>
      <c r="D19" s="10" t="s">
        <v>9007</v>
      </c>
      <c r="E19" s="10" t="s">
        <v>9007</v>
      </c>
      <c r="F19" s="10" t="s">
        <v>9007</v>
      </c>
      <c r="G19" s="10" t="s">
        <v>9008</v>
      </c>
      <c r="H19" s="10" t="s">
        <v>9009</v>
      </c>
    </row>
    <row r="20" customFormat="false" ht="45.75" hidden="false" customHeight="true" outlineLevel="0" collapsed="false">
      <c r="A20" s="10" t="s">
        <v>9010</v>
      </c>
      <c r="B20" s="10" t="s">
        <v>8961</v>
      </c>
      <c r="C20" s="10" t="s">
        <v>9011</v>
      </c>
      <c r="D20" s="10" t="s">
        <v>2225</v>
      </c>
      <c r="E20" s="10" t="s">
        <v>8962</v>
      </c>
      <c r="F20" s="10" t="s">
        <v>8952</v>
      </c>
      <c r="G20" s="10" t="s">
        <v>9012</v>
      </c>
      <c r="H20" s="10" t="s">
        <v>9013</v>
      </c>
    </row>
    <row r="23" customFormat="false" ht="15" hidden="false" customHeight="true" outlineLevel="0" collapsed="false">
      <c r="A23" s="31" t="s">
        <v>9014</v>
      </c>
    </row>
    <row r="24" customFormat="false" ht="15" hidden="false" customHeight="true" outlineLevel="0" collapsed="false">
      <c r="A24" s="3" t="s">
        <v>9015</v>
      </c>
    </row>
    <row r="25" customFormat="false" ht="15" hidden="false" customHeight="true" outlineLevel="0" collapsed="false">
      <c r="A25" s="8" t="s">
        <v>9016</v>
      </c>
      <c r="B25" s="8" t="s">
        <v>9017</v>
      </c>
      <c r="C25" s="8" t="s">
        <v>9018</v>
      </c>
      <c r="D25" s="8" t="s">
        <v>9019</v>
      </c>
    </row>
    <row r="26" customFormat="false" ht="31.5" hidden="false" customHeight="true" outlineLevel="0" collapsed="false">
      <c r="A26" s="10" t="s">
        <v>9020</v>
      </c>
      <c r="B26" s="32" t="s">
        <v>9021</v>
      </c>
      <c r="C26" s="10" t="s">
        <v>9022</v>
      </c>
      <c r="D26" s="10" t="s">
        <v>9023</v>
      </c>
    </row>
    <row r="27" customFormat="false" ht="31.5" hidden="false" customHeight="true" outlineLevel="0" collapsed="false">
      <c r="A27" s="10" t="s">
        <v>9024</v>
      </c>
      <c r="B27" s="32" t="s">
        <v>9025</v>
      </c>
      <c r="C27" s="10" t="s">
        <v>9026</v>
      </c>
      <c r="D27" s="10" t="s">
        <v>9027</v>
      </c>
    </row>
    <row r="28" customFormat="false" ht="31.5" hidden="false" customHeight="true" outlineLevel="0" collapsed="false">
      <c r="A28" s="10" t="s">
        <v>9028</v>
      </c>
      <c r="B28" s="32" t="s">
        <v>9029</v>
      </c>
      <c r="C28" s="10" t="s">
        <v>9030</v>
      </c>
      <c r="D28" s="10" t="s">
        <v>9031</v>
      </c>
    </row>
    <row r="29" customFormat="false" ht="31.5" hidden="false" customHeight="true" outlineLevel="0" collapsed="false">
      <c r="A29" s="10" t="s">
        <v>9032</v>
      </c>
      <c r="B29" s="32" t="s">
        <v>9033</v>
      </c>
      <c r="C29" s="10" t="s">
        <v>9034</v>
      </c>
      <c r="D29" s="10" t="s">
        <v>9035</v>
      </c>
    </row>
    <row r="30" customFormat="false" ht="31.5" hidden="false" customHeight="true" outlineLevel="0" collapsed="false">
      <c r="A30" s="10" t="s">
        <v>9036</v>
      </c>
      <c r="B30" s="32" t="s">
        <v>9037</v>
      </c>
      <c r="C30" s="10" t="s">
        <v>9038</v>
      </c>
      <c r="D30" s="10" t="s">
        <v>9039</v>
      </c>
    </row>
    <row r="31" customFormat="false" ht="31.5" hidden="false" customHeight="true" outlineLevel="0" collapsed="false">
      <c r="A31" s="10" t="s">
        <v>9040</v>
      </c>
      <c r="B31" s="32" t="s">
        <v>9041</v>
      </c>
      <c r="C31" s="10" t="s">
        <v>9042</v>
      </c>
      <c r="D31" s="10" t="s">
        <v>9043</v>
      </c>
    </row>
    <row r="32" customFormat="false" ht="31.5" hidden="false" customHeight="true" outlineLevel="0" collapsed="false">
      <c r="A32" s="10" t="s">
        <v>9044</v>
      </c>
      <c r="B32" s="32" t="s">
        <v>9045</v>
      </c>
      <c r="C32" s="10" t="s">
        <v>9046</v>
      </c>
      <c r="D32" s="10" t="s">
        <v>9047</v>
      </c>
    </row>
    <row r="33" customFormat="false" ht="31.5" hidden="false" customHeight="true" outlineLevel="0" collapsed="false">
      <c r="A33" s="10" t="s">
        <v>9048</v>
      </c>
      <c r="B33" s="32" t="s">
        <v>9049</v>
      </c>
      <c r="C33" s="10" t="s">
        <v>9050</v>
      </c>
      <c r="D33" s="10" t="s">
        <v>9051</v>
      </c>
    </row>
    <row r="34" customFormat="false" ht="31.5" hidden="false" customHeight="true" outlineLevel="0" collapsed="false">
      <c r="A34" s="10" t="s">
        <v>9052</v>
      </c>
      <c r="B34" s="32" t="s">
        <v>9053</v>
      </c>
      <c r="C34" s="10" t="s">
        <v>9054</v>
      </c>
      <c r="D34" s="10" t="s">
        <v>9055</v>
      </c>
    </row>
    <row r="35" customFormat="false" ht="31.5" hidden="false" customHeight="true" outlineLevel="0" collapsed="false">
      <c r="A35" s="10" t="s">
        <v>9056</v>
      </c>
      <c r="B35" s="32" t="s">
        <v>9057</v>
      </c>
      <c r="C35" s="10" t="s">
        <v>9058</v>
      </c>
      <c r="D35" s="10" t="s">
        <v>9059</v>
      </c>
    </row>
    <row r="36" customFormat="false" ht="31.5" hidden="false" customHeight="true" outlineLevel="0" collapsed="false">
      <c r="A36" s="10" t="s">
        <v>9060</v>
      </c>
      <c r="B36" s="32" t="s">
        <v>9061</v>
      </c>
      <c r="C36" s="10" t="s">
        <v>9062</v>
      </c>
      <c r="D36" s="10" t="s">
        <v>9063</v>
      </c>
    </row>
    <row r="37" customFormat="false" ht="31.5" hidden="false" customHeight="true" outlineLevel="0" collapsed="false">
      <c r="A37" s="10" t="s">
        <v>9064</v>
      </c>
      <c r="B37" s="32" t="s">
        <v>9065</v>
      </c>
      <c r="C37" s="10" t="s">
        <v>9066</v>
      </c>
      <c r="D37" s="10" t="s">
        <v>9067</v>
      </c>
    </row>
    <row r="40" customFormat="false" ht="15" hidden="false" customHeight="true" outlineLevel="0" collapsed="false">
      <c r="A40" s="31" t="s">
        <v>9068</v>
      </c>
    </row>
    <row r="41" customFormat="false" ht="15" hidden="false" customHeight="true" outlineLevel="0" collapsed="false">
      <c r="A41" s="3" t="s">
        <v>9069</v>
      </c>
    </row>
    <row r="42" customFormat="false" ht="25.5" hidden="false" customHeight="true" outlineLevel="0" collapsed="false">
      <c r="A42" s="8" t="s">
        <v>9070</v>
      </c>
      <c r="B42" s="8" t="s">
        <v>9071</v>
      </c>
      <c r="C42" s="8" t="s">
        <v>9072</v>
      </c>
    </row>
    <row r="43" customFormat="false" ht="31.5" hidden="false" customHeight="true" outlineLevel="0" collapsed="false">
      <c r="A43" s="10" t="s">
        <v>9073</v>
      </c>
      <c r="B43" s="10" t="s">
        <v>9074</v>
      </c>
      <c r="C43" s="10" t="s">
        <v>9075</v>
      </c>
    </row>
    <row r="44" customFormat="false" ht="31.5" hidden="false" customHeight="true" outlineLevel="0" collapsed="false">
      <c r="A44" s="10" t="s">
        <v>9076</v>
      </c>
      <c r="B44" s="10" t="s">
        <v>9077</v>
      </c>
      <c r="C44" s="10" t="s">
        <v>9078</v>
      </c>
    </row>
    <row r="45" customFormat="false" ht="31.5" hidden="false" customHeight="true" outlineLevel="0" collapsed="false">
      <c r="A45" s="10" t="s">
        <v>9079</v>
      </c>
      <c r="B45" s="10" t="s">
        <v>9080</v>
      </c>
      <c r="C45" s="10" t="s">
        <v>9081</v>
      </c>
    </row>
    <row r="46" customFormat="false" ht="31.5" hidden="false" customHeight="true" outlineLevel="0" collapsed="false">
      <c r="A46" s="10" t="s">
        <v>9082</v>
      </c>
      <c r="B46" s="10" t="s">
        <v>9083</v>
      </c>
      <c r="C46" s="10" t="s">
        <v>9084</v>
      </c>
    </row>
    <row r="47" customFormat="false" ht="31.5" hidden="false" customHeight="true" outlineLevel="0" collapsed="false">
      <c r="A47" s="10" t="s">
        <v>9085</v>
      </c>
      <c r="B47" s="10" t="s">
        <v>9086</v>
      </c>
      <c r="C47" s="10" t="s">
        <v>9087</v>
      </c>
    </row>
    <row r="48" customFormat="false" ht="31.5" hidden="false" customHeight="true" outlineLevel="0" collapsed="false">
      <c r="A48" s="10" t="s">
        <v>9088</v>
      </c>
      <c r="B48" s="10" t="s">
        <v>9089</v>
      </c>
      <c r="C48" s="10" t="s">
        <v>9090</v>
      </c>
    </row>
    <row r="49" customFormat="false" ht="31.5" hidden="false" customHeight="true" outlineLevel="0" collapsed="false">
      <c r="A49" s="10" t="s">
        <v>9091</v>
      </c>
      <c r="B49" s="10" t="s">
        <v>9092</v>
      </c>
      <c r="C49" s="10" t="s">
        <v>9093</v>
      </c>
    </row>
    <row r="50" customFormat="false" ht="31.5" hidden="false" customHeight="true" outlineLevel="0" collapsed="false">
      <c r="A50" s="10" t="s">
        <v>9094</v>
      </c>
      <c r="B50" s="10" t="s">
        <v>9095</v>
      </c>
      <c r="C50" s="10" t="s">
        <v>9096</v>
      </c>
    </row>
    <row r="51" customFormat="false" ht="31.5" hidden="false" customHeight="true" outlineLevel="0" collapsed="false">
      <c r="A51" s="10" t="s">
        <v>9097</v>
      </c>
      <c r="B51" s="10" t="s">
        <v>9098</v>
      </c>
      <c r="C51" s="10" t="s">
        <v>9099</v>
      </c>
    </row>
    <row r="52" customFormat="false" ht="31.5" hidden="false" customHeight="true" outlineLevel="0" collapsed="false">
      <c r="A52" s="10" t="s">
        <v>9100</v>
      </c>
      <c r="B52" s="10" t="s">
        <v>9101</v>
      </c>
      <c r="C52" s="10" t="s">
        <v>9102</v>
      </c>
    </row>
    <row r="53" customFormat="false" ht="31.5" hidden="false" customHeight="true" outlineLevel="0" collapsed="false">
      <c r="A53" s="10" t="s">
        <v>9103</v>
      </c>
      <c r="B53" s="10" t="s">
        <v>9104</v>
      </c>
      <c r="C53" s="10" t="s">
        <v>9105</v>
      </c>
    </row>
    <row r="54" customFormat="false" ht="31.5" hidden="false" customHeight="true" outlineLevel="0" collapsed="false">
      <c r="A54" s="10" t="s">
        <v>9106</v>
      </c>
      <c r="B54" s="10" t="s">
        <v>9107</v>
      </c>
      <c r="C54" s="10" t="s">
        <v>9108</v>
      </c>
    </row>
    <row r="55" customFormat="false" ht="31.5" hidden="false" customHeight="true" outlineLevel="0" collapsed="false">
      <c r="A55" s="10" t="s">
        <v>9109</v>
      </c>
      <c r="B55" s="10" t="s">
        <v>9110</v>
      </c>
      <c r="C55" s="10" t="s">
        <v>9111</v>
      </c>
    </row>
    <row r="56" customFormat="false" ht="31.5" hidden="false" customHeight="true" outlineLevel="0" collapsed="false">
      <c r="A56" s="10" t="s">
        <v>9112</v>
      </c>
      <c r="B56" s="10" t="s">
        <v>9113</v>
      </c>
      <c r="C56" s="10" t="s">
        <v>9114</v>
      </c>
    </row>
    <row r="57" customFormat="false" ht="31.5" hidden="false" customHeight="true" outlineLevel="0" collapsed="false">
      <c r="A57" s="10" t="s">
        <v>9115</v>
      </c>
      <c r="B57" s="10" t="s">
        <v>9116</v>
      </c>
      <c r="C57" s="10" t="s">
        <v>9117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56"/>
    <col collapsed="false" customWidth="true" hidden="false" outlineLevel="0" max="4" min="4" style="1" width="11"/>
    <col collapsed="false" customWidth="true" hidden="false" outlineLevel="0" max="5" min="5" style="1" width="9"/>
    <col collapsed="false" customWidth="true" hidden="false" outlineLevel="0" max="6" min="6" style="1" width="15"/>
    <col collapsed="false" customWidth="true" hidden="false" outlineLevel="0" max="7" min="7" style="1" width="10"/>
    <col collapsed="false" customWidth="true" hidden="false" outlineLevel="0" max="9" min="9" style="1" width="34"/>
    <col collapsed="false" customWidth="true" hidden="false" outlineLevel="0" max="10" min="10" style="1" width="40"/>
  </cols>
  <sheetData>
    <row r="1" customFormat="false" ht="18" hidden="false" customHeight="true" outlineLevel="0" collapsed="false">
      <c r="A1" s="7" t="s">
        <v>9118</v>
      </c>
      <c r="I1" s="33" t="s">
        <v>9119</v>
      </c>
    </row>
    <row r="2" customFormat="false" ht="15" hidden="false" customHeight="true" outlineLevel="0" collapsed="false">
      <c r="A2" s="3" t="s">
        <v>9120</v>
      </c>
    </row>
    <row r="4" customFormat="false" ht="15" hidden="false" customHeight="true" outlineLevel="0" collapsed="false">
      <c r="A4" s="8" t="s">
        <v>40</v>
      </c>
      <c r="B4" s="8" t="s">
        <v>41</v>
      </c>
      <c r="C4" s="8" t="s">
        <v>13</v>
      </c>
      <c r="D4" s="8" t="s">
        <v>52</v>
      </c>
      <c r="E4" s="8" t="s">
        <v>53</v>
      </c>
      <c r="F4" s="8" t="s">
        <v>9121</v>
      </c>
      <c r="G4" s="8" t="s">
        <v>9122</v>
      </c>
      <c r="I4" s="34" t="s">
        <v>9123</v>
      </c>
      <c r="J4" s="35" t="n">
        <f aca="false">SUM($G$5:$G$411)</f>
        <v>0</v>
      </c>
    </row>
    <row r="5" customFormat="false" ht="25.5" hidden="false" customHeight="true" outlineLevel="0" collapsed="false">
      <c r="A5" s="9" t="str">
        <f aca="false">'Indicator Master'!A4</f>
        <v>FIN-001</v>
      </c>
      <c r="B5" s="9" t="str">
        <f aca="false">'Indicator Master'!B4</f>
        <v>Financial &amp; Accounting Forensics</v>
      </c>
      <c r="C5" s="10" t="str">
        <f aca="false">'Indicator Master'!D4</f>
        <v>Near-nil revenue against a large balance sheet</v>
      </c>
      <c r="D5" s="9" t="str">
        <f aca="false">'Indicator Master'!P4</f>
        <v>Critical</v>
      </c>
      <c r="E5" s="9" t="n">
        <f aca="false">'Indicator Master'!Q4</f>
        <v>9</v>
      </c>
      <c r="F5" s="36" t="s">
        <v>9124</v>
      </c>
      <c r="G5" s="9" t="n">
        <f aca="false">IF(UPPER(F5)="Y",E5,0)</f>
        <v>0</v>
      </c>
      <c r="I5" s="34" t="s">
        <v>9125</v>
      </c>
      <c r="J5" s="35" t="n">
        <f aca="false">SUM($E$5:$E$411)</f>
        <v>2381</v>
      </c>
    </row>
    <row r="6" customFormat="false" ht="25.5" hidden="false" customHeight="true" outlineLevel="0" collapsed="false">
      <c r="A6" s="9" t="str">
        <f aca="false">'Indicator Master'!A5</f>
        <v>FIN-002</v>
      </c>
      <c r="B6" s="9" t="str">
        <f aca="false">'Indicator Master'!B5</f>
        <v>Financial &amp; Accounting Forensics</v>
      </c>
      <c r="C6" s="10" t="str">
        <f aca="false">'Indicator Master'!D5</f>
        <v>Revenue almost exactly equals total expenses (zero-margin pass-through)</v>
      </c>
      <c r="D6" s="9" t="str">
        <f aca="false">'Indicator Master'!P5</f>
        <v>High</v>
      </c>
      <c r="E6" s="9" t="n">
        <f aca="false">'Indicator Master'!Q5</f>
        <v>7</v>
      </c>
      <c r="F6" s="36" t="s">
        <v>9124</v>
      </c>
      <c r="G6" s="9" t="n">
        <f aca="false">IF(UPPER(F6)="Y",E6,0)</f>
        <v>0</v>
      </c>
      <c r="I6" s="34" t="s">
        <v>9126</v>
      </c>
      <c r="J6" s="37" t="n">
        <f aca="false">IFERROR(J4/J5,0)</f>
        <v>0</v>
      </c>
    </row>
    <row r="7" customFormat="false" ht="25.5" hidden="false" customHeight="true" outlineLevel="0" collapsed="false">
      <c r="A7" s="9" t="str">
        <f aca="false">'Indicator Master'!A6</f>
        <v>FIN-003</v>
      </c>
      <c r="B7" s="9" t="str">
        <f aca="false">'Indicator Master'!B6</f>
        <v>Financial &amp; Accounting Forensics</v>
      </c>
      <c r="C7" s="10" t="str">
        <f aca="false">'Indicator Master'!D6</f>
        <v>Turnover multiplies while assets, payroll and power stay flat</v>
      </c>
      <c r="D7" s="9" t="str">
        <f aca="false">'Indicator Master'!P6</f>
        <v>High</v>
      </c>
      <c r="E7" s="9" t="n">
        <f aca="false">'Indicator Master'!Q6</f>
        <v>8</v>
      </c>
      <c r="F7" s="36" t="s">
        <v>9124</v>
      </c>
      <c r="G7" s="9" t="n">
        <f aca="false">IF(UPPER(F7)="Y",E7,0)</f>
        <v>0</v>
      </c>
      <c r="I7" s="34" t="s">
        <v>9127</v>
      </c>
      <c r="J7" s="35" t="n">
        <f aca="false">COUNTIF($F$5:$F$411,"Y")</f>
        <v>0</v>
      </c>
    </row>
    <row r="8" customFormat="false" ht="25.5" hidden="false" customHeight="true" outlineLevel="0" collapsed="false">
      <c r="A8" s="9" t="str">
        <f aca="false">'Indicator Master'!A7</f>
        <v>FIN-004</v>
      </c>
      <c r="B8" s="9" t="str">
        <f aca="false">'Indicator Master'!B7</f>
        <v>Financial &amp; Accounting Forensics</v>
      </c>
      <c r="C8" s="10" t="str">
        <f aca="false">'Indicator Master'!D7</f>
        <v>One customer accounts for over 75% of turnover</v>
      </c>
      <c r="D8" s="9" t="str">
        <f aca="false">'Indicator Master'!P7</f>
        <v>Low</v>
      </c>
      <c r="E8" s="9" t="n">
        <f aca="false">'Indicator Master'!Q7</f>
        <v>2</v>
      </c>
      <c r="F8" s="36" t="s">
        <v>9124</v>
      </c>
      <c r="G8" s="9" t="n">
        <f aca="false">IF(UPPER(F8)="Y",E8,0)</f>
        <v>0</v>
      </c>
      <c r="I8" s="34" t="s">
        <v>9128</v>
      </c>
      <c r="J8" s="35" t="n">
        <f aca="false">COUNTIFS($D$5:$D$411,"Critical",$F$5:$F$411,"Y")</f>
        <v>0</v>
      </c>
    </row>
    <row r="9" customFormat="false" ht="25.5" hidden="false" customHeight="true" outlineLevel="0" collapsed="false">
      <c r="A9" s="9" t="str">
        <f aca="false">'Indicator Master'!A8</f>
        <v>FIN-005</v>
      </c>
      <c r="B9" s="9" t="str">
        <f aca="false">'Indicator Master'!B8</f>
        <v>Financial &amp; Accounting Forensics</v>
      </c>
      <c r="C9" s="10" t="str">
        <f aca="false">'Indicator Master'!D8</f>
        <v>Book turnover far exceeds GSTR-1 and e-invoice declared supply</v>
      </c>
      <c r="D9" s="9" t="str">
        <f aca="false">'Indicator Master'!P8</f>
        <v>Critical</v>
      </c>
      <c r="E9" s="9" t="n">
        <f aca="false">'Indicator Master'!Q8</f>
        <v>9</v>
      </c>
      <c r="F9" s="36" t="s">
        <v>9124</v>
      </c>
      <c r="G9" s="9" t="n">
        <f aca="false">IF(UPPER(F9)="Y",E9,0)</f>
        <v>0</v>
      </c>
      <c r="I9" s="34" t="s">
        <v>9129</v>
      </c>
      <c r="J9" s="35" t="n">
        <f aca="false">COUNTIFS($D$5:$D$411,"High",$F$5:$F$411,"Y")</f>
        <v>0</v>
      </c>
    </row>
    <row r="10" customFormat="false" ht="25.5" hidden="false" customHeight="true" outlineLevel="0" collapsed="false">
      <c r="A10" s="9" t="str">
        <f aca="false">'Indicator Master'!A9</f>
        <v>FIN-006</v>
      </c>
      <c r="B10" s="9" t="str">
        <f aca="false">'Indicator Master'!B9</f>
        <v>Financial &amp; Accounting Forensics</v>
      </c>
      <c r="C10" s="10" t="str">
        <f aca="false">'Indicator Master'!D9</f>
        <v>Revenue loaded into the last 15 days of the financial year</v>
      </c>
      <c r="D10" s="9" t="str">
        <f aca="false">'Indicator Master'!P9</f>
        <v>High</v>
      </c>
      <c r="E10" s="9" t="n">
        <f aca="false">'Indicator Master'!Q9</f>
        <v>6</v>
      </c>
      <c r="F10" s="36" t="s">
        <v>9124</v>
      </c>
      <c r="G10" s="9" t="n">
        <f aca="false">IF(UPPER(F10)="Y",E10,0)</f>
        <v>0</v>
      </c>
      <c r="I10" s="34" t="s">
        <v>9130</v>
      </c>
      <c r="J10" s="35" t="n">
        <f aca="false">COUNTIFS($D$5:$D$411,"Medium",$F$5:$F$411,"Y")</f>
        <v>0</v>
      </c>
    </row>
    <row r="11" customFormat="false" ht="25.5" hidden="false" customHeight="true" outlineLevel="0" collapsed="false">
      <c r="A11" s="9" t="str">
        <f aca="false">'Indicator Master'!A10</f>
        <v>FIN-007</v>
      </c>
      <c r="B11" s="9" t="str">
        <f aca="false">'Indicator Master'!B10</f>
        <v>Financial &amp; Accounting Forensics</v>
      </c>
      <c r="C11" s="10" t="str">
        <f aca="false">'Indicator Master'!D10</f>
        <v>Employee benefit expense below 0.5% of turnover</v>
      </c>
      <c r="D11" s="9" t="str">
        <f aca="false">'Indicator Master'!P10</f>
        <v>High</v>
      </c>
      <c r="E11" s="9" t="n">
        <f aca="false">'Indicator Master'!Q10</f>
        <v>8</v>
      </c>
      <c r="F11" s="36" t="s">
        <v>9124</v>
      </c>
      <c r="G11" s="9" t="n">
        <f aca="false">IF(UPPER(F11)="Y",E11,0)</f>
        <v>0</v>
      </c>
      <c r="I11" s="34" t="s">
        <v>9131</v>
      </c>
      <c r="J11" s="35" t="n">
        <f aca="false">COUNTIFS($D$5:$D$411,"Low",$F$5:$F$411,"Y")</f>
        <v>0</v>
      </c>
    </row>
    <row r="12" customFormat="false" ht="25.5" hidden="false" customHeight="true" outlineLevel="0" collapsed="false">
      <c r="A12" s="9" t="str">
        <f aca="false">'Indicator Master'!A11</f>
        <v>FIN-008</v>
      </c>
      <c r="B12" s="9" t="str">
        <f aca="false">'Indicator Master'!B11</f>
        <v>Financial &amp; Accounting Forensics</v>
      </c>
      <c r="C12" s="10" t="str">
        <f aca="false">'Indicator Master'!D11</f>
        <v>Nil rent and nil power expense with no owned premises</v>
      </c>
      <c r="D12" s="9" t="str">
        <f aca="false">'Indicator Master'!P11</f>
        <v>High</v>
      </c>
      <c r="E12" s="9" t="n">
        <f aca="false">'Indicator Master'!Q11</f>
        <v>7</v>
      </c>
      <c r="F12" s="36" t="s">
        <v>9124</v>
      </c>
      <c r="G12" s="9" t="n">
        <f aca="false">IF(UPPER(F12)="Y",E12,0)</f>
        <v>0</v>
      </c>
      <c r="I12" s="34" t="s">
        <v>9132</v>
      </c>
      <c r="J12" s="35" t="n">
        <f aca="false">COUNTIF('Category Summary'!$H$4:$H$13,"&gt;0")</f>
        <v>0</v>
      </c>
    </row>
    <row r="13" customFormat="false" ht="25.5" hidden="false" customHeight="true" outlineLevel="0" collapsed="false">
      <c r="A13" s="9" t="str">
        <f aca="false">'Indicator Master'!A12</f>
        <v>FIN-009</v>
      </c>
      <c r="B13" s="9" t="str">
        <f aca="false">'Indicator Master'!B12</f>
        <v>Financial &amp; Accounting Forensics</v>
      </c>
      <c r="C13" s="10" t="str">
        <f aca="false">'Indicator Master'!D12</f>
        <v>Nil freight, selling and travel expense on a goods trading turnover</v>
      </c>
      <c r="D13" s="9" t="str">
        <f aca="false">'Indicator Master'!P12</f>
        <v>Medium</v>
      </c>
      <c r="E13" s="9" t="n">
        <f aca="false">'Indicator Master'!Q12</f>
        <v>5</v>
      </c>
      <c r="F13" s="36" t="s">
        <v>9124</v>
      </c>
      <c r="G13" s="9" t="n">
        <f aca="false">IF(UPPER(F13)="Y",E13,0)</f>
        <v>0</v>
      </c>
    </row>
    <row r="14" customFormat="false" ht="25.5" hidden="false" customHeight="true" outlineLevel="0" collapsed="false">
      <c r="A14" s="9" t="str">
        <f aca="false">'Indicator Master'!A13</f>
        <v>FIN-010</v>
      </c>
      <c r="B14" s="9" t="str">
        <f aca="false">'Indicator Master'!B13</f>
        <v>Financial &amp; Accounting Forensics</v>
      </c>
      <c r="C14" s="10" t="str">
        <f aca="false">'Indicator Master'!D13</f>
        <v>Nil insurance expense despite material inventory and fixed assets</v>
      </c>
      <c r="D14" s="9" t="str">
        <f aca="false">'Indicator Master'!P13</f>
        <v>Low</v>
      </c>
      <c r="E14" s="9" t="n">
        <f aca="false">'Indicator Master'!Q13</f>
        <v>2</v>
      </c>
      <c r="F14" s="36" t="s">
        <v>9124</v>
      </c>
      <c r="G14" s="9" t="n">
        <f aca="false">IF(UPPER(F14)="Y",E14,0)</f>
        <v>0</v>
      </c>
      <c r="I14" s="38" t="s">
        <v>9133</v>
      </c>
      <c r="J14" s="39" t="str">
        <f aca="false">IF(AND(J8&gt;=1,J12&gt;=3),"HIGH RISK — refer for investigation",IF(OR(J8&gt;=1,J4&gt;=60),"ELEVATED — enhanced due diligence",IF(J4&gt;=25,"WATCH — monitor and re-check",IF(J4&gt;0,"LOW — routine onboarding","NO FLAGS RAISED"))))</f>
        <v>NO FLAGS RAISED</v>
      </c>
    </row>
    <row r="15" customFormat="false" ht="25.5" hidden="false" customHeight="true" outlineLevel="0" collapsed="false">
      <c r="A15" s="9" t="str">
        <f aca="false">'Indicator Master'!A14</f>
        <v>FIN-011</v>
      </c>
      <c r="B15" s="9" t="str">
        <f aca="false">'Indicator Master'!B14</f>
        <v>Financial &amp; Accounting Forensics</v>
      </c>
      <c r="C15" s="10" t="str">
        <f aca="false">'Indicator Master'!D14</f>
        <v>Negligible bank charges against very large bank turnover</v>
      </c>
      <c r="D15" s="9" t="str">
        <f aca="false">'Indicator Master'!P14</f>
        <v>Low</v>
      </c>
      <c r="E15" s="9" t="n">
        <f aca="false">'Indicator Master'!Q14</f>
        <v>2</v>
      </c>
      <c r="F15" s="36" t="s">
        <v>9124</v>
      </c>
      <c r="G15" s="9" t="n">
        <f aca="false">IF(UPPER(F15)="Y",E15,0)</f>
        <v>0</v>
      </c>
    </row>
    <row r="16" customFormat="false" ht="25.5" hidden="false" customHeight="true" outlineLevel="0" collapsed="false">
      <c r="A16" s="9" t="str">
        <f aca="false">'Indicator Master'!A15</f>
        <v>FIN-012</v>
      </c>
      <c r="B16" s="9" t="str">
        <f aca="false">'Indicator Master'!B15</f>
        <v>Financial &amp; Accounting Forensics</v>
      </c>
      <c r="C16" s="10" t="str">
        <f aca="false">'Indicator Master'!D15</f>
        <v>Cost of goods sold booked with no inventory movement</v>
      </c>
      <c r="D16" s="9" t="str">
        <f aca="false">'Indicator Master'!P15</f>
        <v>Critical</v>
      </c>
      <c r="E16" s="9" t="n">
        <f aca="false">'Indicator Master'!Q15</f>
        <v>9</v>
      </c>
      <c r="F16" s="36" t="s">
        <v>9124</v>
      </c>
      <c r="G16" s="9" t="n">
        <f aca="false">IF(UPPER(F16)="Y",E16,0)</f>
        <v>0</v>
      </c>
      <c r="I16" s="40" t="s">
        <v>9134</v>
      </c>
    </row>
    <row r="17" customFormat="false" ht="25.5" hidden="false" customHeight="true" outlineLevel="0" collapsed="false">
      <c r="A17" s="9" t="str">
        <f aca="false">'Indicator Master'!A16</f>
        <v>FIN-013</v>
      </c>
      <c r="B17" s="9" t="str">
        <f aca="false">'Indicator Master'!B16</f>
        <v>Financial &amp; Accounting Forensics</v>
      </c>
      <c r="C17" s="10" t="str">
        <f aca="false">'Indicator Master'!D16</f>
        <v>Zero or negligible fixed assets against large turnover</v>
      </c>
      <c r="D17" s="9" t="str">
        <f aca="false">'Indicator Master'!P16</f>
        <v>High</v>
      </c>
      <c r="E17" s="9" t="n">
        <f aca="false">'Indicator Master'!Q16</f>
        <v>7</v>
      </c>
      <c r="F17" s="36" t="s">
        <v>9124</v>
      </c>
      <c r="G17" s="9" t="n">
        <f aca="false">IF(UPPER(F17)="Y",E17,0)</f>
        <v>0</v>
      </c>
      <c r="I17" s="5" t="s">
        <v>9135</v>
      </c>
    </row>
    <row r="18" customFormat="false" ht="25.5" hidden="false" customHeight="true" outlineLevel="0" collapsed="false">
      <c r="A18" s="9" t="str">
        <f aca="false">'Indicator Master'!A17</f>
        <v>FIN-014</v>
      </c>
      <c r="B18" s="9" t="str">
        <f aca="false">'Indicator Master'!B17</f>
        <v>Financial &amp; Accounting Forensics</v>
      </c>
      <c r="C18" s="10" t="str">
        <f aca="false">'Indicator Master'!D17</f>
        <v>Trading entity reports nil closing inventory at every year-end</v>
      </c>
      <c r="D18" s="9" t="str">
        <f aca="false">'Indicator Master'!P17</f>
        <v>Medium</v>
      </c>
      <c r="E18" s="9" t="n">
        <f aca="false">'Indicator Master'!Q17</f>
        <v>5</v>
      </c>
      <c r="F18" s="36" t="s">
        <v>9124</v>
      </c>
      <c r="G18" s="9" t="n">
        <f aca="false">IF(UPPER(F18)="Y",E18,0)</f>
        <v>0</v>
      </c>
      <c r="I18" s="5" t="s">
        <v>9136</v>
      </c>
    </row>
    <row r="19" customFormat="false" ht="25.5" hidden="false" customHeight="true" outlineLevel="0" collapsed="false">
      <c r="A19" s="9" t="str">
        <f aca="false">'Indicator Master'!A18</f>
        <v>FIN-015</v>
      </c>
      <c r="B19" s="9" t="str">
        <f aca="false">'Indicator Master'!B18</f>
        <v>Financial &amp; Accounting Forensics</v>
      </c>
      <c r="C19" s="10" t="str">
        <f aca="false">'Indicator Master'!D18</f>
        <v>Balance sheet dominated by loans, advances and investments in group entities</v>
      </c>
      <c r="D19" s="9" t="str">
        <f aca="false">'Indicator Master'!P18</f>
        <v>High</v>
      </c>
      <c r="E19" s="9" t="n">
        <f aca="false">'Indicator Master'!Q18</f>
        <v>8</v>
      </c>
      <c r="F19" s="36" t="s">
        <v>9124</v>
      </c>
      <c r="G19" s="9" t="n">
        <f aca="false">IF(UPPER(F19)="Y",E19,0)</f>
        <v>0</v>
      </c>
      <c r="I19" s="5" t="s">
        <v>9137</v>
      </c>
    </row>
    <row r="20" customFormat="false" ht="25.5" hidden="false" customHeight="true" outlineLevel="0" collapsed="false">
      <c r="A20" s="9" t="str">
        <f aca="false">'Indicator Master'!A19</f>
        <v>FIN-016</v>
      </c>
      <c r="B20" s="9" t="str">
        <f aca="false">'Indicator Master'!B19</f>
        <v>Financial &amp; Accounting Forensics</v>
      </c>
      <c r="C20" s="10" t="str">
        <f aca="false">'Indicator Master'!D19</f>
        <v>Material goodwill or intangibles with no valuer report and no impairment test</v>
      </c>
      <c r="D20" s="9" t="str">
        <f aca="false">'Indicator Master'!P19</f>
        <v>High</v>
      </c>
      <c r="E20" s="9" t="n">
        <f aca="false">'Indicator Master'!Q19</f>
        <v>7</v>
      </c>
      <c r="F20" s="36" t="s">
        <v>9124</v>
      </c>
      <c r="G20" s="9" t="n">
        <f aca="false">IF(UPPER(F20)="Y",E20,0)</f>
        <v>0</v>
      </c>
      <c r="I20" s="5" t="s">
        <v>9138</v>
      </c>
    </row>
    <row r="21" customFormat="false" ht="25.5" hidden="false" customHeight="true" outlineLevel="0" collapsed="false">
      <c r="A21" s="9" t="str">
        <f aca="false">'Indicator Master'!A20</f>
        <v>FIN-017</v>
      </c>
      <c r="B21" s="9" t="str">
        <f aca="false">'Indicator Master'!B20</f>
        <v>Financial &amp; Accounting Forensics</v>
      </c>
      <c r="C21" s="10" t="str">
        <f aca="false">'Indicator Master'!D20</f>
        <v>Capital work-in-progress unchanged for three or more years with no capitalisation</v>
      </c>
      <c r="D21" s="9" t="str">
        <f aca="false">'Indicator Master'!P20</f>
        <v>High</v>
      </c>
      <c r="E21" s="9" t="n">
        <f aca="false">'Indicator Master'!Q20</f>
        <v>7</v>
      </c>
      <c r="F21" s="36" t="s">
        <v>9124</v>
      </c>
      <c r="G21" s="9" t="n">
        <f aca="false">IF(UPPER(F21)="Y",E21,0)</f>
        <v>0</v>
      </c>
      <c r="I21" s="5" t="s">
        <v>9139</v>
      </c>
    </row>
    <row r="22" customFormat="false" ht="25.5" hidden="false" customHeight="true" outlineLevel="0" collapsed="false">
      <c r="A22" s="9" t="str">
        <f aca="false">'Indicator Master'!A21</f>
        <v>FIN-018</v>
      </c>
      <c r="B22" s="9" t="str">
        <f aca="false">'Indicator Master'!B21</f>
        <v>Financial &amp; Accounting Forensics</v>
      </c>
      <c r="C22" s="10" t="str">
        <f aca="false">'Indicator Master'!D21</f>
        <v>Revaluation reserve carries net worth that would otherwise be negative or trivial</v>
      </c>
      <c r="D22" s="9" t="str">
        <f aca="false">'Indicator Master'!P21</f>
        <v>High</v>
      </c>
      <c r="E22" s="9" t="n">
        <f aca="false">'Indicator Master'!Q21</f>
        <v>7</v>
      </c>
      <c r="F22" s="36" t="s">
        <v>9124</v>
      </c>
      <c r="G22" s="9" t="n">
        <f aca="false">IF(UPPER(F22)="Y",E22,0)</f>
        <v>0</v>
      </c>
    </row>
    <row r="23" customFormat="false" ht="25.5" hidden="false" customHeight="true" outlineLevel="0" collapsed="false">
      <c r="A23" s="9" t="str">
        <f aca="false">'Indicator Master'!A22</f>
        <v>FIN-019</v>
      </c>
      <c r="B23" s="9" t="str">
        <f aca="false">'Indicator Master'!B22</f>
        <v>Financial &amp; Accounting Forensics</v>
      </c>
      <c r="C23" s="10" t="str">
        <f aca="false">'Indicator Master'!D22</f>
        <v>Depreciable fixed assets on the books with nil or negligible depreciation charged</v>
      </c>
      <c r="D23" s="9" t="str">
        <f aca="false">'Indicator Master'!P22</f>
        <v>Medium</v>
      </c>
      <c r="E23" s="9" t="n">
        <f aca="false">'Indicator Master'!Q22</f>
        <v>5</v>
      </c>
      <c r="F23" s="36" t="s">
        <v>9124</v>
      </c>
      <c r="G23" s="9" t="n">
        <f aca="false">IF(UPPER(F23)="Y",E23,0)</f>
        <v>0</v>
      </c>
    </row>
    <row r="24" customFormat="false" ht="25.5" hidden="false" customHeight="true" outlineLevel="0" collapsed="false">
      <c r="A24" s="9" t="str">
        <f aca="false">'Indicator Master'!A23</f>
        <v>FIN-020</v>
      </c>
      <c r="B24" s="9" t="str">
        <f aca="false">'Indicator Master'!B23</f>
        <v>Financial &amp; Accounting Forensics</v>
      </c>
      <c r="C24" s="10" t="str">
        <f aca="false">'Indicator Master'!D23</f>
        <v>Large fixed asset additions and disposals inside the same financial year</v>
      </c>
      <c r="D24" s="9" t="str">
        <f aca="false">'Indicator Master'!P23</f>
        <v>Medium</v>
      </c>
      <c r="E24" s="9" t="n">
        <f aca="false">'Indicator Master'!Q23</f>
        <v>5</v>
      </c>
      <c r="F24" s="36" t="s">
        <v>9124</v>
      </c>
      <c r="G24" s="9" t="n">
        <f aca="false">IF(UPPER(F24)="Y",E24,0)</f>
        <v>0</v>
      </c>
    </row>
    <row r="25" customFormat="false" ht="25.5" hidden="false" customHeight="true" outlineLevel="0" collapsed="false">
      <c r="A25" s="9" t="str">
        <f aca="false">'Indicator Master'!A24</f>
        <v>FIN-021</v>
      </c>
      <c r="B25" s="9" t="str">
        <f aca="false">'Indicator Master'!B24</f>
        <v>Financial &amp; Accounting Forensics</v>
      </c>
      <c r="C25" s="10" t="str">
        <f aca="false">'Indicator Master'!D24</f>
        <v>Trade receivables growing far faster than revenue over consecutive years</v>
      </c>
      <c r="D25" s="9" t="str">
        <f aca="false">'Indicator Master'!P24</f>
        <v>High</v>
      </c>
      <c r="E25" s="9" t="n">
        <f aca="false">'Indicator Master'!Q24</f>
        <v>7</v>
      </c>
      <c r="F25" s="36" t="s">
        <v>9124</v>
      </c>
      <c r="G25" s="9" t="n">
        <f aca="false">IF(UPPER(F25)="Y",E25,0)</f>
        <v>0</v>
      </c>
    </row>
    <row r="26" customFormat="false" ht="25.5" hidden="false" customHeight="true" outlineLevel="0" collapsed="false">
      <c r="A26" s="9" t="str">
        <f aca="false">'Indicator Master'!A25</f>
        <v>FIN-022</v>
      </c>
      <c r="B26" s="9" t="str">
        <f aca="false">'Indicator Master'!B25</f>
        <v>Financial &amp; Accounting Forensics</v>
      </c>
      <c r="C26" s="10" t="str">
        <f aca="false">'Indicator Master'!D25</f>
        <v>Debtor days or creditor days impossible for the declared line of business</v>
      </c>
      <c r="D26" s="9" t="str">
        <f aca="false">'Indicator Master'!P25</f>
        <v>Medium</v>
      </c>
      <c r="E26" s="9" t="n">
        <f aca="false">'Indicator Master'!Q25</f>
        <v>5</v>
      </c>
      <c r="F26" s="36" t="s">
        <v>9124</v>
      </c>
      <c r="G26" s="9" t="n">
        <f aca="false">IF(UPPER(F26)="Y",E26,0)</f>
        <v>0</v>
      </c>
    </row>
    <row r="27" customFormat="false" ht="25.5" hidden="false" customHeight="true" outlineLevel="0" collapsed="false">
      <c r="A27" s="9" t="str">
        <f aca="false">'Indicator Master'!A26</f>
        <v>FIN-023</v>
      </c>
      <c r="B27" s="9" t="str">
        <f aca="false">'Indicator Master'!B26</f>
        <v>Financial &amp; Accounting Forensics</v>
      </c>
      <c r="C27" s="10" t="str">
        <f aca="false">'Indicator Master'!D26</f>
        <v>Cash conversion cycle mathematically impossible for the business model</v>
      </c>
      <c r="D27" s="9" t="str">
        <f aca="false">'Indicator Master'!P26</f>
        <v>Medium</v>
      </c>
      <c r="E27" s="9" t="n">
        <f aca="false">'Indicator Master'!Q26</f>
        <v>5</v>
      </c>
      <c r="F27" s="36" t="s">
        <v>9124</v>
      </c>
      <c r="G27" s="9" t="n">
        <f aca="false">IF(UPPER(F27)="Y",E27,0)</f>
        <v>0</v>
      </c>
    </row>
    <row r="28" customFormat="false" ht="25.5" hidden="false" customHeight="true" outlineLevel="0" collapsed="false">
      <c r="A28" s="9" t="str">
        <f aca="false">'Indicator Master'!A27</f>
        <v>FIN-024</v>
      </c>
      <c r="B28" s="9" t="str">
        <f aca="false">'Indicator Master'!B27</f>
        <v>Financial &amp; Accounting Forensics</v>
      </c>
      <c r="C28" s="10" t="str">
        <f aca="false">'Indicator Master'!D27</f>
        <v>Cash and bank balances near zero at every period end despite large turnover</v>
      </c>
      <c r="D28" s="9" t="str">
        <f aca="false">'Indicator Master'!P27</f>
        <v>High</v>
      </c>
      <c r="E28" s="9" t="n">
        <f aca="false">'Indicator Master'!Q27</f>
        <v>7</v>
      </c>
      <c r="F28" s="36" t="s">
        <v>9124</v>
      </c>
      <c r="G28" s="9" t="n">
        <f aca="false">IF(UPPER(F28)="Y",E28,0)</f>
        <v>0</v>
      </c>
    </row>
    <row r="29" customFormat="false" ht="25.5" hidden="false" customHeight="true" outlineLevel="0" collapsed="false">
      <c r="A29" s="9" t="str">
        <f aca="false">'Indicator Master'!A28</f>
        <v>FIN-025</v>
      </c>
      <c r="B29" s="9" t="str">
        <f aca="false">'Indicator Master'!B28</f>
        <v>Financial &amp; Accounting Forensics</v>
      </c>
      <c r="C29" s="10" t="str">
        <f aca="false">'Indicator Master'!D28</f>
        <v>Large cash-in-hand balance disproportionate to the business and to bank balances</v>
      </c>
      <c r="D29" s="9" t="str">
        <f aca="false">'Indicator Master'!P28</f>
        <v>High</v>
      </c>
      <c r="E29" s="9" t="n">
        <f aca="false">'Indicator Master'!Q28</f>
        <v>6</v>
      </c>
      <c r="F29" s="36" t="s">
        <v>9124</v>
      </c>
      <c r="G29" s="9" t="n">
        <f aca="false">IF(UPPER(F29)="Y",E29,0)</f>
        <v>0</v>
      </c>
    </row>
    <row r="30" customFormat="false" ht="25.5" hidden="false" customHeight="true" outlineLevel="0" collapsed="false">
      <c r="A30" s="9" t="str">
        <f aca="false">'Indicator Master'!A29</f>
        <v>FIN-026</v>
      </c>
      <c r="B30" s="9" t="str">
        <f aca="false">'Indicator Master'!B29</f>
        <v>Financial &amp; Accounting Forensics</v>
      </c>
      <c r="C30" s="10" t="str">
        <f aca="false">'Indicator Master'!D29</f>
        <v>Advances to suppliers that never convert into goods, services or capital assets</v>
      </c>
      <c r="D30" s="9" t="str">
        <f aca="false">'Indicator Master'!P29</f>
        <v>High</v>
      </c>
      <c r="E30" s="9" t="n">
        <f aca="false">'Indicator Master'!Q29</f>
        <v>7</v>
      </c>
      <c r="F30" s="36" t="s">
        <v>9124</v>
      </c>
      <c r="G30" s="9" t="n">
        <f aca="false">IF(UPPER(F30)="Y",E30,0)</f>
        <v>0</v>
      </c>
    </row>
    <row r="31" customFormat="false" ht="25.5" hidden="false" customHeight="true" outlineLevel="0" collapsed="false">
      <c r="A31" s="9" t="str">
        <f aca="false">'Indicator Master'!A30</f>
        <v>FIN-027</v>
      </c>
      <c r="B31" s="9" t="str">
        <f aca="false">'Indicator Master'!B30</f>
        <v>Financial &amp; Accounting Forensics</v>
      </c>
      <c r="C31" s="10" t="str">
        <f aca="false">'Indicator Master'!D30</f>
        <v>Receivables outstanding beyond three years carried at full value with no provision</v>
      </c>
      <c r="D31" s="9" t="str">
        <f aca="false">'Indicator Master'!P30</f>
        <v>Medium</v>
      </c>
      <c r="E31" s="9" t="n">
        <f aca="false">'Indicator Master'!Q30</f>
        <v>5</v>
      </c>
      <c r="F31" s="36" t="s">
        <v>9124</v>
      </c>
      <c r="G31" s="9" t="n">
        <f aca="false">IF(UPPER(F31)="Y",E31,0)</f>
        <v>0</v>
      </c>
    </row>
    <row r="32" customFormat="false" ht="25.5" hidden="false" customHeight="true" outlineLevel="0" collapsed="false">
      <c r="A32" s="9" t="str">
        <f aca="false">'Indicator Master'!A31</f>
        <v>FIN-028</v>
      </c>
      <c r="B32" s="9" t="str">
        <f aca="false">'Indicator Master'!B31</f>
        <v>Financial &amp; Accounting Forensics</v>
      </c>
      <c r="C32" s="10" t="str">
        <f aca="false">'Indicator Master'!D31</f>
        <v>Inventory turnover implausible against sector and against physical movement evidence</v>
      </c>
      <c r="D32" s="9" t="str">
        <f aca="false">'Indicator Master'!P31</f>
        <v>High</v>
      </c>
      <c r="E32" s="9" t="n">
        <f aca="false">'Indicator Master'!Q31</f>
        <v>6</v>
      </c>
      <c r="F32" s="36" t="s">
        <v>9124</v>
      </c>
      <c r="G32" s="9" t="n">
        <f aca="false">IF(UPPER(F32)="Y",E32,0)</f>
        <v>0</v>
      </c>
    </row>
    <row r="33" customFormat="false" ht="25.5" hidden="false" customHeight="true" outlineLevel="0" collapsed="false">
      <c r="A33" s="9" t="str">
        <f aca="false">'Indicator Master'!A32</f>
        <v>FIN-029</v>
      </c>
      <c r="B33" s="9" t="str">
        <f aca="false">'Indicator Master'!B32</f>
        <v>Financial &amp; Accounting Forensics</v>
      </c>
      <c r="C33" s="10" t="str">
        <f aca="false">'Indicator Master'!D32</f>
        <v>Sundry balances and unexplained items written off or written back year after year</v>
      </c>
      <c r="D33" s="9" t="str">
        <f aca="false">'Indicator Master'!P32</f>
        <v>Medium</v>
      </c>
      <c r="E33" s="9" t="n">
        <f aca="false">'Indicator Master'!Q32</f>
        <v>4</v>
      </c>
      <c r="F33" s="36" t="s">
        <v>9124</v>
      </c>
      <c r="G33" s="9" t="n">
        <f aca="false">IF(UPPER(F33)="Y",E33,0)</f>
        <v>0</v>
      </c>
    </row>
    <row r="34" customFormat="false" ht="25.5" hidden="false" customHeight="true" outlineLevel="0" collapsed="false">
      <c r="A34" s="9" t="str">
        <f aca="false">'Indicator Master'!A33</f>
        <v>FIN-030</v>
      </c>
      <c r="B34" s="9" t="str">
        <f aca="false">'Indicator Master'!B33</f>
        <v>Financial &amp; Accounting Forensics</v>
      </c>
      <c r="C34" s="10" t="str">
        <f aca="false">'Indicator Master'!D33</f>
        <v>Substantial loans and advances given interest-free or below the prescribed rate</v>
      </c>
      <c r="D34" s="9" t="str">
        <f aca="false">'Indicator Master'!P33</f>
        <v>Critical</v>
      </c>
      <c r="E34" s="9" t="n">
        <f aca="false">'Indicator Master'!Q33</f>
        <v>9</v>
      </c>
      <c r="F34" s="36" t="s">
        <v>9124</v>
      </c>
      <c r="G34" s="9" t="n">
        <f aca="false">IF(UPPER(F34)="Y",E34,0)</f>
        <v>0</v>
      </c>
    </row>
    <row r="35" customFormat="false" ht="25.5" hidden="false" customHeight="true" outlineLevel="0" collapsed="false">
      <c r="A35" s="9" t="str">
        <f aca="false">'Indicator Master'!A34</f>
        <v>FIN-031</v>
      </c>
      <c r="B35" s="9" t="str">
        <f aca="false">'Indicator Master'!B34</f>
        <v>Financial &amp; Accounting Forensics</v>
      </c>
      <c r="C35" s="10" t="str">
        <f aca="false">'Indicator Master'!D34</f>
        <v>Total accruals to total assets far above sector norm (Sloan / Beneish TATA)</v>
      </c>
      <c r="D35" s="9" t="str">
        <f aca="false">'Indicator Master'!P34</f>
        <v>High</v>
      </c>
      <c r="E35" s="9" t="n">
        <f aca="false">'Indicator Master'!Q34</f>
        <v>7</v>
      </c>
      <c r="F35" s="36" t="s">
        <v>9124</v>
      </c>
      <c r="G35" s="9" t="n">
        <f aca="false">IF(UPPER(F35)="Y",E35,0)</f>
        <v>0</v>
      </c>
    </row>
    <row r="36" customFormat="false" ht="25.5" hidden="false" customHeight="true" outlineLevel="0" collapsed="false">
      <c r="A36" s="9" t="str">
        <f aca="false">'Indicator Master'!A35</f>
        <v>FIN-032</v>
      </c>
      <c r="B36" s="9" t="str">
        <f aca="false">'Indicator Master'!B35</f>
        <v>Financial &amp; Accounting Forensics</v>
      </c>
      <c r="C36" s="10" t="str">
        <f aca="false">'Indicator Master'!D35</f>
        <v>Profit reported every year while operating cash flow stays negative or near zero</v>
      </c>
      <c r="D36" s="9" t="str">
        <f aca="false">'Indicator Master'!P35</f>
        <v>High</v>
      </c>
      <c r="E36" s="9" t="n">
        <f aca="false">'Indicator Master'!Q35</f>
        <v>8</v>
      </c>
      <c r="F36" s="36" t="s">
        <v>9124</v>
      </c>
      <c r="G36" s="9" t="n">
        <f aca="false">IF(UPPER(F36)="Y",E36,0)</f>
        <v>0</v>
      </c>
    </row>
    <row r="37" customFormat="false" ht="25.5" hidden="false" customHeight="true" outlineLevel="0" collapsed="false">
      <c r="A37" s="9" t="str">
        <f aca="false">'Indicator Master'!A36</f>
        <v>FIN-033</v>
      </c>
      <c r="B37" s="9" t="str">
        <f aca="false">'Indicator Master'!B36</f>
        <v>Financial &amp; Accounting Forensics</v>
      </c>
      <c r="C37" s="10" t="str">
        <f aca="false">'Indicator Master'!D36</f>
        <v>Beneish eight-variable M-Score above the -1.78 manipulation threshold</v>
      </c>
      <c r="D37" s="9" t="str">
        <f aca="false">'Indicator Master'!P36</f>
        <v>High</v>
      </c>
      <c r="E37" s="9" t="n">
        <f aca="false">'Indicator Master'!Q36</f>
        <v>7</v>
      </c>
      <c r="F37" s="36" t="s">
        <v>9124</v>
      </c>
      <c r="G37" s="9" t="n">
        <f aca="false">IF(UPPER(F37)="Y",E37,0)</f>
        <v>0</v>
      </c>
    </row>
    <row r="38" customFormat="false" ht="25.5" hidden="false" customHeight="true" outlineLevel="0" collapsed="false">
      <c r="A38" s="9" t="str">
        <f aca="false">'Indicator Master'!A37</f>
        <v>FIN-034</v>
      </c>
      <c r="B38" s="9" t="str">
        <f aca="false">'Indicator Master'!B37</f>
        <v>Financial &amp; Accounting Forensics</v>
      </c>
      <c r="C38" s="10" t="str">
        <f aca="false">'Indicator Master'!D37</f>
        <v>Days sales in receivables index (DSRI) above 1.4 for two consecutive years</v>
      </c>
      <c r="D38" s="9" t="str">
        <f aca="false">'Indicator Master'!P37</f>
        <v>Medium</v>
      </c>
      <c r="E38" s="9" t="n">
        <f aca="false">'Indicator Master'!Q37</f>
        <v>5</v>
      </c>
      <c r="F38" s="36" t="s">
        <v>9124</v>
      </c>
      <c r="G38" s="9" t="n">
        <f aca="false">IF(UPPER(F38)="Y",E38,0)</f>
        <v>0</v>
      </c>
    </row>
    <row r="39" customFormat="false" ht="25.5" hidden="false" customHeight="true" outlineLevel="0" collapsed="false">
      <c r="A39" s="9" t="str">
        <f aca="false">'Indicator Master'!A38</f>
        <v>FIN-035</v>
      </c>
      <c r="B39" s="9" t="str">
        <f aca="false">'Indicator Master'!B38</f>
        <v>Financial &amp; Accounting Forensics</v>
      </c>
      <c r="C39" s="10" t="str">
        <f aca="false">'Indicator Master'!D38</f>
        <v>Asset quality index (AQI) above 1.3 with soft assets dominating the balance sheet</v>
      </c>
      <c r="D39" s="9" t="str">
        <f aca="false">'Indicator Master'!P38</f>
        <v>Medium</v>
      </c>
      <c r="E39" s="9" t="n">
        <f aca="false">'Indicator Master'!Q38</f>
        <v>5</v>
      </c>
      <c r="F39" s="36" t="s">
        <v>9124</v>
      </c>
      <c r="G39" s="9" t="n">
        <f aca="false">IF(UPPER(F39)="Y",E39,0)</f>
        <v>0</v>
      </c>
    </row>
    <row r="40" customFormat="false" ht="25.5" hidden="false" customHeight="true" outlineLevel="0" collapsed="false">
      <c r="A40" s="9" t="str">
        <f aca="false">'Indicator Master'!A39</f>
        <v>FIN-036</v>
      </c>
      <c r="B40" s="9" t="str">
        <f aca="false">'Indicator Master'!B39</f>
        <v>Financial &amp; Accounting Forensics</v>
      </c>
      <c r="C40" s="10" t="str">
        <f aca="false">'Indicator Master'!D39</f>
        <v>Sales growth index (SGI) extreme with no matching growth in inputs or capacity</v>
      </c>
      <c r="D40" s="9" t="str">
        <f aca="false">'Indicator Master'!P39</f>
        <v>Low</v>
      </c>
      <c r="E40" s="9" t="n">
        <f aca="false">'Indicator Master'!Q39</f>
        <v>2</v>
      </c>
      <c r="F40" s="36" t="s">
        <v>9124</v>
      </c>
      <c r="G40" s="9" t="n">
        <f aca="false">IF(UPPER(F40)="Y",E40,0)</f>
        <v>0</v>
      </c>
    </row>
    <row r="41" customFormat="false" ht="25.5" hidden="false" customHeight="true" outlineLevel="0" collapsed="false">
      <c r="A41" s="9" t="str">
        <f aca="false">'Indicator Master'!A40</f>
        <v>FIN-037</v>
      </c>
      <c r="B41" s="9" t="str">
        <f aca="false">'Indicator Master'!B40</f>
        <v>Financial &amp; Accounting Forensics</v>
      </c>
      <c r="C41" s="10" t="str">
        <f aca="false">'Indicator Master'!D40</f>
        <v>Depreciation index (DEPI) above 1.2 showing a slowed depreciation rate</v>
      </c>
      <c r="D41" s="9" t="str">
        <f aca="false">'Indicator Master'!P40</f>
        <v>Low</v>
      </c>
      <c r="E41" s="9" t="n">
        <f aca="false">'Indicator Master'!Q40</f>
        <v>2</v>
      </c>
      <c r="F41" s="36" t="s">
        <v>9124</v>
      </c>
      <c r="G41" s="9" t="n">
        <f aca="false">IF(UPPER(F41)="Y",E41,0)</f>
        <v>0</v>
      </c>
    </row>
    <row r="42" customFormat="false" ht="25.5" hidden="false" customHeight="true" outlineLevel="0" collapsed="false">
      <c r="A42" s="9" t="str">
        <f aca="false">'Indicator Master'!A41</f>
        <v>FIN-038</v>
      </c>
      <c r="B42" s="9" t="str">
        <f aca="false">'Indicator Master'!B41</f>
        <v>Financial &amp; Accounting Forensics</v>
      </c>
      <c r="C42" s="10" t="str">
        <f aca="false">'Indicator Master'!D41</f>
        <v>Altman Z-Score in the distress zone while the P&amp;L reports healthy profit</v>
      </c>
      <c r="D42" s="9" t="str">
        <f aca="false">'Indicator Master'!P41</f>
        <v>Medium</v>
      </c>
      <c r="E42" s="9" t="n">
        <f aca="false">'Indicator Master'!Q41</f>
        <v>5</v>
      </c>
      <c r="F42" s="36" t="s">
        <v>9124</v>
      </c>
      <c r="G42" s="9" t="n">
        <f aca="false">IF(UPPER(F42)="Y",E42,0)</f>
        <v>0</v>
      </c>
    </row>
    <row r="43" customFormat="false" ht="25.5" hidden="false" customHeight="true" outlineLevel="0" collapsed="false">
      <c r="A43" s="9" t="str">
        <f aca="false">'Indicator Master'!A42</f>
        <v>FIN-039</v>
      </c>
      <c r="B43" s="9" t="str">
        <f aca="false">'Indicator Master'!B42</f>
        <v>Financial &amp; Accounting Forensics</v>
      </c>
      <c r="C43" s="10" t="str">
        <f aca="false">'Indicator Master'!D42</f>
        <v>Gross margin implausibly stable year on year and out of line with sector peers</v>
      </c>
      <c r="D43" s="9" t="str">
        <f aca="false">'Indicator Master'!P42</f>
        <v>Medium</v>
      </c>
      <c r="E43" s="9" t="n">
        <f aca="false">'Indicator Master'!Q42</f>
        <v>5</v>
      </c>
      <c r="F43" s="36" t="s">
        <v>9124</v>
      </c>
      <c r="G43" s="9" t="n">
        <f aca="false">IF(UPPER(F43)="Y",E43,0)</f>
        <v>0</v>
      </c>
    </row>
    <row r="44" customFormat="false" ht="25.5" hidden="false" customHeight="true" outlineLevel="0" collapsed="false">
      <c r="A44" s="9" t="str">
        <f aca="false">'Indicator Master'!A43</f>
        <v>FIN-040</v>
      </c>
      <c r="B44" s="9" t="str">
        <f aca="false">'Indicator Master'!B43</f>
        <v>Financial &amp; Accounting Forensics</v>
      </c>
      <c r="C44" s="10" t="str">
        <f aca="false">'Indicator Master'!D43</f>
        <v>Asset turnover and revenue per employee extreme against sector peers</v>
      </c>
      <c r="D44" s="9" t="str">
        <f aca="false">'Indicator Master'!P43</f>
        <v>Low</v>
      </c>
      <c r="E44" s="9" t="n">
        <f aca="false">'Indicator Master'!Q43</f>
        <v>2</v>
      </c>
      <c r="F44" s="36" t="s">
        <v>9124</v>
      </c>
      <c r="G44" s="9" t="n">
        <f aca="false">IF(UPPER(F44)="Y",E44,0)</f>
        <v>0</v>
      </c>
    </row>
    <row r="45" customFormat="false" ht="25.5" hidden="false" customHeight="true" outlineLevel="0" collapsed="false">
      <c r="A45" s="9" t="str">
        <f aca="false">'Indicator Master'!A44</f>
        <v>FIN-041</v>
      </c>
      <c r="B45" s="9" t="str">
        <f aca="false">'Indicator Master'!B44</f>
        <v>Financial &amp; Accounting Forensics</v>
      </c>
      <c r="C45" s="10" t="str">
        <f aca="false">'Indicator Master'!D44</f>
        <v>Interest expense inconsistent with declared borrowings and registered charges</v>
      </c>
      <c r="D45" s="9" t="str">
        <f aca="false">'Indicator Master'!P44</f>
        <v>Critical</v>
      </c>
      <c r="E45" s="9" t="n">
        <f aca="false">'Indicator Master'!Q44</f>
        <v>9</v>
      </c>
      <c r="F45" s="36" t="s">
        <v>9124</v>
      </c>
      <c r="G45" s="9" t="n">
        <f aca="false">IF(UPPER(F45)="Y",E45,0)</f>
        <v>0</v>
      </c>
    </row>
    <row r="46" customFormat="false" ht="25.5" hidden="false" customHeight="true" outlineLevel="0" collapsed="false">
      <c r="A46" s="9" t="str">
        <f aca="false">'Indicator Master'!A45</f>
        <v>FIN-042</v>
      </c>
      <c r="B46" s="9" t="str">
        <f aca="false">'Indicator Master'!B45</f>
        <v>Financial &amp; Accounting Forensics</v>
      </c>
      <c r="C46" s="10" t="str">
        <f aca="false">'Indicator Master'!D45</f>
        <v>Benford first-digit conformity failure on the general ledger amount population</v>
      </c>
      <c r="D46" s="9" t="str">
        <f aca="false">'Indicator Master'!P45</f>
        <v>Medium</v>
      </c>
      <c r="E46" s="9" t="n">
        <f aca="false">'Indicator Master'!Q45</f>
        <v>5</v>
      </c>
      <c r="F46" s="36" t="s">
        <v>9124</v>
      </c>
      <c r="G46" s="9" t="n">
        <f aca="false">IF(UPPER(F46)="Y",E46,0)</f>
        <v>0</v>
      </c>
    </row>
    <row r="47" customFormat="false" ht="25.5" hidden="false" customHeight="true" outlineLevel="0" collapsed="false">
      <c r="A47" s="9" t="str">
        <f aca="false">'Indicator Master'!A46</f>
        <v>FIN-043</v>
      </c>
      <c r="B47" s="9" t="str">
        <f aca="false">'Indicator Master'!B46</f>
        <v>Financial &amp; Accounting Forensics</v>
      </c>
      <c r="C47" s="10" t="str">
        <f aca="false">'Indicator Master'!D46</f>
        <v>Benford first-two-digit test failure on outward invoice values</v>
      </c>
      <c r="D47" s="9" t="str">
        <f aca="false">'Indicator Master'!P46</f>
        <v>Medium</v>
      </c>
      <c r="E47" s="9" t="n">
        <f aca="false">'Indicator Master'!Q46</f>
        <v>5</v>
      </c>
      <c r="F47" s="36" t="s">
        <v>9124</v>
      </c>
      <c r="G47" s="9" t="n">
        <f aca="false">IF(UPPER(F47)="Y",E47,0)</f>
        <v>0</v>
      </c>
    </row>
    <row r="48" customFormat="false" ht="25.5" hidden="false" customHeight="true" outlineLevel="0" collapsed="false">
      <c r="A48" s="9" t="str">
        <f aca="false">'Indicator Master'!A47</f>
        <v>FIN-044</v>
      </c>
      <c r="B48" s="9" t="str">
        <f aca="false">'Indicator Master'!B47</f>
        <v>Financial &amp; Accounting Forensics</v>
      </c>
      <c r="C48" s="10" t="str">
        <f aca="false">'Indicator Master'!D47</f>
        <v>High density of round-number and duplicate amounts in sales and purchase entries</v>
      </c>
      <c r="D48" s="9" t="str">
        <f aca="false">'Indicator Master'!P47</f>
        <v>Medium</v>
      </c>
      <c r="E48" s="9" t="n">
        <f aca="false">'Indicator Master'!Q47</f>
        <v>5</v>
      </c>
      <c r="F48" s="36" t="s">
        <v>9124</v>
      </c>
      <c r="G48" s="9" t="n">
        <f aca="false">IF(UPPER(F48)="Y",E48,0)</f>
        <v>0</v>
      </c>
    </row>
    <row r="49" customFormat="false" ht="25.5" hidden="false" customHeight="true" outlineLevel="0" collapsed="false">
      <c r="A49" s="9" t="str">
        <f aca="false">'Indicator Master'!A48</f>
        <v>FIN-045</v>
      </c>
      <c r="B49" s="9" t="str">
        <f aca="false">'Indicator Master'!B48</f>
        <v>Financial &amp; Accounting Forensics</v>
      </c>
      <c r="C49" s="10" t="str">
        <f aca="false">'Indicator Master'!D48</f>
        <v>Transaction values clustering just below statutory or internal approval thresholds</v>
      </c>
      <c r="D49" s="9" t="str">
        <f aca="false">'Indicator Master'!P48</f>
        <v>High</v>
      </c>
      <c r="E49" s="9" t="n">
        <f aca="false">'Indicator Master'!Q48</f>
        <v>7</v>
      </c>
      <c r="F49" s="36" t="s">
        <v>9124</v>
      </c>
      <c r="G49" s="9" t="n">
        <f aca="false">IF(UPPER(F49)="Y",E49,0)</f>
        <v>0</v>
      </c>
    </row>
    <row r="50" customFormat="false" ht="25.5" hidden="false" customHeight="true" outlineLevel="0" collapsed="false">
      <c r="A50" s="9" t="str">
        <f aca="false">'Indicator Master'!A49</f>
        <v>FIN-046</v>
      </c>
      <c r="B50" s="9" t="str">
        <f aca="false">'Indicator Master'!B49</f>
        <v>Financial &amp; Accounting Forensics</v>
      </c>
      <c r="C50" s="10" t="str">
        <f aca="false">'Indicator Master'!D49</f>
        <v>Related-party transactions form a dominant share of turnover or purchases</v>
      </c>
      <c r="D50" s="9" t="str">
        <f aca="false">'Indicator Master'!P49</f>
        <v>High</v>
      </c>
      <c r="E50" s="9" t="n">
        <f aca="false">'Indicator Master'!Q49</f>
        <v>7</v>
      </c>
      <c r="F50" s="36" t="s">
        <v>9124</v>
      </c>
      <c r="G50" s="9" t="n">
        <f aca="false">IF(UPPER(F50)="Y",E50,0)</f>
        <v>0</v>
      </c>
    </row>
    <row r="51" customFormat="false" ht="25.5" hidden="false" customHeight="true" outlineLevel="0" collapsed="false">
      <c r="A51" s="9" t="str">
        <f aca="false">'Indicator Master'!A50</f>
        <v>FIN-047</v>
      </c>
      <c r="B51" s="9" t="str">
        <f aca="false">'Indicator Master'!B50</f>
        <v>Financial &amp; Accounting Forensics</v>
      </c>
      <c r="C51" s="10" t="str">
        <f aca="false">'Indicator Master'!D50</f>
        <v>Sales to and purchases from the same counterparty at near-equal value</v>
      </c>
      <c r="D51" s="9" t="str">
        <f aca="false">'Indicator Master'!P50</f>
        <v>Critical</v>
      </c>
      <c r="E51" s="9" t="n">
        <f aca="false">'Indicator Master'!Q50</f>
        <v>9</v>
      </c>
      <c r="F51" s="36" t="s">
        <v>9124</v>
      </c>
      <c r="G51" s="9" t="n">
        <f aca="false">IF(UPPER(F51)="Y",E51,0)</f>
        <v>0</v>
      </c>
    </row>
    <row r="52" customFormat="false" ht="25.5" hidden="false" customHeight="true" outlineLevel="0" collapsed="false">
      <c r="A52" s="9" t="str">
        <f aca="false">'Indicator Master'!A51</f>
        <v>FIN-048</v>
      </c>
      <c r="B52" s="9" t="str">
        <f aca="false">'Indicator Master'!B51</f>
        <v>Financial &amp; Accounting Forensics</v>
      </c>
      <c r="C52" s="10" t="str">
        <f aca="false">'Indicator Master'!D51</f>
        <v>Related-party loans renewed or rolled over without repayment (CARO 3(iii) adverse)</v>
      </c>
      <c r="D52" s="9" t="str">
        <f aca="false">'Indicator Master'!P51</f>
        <v>Medium</v>
      </c>
      <c r="E52" s="9" t="n">
        <f aca="false">'Indicator Master'!Q51</f>
        <v>5</v>
      </c>
      <c r="F52" s="36" t="s">
        <v>9124</v>
      </c>
      <c r="G52" s="9" t="n">
        <f aca="false">IF(UPPER(F52)="Y",E52,0)</f>
        <v>0</v>
      </c>
    </row>
    <row r="53" customFormat="false" ht="25.5" hidden="false" customHeight="true" outlineLevel="0" collapsed="false">
      <c r="A53" s="9" t="str">
        <f aca="false">'Indicator Master'!A52</f>
        <v>FIN-049</v>
      </c>
      <c r="B53" s="9" t="str">
        <f aca="false">'Indicator Master'!B52</f>
        <v>Financial &amp; Accounting Forensics</v>
      </c>
      <c r="C53" s="10" t="str">
        <f aca="false">'Indicator Master'!D52</f>
        <v>Corporate guarantees given far out of proportion to net worth</v>
      </c>
      <c r="D53" s="9" t="str">
        <f aca="false">'Indicator Master'!P52</f>
        <v>High</v>
      </c>
      <c r="E53" s="9" t="n">
        <f aca="false">'Indicator Master'!Q52</f>
        <v>8</v>
      </c>
      <c r="F53" s="36" t="s">
        <v>9124</v>
      </c>
      <c r="G53" s="9" t="n">
        <f aca="false">IF(UPPER(F53)="Y",E53,0)</f>
        <v>0</v>
      </c>
    </row>
    <row r="54" customFormat="false" ht="25.5" hidden="false" customHeight="true" outlineLevel="0" collapsed="false">
      <c r="A54" s="9" t="str">
        <f aca="false">'Indicator Master'!A53</f>
        <v>FIN-050</v>
      </c>
      <c r="B54" s="9" t="str">
        <f aca="false">'Indicator Master'!B53</f>
        <v>Financial &amp; Accounting Forensics</v>
      </c>
      <c r="C54" s="10" t="str">
        <f aca="false">'Indicator Master'!D53</f>
        <v>Investments in group entities impaired or written off within two years of being made</v>
      </c>
      <c r="D54" s="9" t="str">
        <f aca="false">'Indicator Master'!P53</f>
        <v>Critical</v>
      </c>
      <c r="E54" s="9" t="n">
        <f aca="false">'Indicator Master'!Q53</f>
        <v>9</v>
      </c>
      <c r="F54" s="36" t="s">
        <v>9124</v>
      </c>
      <c r="G54" s="9" t="n">
        <f aca="false">IF(UPPER(F54)="Y",E54,0)</f>
        <v>0</v>
      </c>
    </row>
    <row r="55" customFormat="false" ht="25.5" hidden="false" customHeight="true" outlineLevel="0" collapsed="false">
      <c r="A55" s="9" t="str">
        <f aca="false">'Indicator Master'!A54</f>
        <v>FIN-051</v>
      </c>
      <c r="B55" s="9" t="str">
        <f aca="false">'Indicator Master'!B54</f>
        <v>Financial &amp; Accounting Forensics</v>
      </c>
      <c r="C55" s="10" t="str">
        <f aca="false">'Indicator Master'!D54</f>
        <v>Large share premium raised with no registered valuer or merchant banker valuation</v>
      </c>
      <c r="D55" s="9" t="str">
        <f aca="false">'Indicator Master'!P54</f>
        <v>Critical</v>
      </c>
      <c r="E55" s="9" t="n">
        <f aca="false">'Indicator Master'!Q54</f>
        <v>9</v>
      </c>
      <c r="F55" s="36" t="s">
        <v>9124</v>
      </c>
      <c r="G55" s="9" t="n">
        <f aca="false">IF(UPPER(F55)="Y",E55,0)</f>
        <v>0</v>
      </c>
    </row>
    <row r="56" customFormat="false" ht="25.5" hidden="false" customHeight="true" outlineLevel="0" collapsed="false">
      <c r="A56" s="9" t="str">
        <f aca="false">'Indicator Master'!A55</f>
        <v>FIN-052</v>
      </c>
      <c r="B56" s="9" t="str">
        <f aca="false">'Indicator Master'!B55</f>
        <v>Financial &amp; Accounting Forensics</v>
      </c>
      <c r="C56" s="10" t="str">
        <f aca="false">'Indicator Master'!D55</f>
        <v>Share application money pending allotment carried beyond 60 days across years</v>
      </c>
      <c r="D56" s="9" t="str">
        <f aca="false">'Indicator Master'!P55</f>
        <v>Medium</v>
      </c>
      <c r="E56" s="9" t="n">
        <f aca="false">'Indicator Master'!Q55</f>
        <v>5</v>
      </c>
      <c r="F56" s="36" t="s">
        <v>9124</v>
      </c>
      <c r="G56" s="9" t="n">
        <f aca="false">IF(UPPER(F56)="Y",E56,0)</f>
        <v>0</v>
      </c>
    </row>
    <row r="57" customFormat="false" ht="25.5" hidden="false" customHeight="true" outlineLevel="0" collapsed="false">
      <c r="A57" s="9" t="str">
        <f aca="false">'Indicator Master'!A56</f>
        <v>FIN-053</v>
      </c>
      <c r="B57" s="9" t="str">
        <f aca="false">'Indicator Master'!B56</f>
        <v>Financial &amp; Accounting Forensics</v>
      </c>
      <c r="C57" s="10" t="str">
        <f aca="false">'Indicator Master'!D56</f>
        <v>Unsecured loans from directors and relatives dwarfing paid-up capital</v>
      </c>
      <c r="D57" s="9" t="str">
        <f aca="false">'Indicator Master'!P56</f>
        <v>Medium</v>
      </c>
      <c r="E57" s="9" t="n">
        <f aca="false">'Indicator Master'!Q56</f>
        <v>4</v>
      </c>
      <c r="F57" s="36" t="s">
        <v>9124</v>
      </c>
      <c r="G57" s="9" t="n">
        <f aca="false">IF(UPPER(F57)="Y",E57,0)</f>
        <v>0</v>
      </c>
    </row>
    <row r="58" customFormat="false" ht="25.5" hidden="false" customHeight="true" outlineLevel="0" collapsed="false">
      <c r="A58" s="9" t="str">
        <f aca="false">'Indicator Master'!A57</f>
        <v>FIN-054</v>
      </c>
      <c r="B58" s="9" t="str">
        <f aca="false">'Indicator Master'!B57</f>
        <v>Financial &amp; Accounting Forensics</v>
      </c>
      <c r="C58" s="10" t="str">
        <f aca="false">'Indicator Master'!D57</f>
        <v>Negative net worth yet continuing large turnover and fresh credit</v>
      </c>
      <c r="D58" s="9" t="str">
        <f aca="false">'Indicator Master'!P57</f>
        <v>High</v>
      </c>
      <c r="E58" s="9" t="n">
        <f aca="false">'Indicator Master'!Q57</f>
        <v>7</v>
      </c>
      <c r="F58" s="36" t="s">
        <v>9124</v>
      </c>
      <c r="G58" s="9" t="n">
        <f aca="false">IF(UPPER(F58)="Y",E58,0)</f>
        <v>0</v>
      </c>
    </row>
    <row r="59" customFormat="false" ht="25.5" hidden="false" customHeight="true" outlineLevel="0" collapsed="false">
      <c r="A59" s="9" t="str">
        <f aca="false">'Indicator Master'!A58</f>
        <v>FIN-055</v>
      </c>
      <c r="B59" s="9" t="str">
        <f aca="false">'Indicator Master'!B58</f>
        <v>Financial &amp; Accounting Forensics</v>
      </c>
      <c r="C59" s="10" t="str">
        <f aca="false">'Indicator Master'!D58</f>
        <v>Qualified, adverse or disclaimer opinion, or material uncertainty on going concern</v>
      </c>
      <c r="D59" s="9" t="str">
        <f aca="false">'Indicator Master'!P58</f>
        <v>Critical</v>
      </c>
      <c r="E59" s="9" t="n">
        <f aca="false">'Indicator Master'!Q58</f>
        <v>9</v>
      </c>
      <c r="F59" s="36" t="s">
        <v>9124</v>
      </c>
      <c r="G59" s="9" t="n">
        <f aca="false">IF(UPPER(F59)="Y",E59,0)</f>
        <v>0</v>
      </c>
    </row>
    <row r="60" customFormat="false" ht="25.5" hidden="false" customHeight="true" outlineLevel="0" collapsed="false">
      <c r="A60" s="9" t="str">
        <f aca="false">'Indicator Master'!A59</f>
        <v>FIN-056</v>
      </c>
      <c r="B60" s="9" t="str">
        <f aca="false">'Indicator Master'!B59</f>
        <v>Financial &amp; Accounting Forensics</v>
      </c>
      <c r="C60" s="10" t="str">
        <f aca="false">'Indicator Master'!D59</f>
        <v>Statutory dues in arrears beyond six months reported under CARO 3(vii)</v>
      </c>
      <c r="D60" s="9" t="str">
        <f aca="false">'Indicator Master'!P59</f>
        <v>Medium</v>
      </c>
      <c r="E60" s="9" t="n">
        <f aca="false">'Indicator Master'!Q59</f>
        <v>5</v>
      </c>
      <c r="F60" s="36" t="s">
        <v>9124</v>
      </c>
      <c r="G60" s="9" t="n">
        <f aca="false">IF(UPPER(F60)="Y",E60,0)</f>
        <v>0</v>
      </c>
    </row>
    <row r="61" customFormat="false" ht="25.5" hidden="false" customHeight="true" outlineLevel="0" collapsed="false">
      <c r="A61" s="9" t="str">
        <f aca="false">'Indicator Master'!A60</f>
        <v>FIN-057</v>
      </c>
      <c r="B61" s="9" t="str">
        <f aca="false">'Indicator Master'!B60</f>
        <v>Financial &amp; Accounting Forensics</v>
      </c>
      <c r="C61" s="10" t="str">
        <f aca="false">'Indicator Master'!D60</f>
        <v>Raised funds diverted from stated purpose or preferential allotment breach (CARO 3(x))</v>
      </c>
      <c r="D61" s="9" t="str">
        <f aca="false">'Indicator Master'!P60</f>
        <v>High</v>
      </c>
      <c r="E61" s="9" t="n">
        <f aca="false">'Indicator Master'!Q60</f>
        <v>8</v>
      </c>
      <c r="F61" s="36" t="s">
        <v>9124</v>
      </c>
      <c r="G61" s="9" t="n">
        <f aca="false">IF(UPPER(F61)="Y",E61,0)</f>
        <v>0</v>
      </c>
    </row>
    <row r="62" customFormat="false" ht="25.5" hidden="false" customHeight="true" outlineLevel="0" collapsed="false">
      <c r="A62" s="9" t="str">
        <f aca="false">'Indicator Master'!A61</f>
        <v>FIN-058</v>
      </c>
      <c r="B62" s="9" t="str">
        <f aca="false">'Indicator Master'!B61</f>
        <v>Financial &amp; Accounting Forensics</v>
      </c>
      <c r="C62" s="10" t="str">
        <f aca="false">'Indicator Master'!D61</f>
        <v>Fraud reported by or on the company under CARO 3(xi) or auditor Form ADT-4</v>
      </c>
      <c r="D62" s="9" t="str">
        <f aca="false">'Indicator Master'!P61</f>
        <v>Critical</v>
      </c>
      <c r="E62" s="9" t="n">
        <f aca="false">'Indicator Master'!Q61</f>
        <v>10</v>
      </c>
      <c r="F62" s="36" t="s">
        <v>9124</v>
      </c>
      <c r="G62" s="9" t="n">
        <f aca="false">IF(UPPER(F62)="Y",E62,0)</f>
        <v>0</v>
      </c>
    </row>
    <row r="63" customFormat="false" ht="25.5" hidden="false" customHeight="true" outlineLevel="0" collapsed="false">
      <c r="A63" s="9" t="str">
        <f aca="false">'Indicator Master'!A62</f>
        <v>FIN-059</v>
      </c>
      <c r="B63" s="9" t="str">
        <f aca="false">'Indicator Master'!B62</f>
        <v>Financial &amp; Accounting Forensics</v>
      </c>
      <c r="C63" s="10" t="str">
        <f aca="false">'Indicator Master'!D62</f>
        <v>Notes to accounts blank, boilerplate or missing mandatory Schedule III disclosures</v>
      </c>
      <c r="D63" s="9" t="str">
        <f aca="false">'Indicator Master'!P62</f>
        <v>Low</v>
      </c>
      <c r="E63" s="9" t="n">
        <f aca="false">'Indicator Master'!Q62</f>
        <v>2</v>
      </c>
      <c r="F63" s="36" t="s">
        <v>9124</v>
      </c>
      <c r="G63" s="9" t="n">
        <f aca="false">IF(UPPER(F63)="Y",E63,0)</f>
        <v>0</v>
      </c>
    </row>
    <row r="64" customFormat="false" ht="25.5" hidden="false" customHeight="true" outlineLevel="0" collapsed="false">
      <c r="A64" s="9" t="str">
        <f aca="false">'Indicator Master'!A63</f>
        <v>FIN-060</v>
      </c>
      <c r="B64" s="9" t="str">
        <f aca="false">'Indicator Master'!B63</f>
        <v>Financial &amp; Accounting Forensics</v>
      </c>
      <c r="C64" s="10" t="str">
        <f aca="false">'Indicator Master'!D63</f>
        <v>Prior-period figures restated or accounting policy changed repeatedly</v>
      </c>
      <c r="D64" s="9" t="str">
        <f aca="false">'Indicator Master'!P63</f>
        <v>Low</v>
      </c>
      <c r="E64" s="9" t="n">
        <f aca="false">'Indicator Master'!Q63</f>
        <v>2</v>
      </c>
      <c r="F64" s="36" t="s">
        <v>9124</v>
      </c>
      <c r="G64" s="9" t="n">
        <f aca="false">IF(UPPER(F64)="Y",E64,0)</f>
        <v>0</v>
      </c>
    </row>
    <row r="65" customFormat="false" ht="25.5" hidden="false" customHeight="true" outlineLevel="0" collapsed="false">
      <c r="A65" s="9" t="str">
        <f aca="false">'Indicator Master'!A64</f>
        <v>CMP-001</v>
      </c>
      <c r="B65" s="9" t="str">
        <f aca="false">'Indicator Master'!B64</f>
        <v>Compliance &amp; Regulatory Filing</v>
      </c>
      <c r="C65" s="10" t="str">
        <f aca="false">'Indicator Master'!D64</f>
        <v>MCA status Strike Off or Under Process of Striking Off while still transacting</v>
      </c>
      <c r="D65" s="9" t="str">
        <f aca="false">'Indicator Master'!P64</f>
        <v>Critical</v>
      </c>
      <c r="E65" s="9" t="n">
        <f aca="false">'Indicator Master'!Q64</f>
        <v>9</v>
      </c>
      <c r="F65" s="36" t="s">
        <v>9124</v>
      </c>
      <c r="G65" s="9" t="n">
        <f aca="false">IF(UPPER(F65)="Y",E65,0)</f>
        <v>0</v>
      </c>
    </row>
    <row r="66" customFormat="false" ht="25.5" hidden="false" customHeight="true" outlineLevel="0" collapsed="false">
      <c r="A66" s="9" t="str">
        <f aca="false">'Indicator Master'!A65</f>
        <v>CMP-002</v>
      </c>
      <c r="B66" s="9" t="str">
        <f aca="false">'Indicator Master'!B65</f>
        <v>Compliance &amp; Regulatory Filing</v>
      </c>
      <c r="C66" s="10" t="str">
        <f aca="false">'Indicator Master'!D65</f>
        <v>Dormant status u/s 455 declared while GST or bank activity continues</v>
      </c>
      <c r="D66" s="9" t="str">
        <f aca="false">'Indicator Master'!P65</f>
        <v>High</v>
      </c>
      <c r="E66" s="9" t="n">
        <f aca="false">'Indicator Master'!Q65</f>
        <v>7</v>
      </c>
      <c r="F66" s="36" t="s">
        <v>9124</v>
      </c>
      <c r="G66" s="9" t="n">
        <f aca="false">IF(UPPER(F66)="Y",E66,0)</f>
        <v>0</v>
      </c>
    </row>
    <row r="67" customFormat="false" ht="25.5" hidden="false" customHeight="true" outlineLevel="0" collapsed="false">
      <c r="A67" s="9" t="str">
        <f aca="false">'Indicator Master'!A66</f>
        <v>CMP-003</v>
      </c>
      <c r="B67" s="9" t="str">
        <f aca="false">'Indicator Master'!B66</f>
        <v>Compliance &amp; Regulatory Filing</v>
      </c>
      <c r="C67" s="10" t="str">
        <f aca="false">'Indicator Master'!D66</f>
        <v>ACTIVE non-compliant tag — INC-22A never filed</v>
      </c>
      <c r="D67" s="9" t="str">
        <f aca="false">'Indicator Master'!P66</f>
        <v>Medium</v>
      </c>
      <c r="E67" s="9" t="n">
        <f aca="false">'Indicator Master'!Q66</f>
        <v>5</v>
      </c>
      <c r="F67" s="36" t="s">
        <v>9124</v>
      </c>
      <c r="G67" s="9" t="n">
        <f aca="false">IF(UPPER(F67)="Y",E67,0)</f>
        <v>0</v>
      </c>
    </row>
    <row r="68" customFormat="false" ht="25.5" hidden="false" customHeight="true" outlineLevel="0" collapsed="false">
      <c r="A68" s="9" t="str">
        <f aca="false">'Indicator Master'!A67</f>
        <v>CMP-004</v>
      </c>
      <c r="B68" s="9" t="str">
        <f aca="false">'Indicator Master'!B67</f>
        <v>Compliance &amp; Regulatory Filing</v>
      </c>
      <c r="C68" s="10" t="str">
        <f aca="false">'Indicator Master'!D67</f>
        <v>Entity or its directors appear on the MCA/SEBI vanishing companies list</v>
      </c>
      <c r="D68" s="9" t="str">
        <f aca="false">'Indicator Master'!P67</f>
        <v>Critical</v>
      </c>
      <c r="E68" s="9" t="n">
        <f aca="false">'Indicator Master'!Q67</f>
        <v>10</v>
      </c>
      <c r="F68" s="36" t="s">
        <v>9124</v>
      </c>
      <c r="G68" s="9" t="n">
        <f aca="false">IF(UPPER(F68)="Y",E68,0)</f>
        <v>0</v>
      </c>
    </row>
    <row r="69" customFormat="false" ht="25.5" hidden="false" customHeight="true" outlineLevel="0" collapsed="false">
      <c r="A69" s="9" t="str">
        <f aca="false">'Indicator Master'!A68</f>
        <v>CMP-005</v>
      </c>
      <c r="B69" s="9" t="str">
        <f aca="false">'Indicator Master'!B68</f>
        <v>Compliance &amp; Regulatory Filing</v>
      </c>
      <c r="C69" s="10" t="str">
        <f aca="false">'Indicator Master'!D68</f>
        <v>Status Amalgamated, Dissolved or Under Liquidation while entity still issues invoices</v>
      </c>
      <c r="D69" s="9" t="str">
        <f aca="false">'Indicator Master'!P68</f>
        <v>High</v>
      </c>
      <c r="E69" s="9" t="n">
        <f aca="false">'Indicator Master'!Q68</f>
        <v>7</v>
      </c>
      <c r="F69" s="36" t="s">
        <v>9124</v>
      </c>
      <c r="G69" s="9" t="n">
        <f aca="false">IF(UPPER(F69)="Y",E69,0)</f>
        <v>0</v>
      </c>
    </row>
    <row r="70" customFormat="false" ht="25.5" hidden="false" customHeight="true" outlineLevel="0" collapsed="false">
      <c r="A70" s="9" t="str">
        <f aca="false">'Indicator Master'!A69</f>
        <v>CMP-006</v>
      </c>
      <c r="B70" s="9" t="str">
        <f aca="false">'Indicator Master'!B69</f>
        <v>Compliance &amp; Regulatory Filing</v>
      </c>
      <c r="C70" s="10" t="str">
        <f aca="false">'Indicator Master'!D69</f>
        <v>Company restored by NCLT u/s 252 shortly before a large transaction</v>
      </c>
      <c r="D70" s="9" t="str">
        <f aca="false">'Indicator Master'!P69</f>
        <v>Medium</v>
      </c>
      <c r="E70" s="9" t="n">
        <f aca="false">'Indicator Master'!Q69</f>
        <v>4</v>
      </c>
      <c r="F70" s="36" t="s">
        <v>9124</v>
      </c>
      <c r="G70" s="9" t="n">
        <f aca="false">IF(UPPER(F70)="Y",E70,0)</f>
        <v>0</v>
      </c>
    </row>
    <row r="71" customFormat="false" ht="25.5" hidden="false" customHeight="true" outlineLevel="0" collapsed="false">
      <c r="A71" s="9" t="str">
        <f aca="false">'Indicator Master'!A70</f>
        <v>CMP-007</v>
      </c>
      <c r="B71" s="9" t="str">
        <f aca="false">'Indicator Master'!B70</f>
        <v>Compliance &amp; Regulatory Filing</v>
      </c>
      <c r="C71" s="10" t="str">
        <f aca="false">'Indicator Master'!D70</f>
        <v>AOC-4 and MGT-7 not filed for two or more consecutive financial years</v>
      </c>
      <c r="D71" s="9" t="str">
        <f aca="false">'Indicator Master'!P70</f>
        <v>Critical</v>
      </c>
      <c r="E71" s="9" t="n">
        <f aca="false">'Indicator Master'!Q70</f>
        <v>9</v>
      </c>
      <c r="F71" s="36" t="s">
        <v>9124</v>
      </c>
      <c r="G71" s="9" t="n">
        <f aca="false">IF(UPPER(F71)="Y",E71,0)</f>
        <v>0</v>
      </c>
    </row>
    <row r="72" customFormat="false" ht="25.5" hidden="false" customHeight="true" outlineLevel="0" collapsed="false">
      <c r="A72" s="9" t="str">
        <f aca="false">'Indicator Master'!A71</f>
        <v>CMP-008</v>
      </c>
      <c r="B72" s="9" t="str">
        <f aca="false">'Indicator Master'!B71</f>
        <v>Compliance &amp; Regulatory Filing</v>
      </c>
      <c r="C72" s="10" t="str">
        <f aca="false">'Indicator Master'!D71</f>
        <v>LLP Form 8 or Form 11 not filed while the LLP shows turnover</v>
      </c>
      <c r="D72" s="9" t="str">
        <f aca="false">'Indicator Master'!P71</f>
        <v>High</v>
      </c>
      <c r="E72" s="9" t="n">
        <f aca="false">'Indicator Master'!Q71</f>
        <v>6</v>
      </c>
      <c r="F72" s="36" t="s">
        <v>9124</v>
      </c>
      <c r="G72" s="9" t="n">
        <f aca="false">IF(UPPER(F72)="Y",E72,0)</f>
        <v>0</v>
      </c>
    </row>
    <row r="73" customFormat="false" ht="25.5" hidden="false" customHeight="true" outlineLevel="0" collapsed="false">
      <c r="A73" s="9" t="str">
        <f aca="false">'Indicator Master'!A72</f>
        <v>CMP-009</v>
      </c>
      <c r="B73" s="9" t="str">
        <f aca="false">'Indicator Master'!B72</f>
        <v>Compliance &amp; Regulatory Filing</v>
      </c>
      <c r="C73" s="10" t="str">
        <f aca="false">'Indicator Master'!D72</f>
        <v>Every annual filing late with additional fee, or filed only after a ROC notice</v>
      </c>
      <c r="D73" s="9" t="str">
        <f aca="false">'Indicator Master'!P72</f>
        <v>Low</v>
      </c>
      <c r="E73" s="9" t="n">
        <f aca="false">'Indicator Master'!Q72</f>
        <v>2</v>
      </c>
      <c r="F73" s="36" t="s">
        <v>9124</v>
      </c>
      <c r="G73" s="9" t="n">
        <f aca="false">IF(UPPER(F73)="Y",E73,0)</f>
        <v>0</v>
      </c>
    </row>
    <row r="74" customFormat="false" ht="25.5" hidden="false" customHeight="true" outlineLevel="0" collapsed="false">
      <c r="A74" s="9" t="str">
        <f aca="false">'Indicator Master'!A73</f>
        <v>CMP-010</v>
      </c>
      <c r="B74" s="9" t="str">
        <f aca="false">'Indicator Master'!B73</f>
        <v>Compliance &amp; Regulatory Filing</v>
      </c>
      <c r="C74" s="10" t="str">
        <f aca="false">'Indicator Master'!D73</f>
        <v>Several years of annual filings uploaded to MCA on a single day</v>
      </c>
      <c r="D74" s="9" t="str">
        <f aca="false">'Indicator Master'!P73</f>
        <v>High</v>
      </c>
      <c r="E74" s="9" t="n">
        <f aca="false">'Indicator Master'!Q73</f>
        <v>6</v>
      </c>
      <c r="F74" s="36" t="s">
        <v>9124</v>
      </c>
      <c r="G74" s="9" t="n">
        <f aca="false">IF(UPPER(F74)="Y",E74,0)</f>
        <v>0</v>
      </c>
    </row>
    <row r="75" customFormat="false" ht="25.5" hidden="false" customHeight="true" outlineLevel="0" collapsed="false">
      <c r="A75" s="9" t="str">
        <f aca="false">'Indicator Master'!A74</f>
        <v>CMP-011</v>
      </c>
      <c r="B75" s="9" t="str">
        <f aca="false">'Indicator Master'!B74</f>
        <v>Compliance &amp; Regulatory Filing</v>
      </c>
      <c r="C75" s="10" t="str">
        <f aca="false">'Indicator Master'!D74</f>
        <v>Last AGM overdue beyond s.96 and last balance sheet date more than 24 months stale</v>
      </c>
      <c r="D75" s="9" t="str">
        <f aca="false">'Indicator Master'!P74</f>
        <v>Medium</v>
      </c>
      <c r="E75" s="9" t="n">
        <f aca="false">'Indicator Master'!Q74</f>
        <v>5</v>
      </c>
      <c r="F75" s="36" t="s">
        <v>9124</v>
      </c>
      <c r="G75" s="9" t="n">
        <f aca="false">IF(UPPER(F75)="Y",E75,0)</f>
        <v>0</v>
      </c>
    </row>
    <row r="76" customFormat="false" ht="25.5" hidden="false" customHeight="true" outlineLevel="0" collapsed="false">
      <c r="A76" s="9" t="str">
        <f aca="false">'Indicator Master'!A75</f>
        <v>CMP-012</v>
      </c>
      <c r="B76" s="9" t="str">
        <f aca="false">'Indicator Master'!B75</f>
        <v>Compliance &amp; Regulatory Filing</v>
      </c>
      <c r="C76" s="10" t="str">
        <f aca="false">'Indicator Master'!D75</f>
        <v>INC-20A commencement declaration never filed while the entity transacts</v>
      </c>
      <c r="D76" s="9" t="str">
        <f aca="false">'Indicator Master'!P75</f>
        <v>Critical</v>
      </c>
      <c r="E76" s="9" t="n">
        <f aca="false">'Indicator Master'!Q75</f>
        <v>9</v>
      </c>
      <c r="F76" s="36" t="s">
        <v>9124</v>
      </c>
      <c r="G76" s="9" t="n">
        <f aca="false">IF(UPPER(F76)="Y",E76,0)</f>
        <v>0</v>
      </c>
    </row>
    <row r="77" customFormat="false" ht="25.5" hidden="false" customHeight="true" outlineLevel="0" collapsed="false">
      <c r="A77" s="9" t="str">
        <f aca="false">'Indicator Master'!A76</f>
        <v>CMP-013</v>
      </c>
      <c r="B77" s="9" t="str">
        <f aca="false">'Indicator Master'!B76</f>
        <v>Compliance &amp; Regulatory Filing</v>
      </c>
      <c r="C77" s="10" t="str">
        <f aca="false">'Indicator Master'!D76</f>
        <v>Subscription money never received against subscribed capital</v>
      </c>
      <c r="D77" s="9" t="str">
        <f aca="false">'Indicator Master'!P76</f>
        <v>High</v>
      </c>
      <c r="E77" s="9" t="n">
        <f aca="false">'Indicator Master'!Q76</f>
        <v>7</v>
      </c>
      <c r="F77" s="36" t="s">
        <v>9124</v>
      </c>
      <c r="G77" s="9" t="n">
        <f aca="false">IF(UPPER(F77)="Y",E77,0)</f>
        <v>0</v>
      </c>
    </row>
    <row r="78" customFormat="false" ht="25.5" hidden="false" customHeight="true" outlineLevel="0" collapsed="false">
      <c r="A78" s="9" t="str">
        <f aca="false">'Indicator Master'!A77</f>
        <v>CMP-014</v>
      </c>
      <c r="B78" s="9" t="str">
        <f aca="false">'Indicator Master'!B77</f>
        <v>Compliance &amp; Regulatory Filing</v>
      </c>
      <c r="C78" s="10" t="str">
        <f aca="false">'Indicator Master'!D77</f>
        <v>INC-22 registered office not filed in time or office shifted repeatedly</v>
      </c>
      <c r="D78" s="9" t="str">
        <f aca="false">'Indicator Master'!P77</f>
        <v>Low</v>
      </c>
      <c r="E78" s="9" t="n">
        <f aca="false">'Indicator Master'!Q77</f>
        <v>2</v>
      </c>
      <c r="F78" s="36" t="s">
        <v>9124</v>
      </c>
      <c r="G78" s="9" t="n">
        <f aca="false">IF(UPPER(F78)="Y",E78,0)</f>
        <v>0</v>
      </c>
    </row>
    <row r="79" customFormat="false" ht="25.5" hidden="false" customHeight="true" outlineLevel="0" collapsed="false">
      <c r="A79" s="9" t="str">
        <f aca="false">'Indicator Master'!A78</f>
        <v>CMP-015</v>
      </c>
      <c r="B79" s="9" t="str">
        <f aca="false">'Indicator Master'!B78</f>
        <v>Compliance &amp; Regulatory Filing</v>
      </c>
      <c r="C79" s="10" t="str">
        <f aca="false">'Indicator Master'!D78</f>
        <v>Main objects in MOA never aligned to the actual line of business</v>
      </c>
      <c r="D79" s="9" t="str">
        <f aca="false">'Indicator Master'!P78</f>
        <v>Medium</v>
      </c>
      <c r="E79" s="9" t="n">
        <f aca="false">'Indicator Master'!Q78</f>
        <v>4</v>
      </c>
      <c r="F79" s="36" t="s">
        <v>9124</v>
      </c>
      <c r="G79" s="9" t="n">
        <f aca="false">IF(UPPER(F79)="Y",E79,0)</f>
        <v>0</v>
      </c>
    </row>
    <row r="80" customFormat="false" ht="25.5" hidden="false" customHeight="true" outlineLevel="0" collapsed="false">
      <c r="A80" s="9" t="str">
        <f aca="false">'Indicator Master'!A79</f>
        <v>CMP-016</v>
      </c>
      <c r="B80" s="9" t="str">
        <f aca="false">'Indicator Master'!B79</f>
        <v>Compliance &amp; Regulatory Filing</v>
      </c>
      <c r="C80" s="10" t="str">
        <f aca="false">'Indicator Master'!D79</f>
        <v>Company name changed more than once within 36 months</v>
      </c>
      <c r="D80" s="9" t="str">
        <f aca="false">'Indicator Master'!P79</f>
        <v>Medium</v>
      </c>
      <c r="E80" s="9" t="n">
        <f aca="false">'Indicator Master'!Q79</f>
        <v>5</v>
      </c>
      <c r="F80" s="36" t="s">
        <v>9124</v>
      </c>
      <c r="G80" s="9" t="n">
        <f aca="false">IF(UPPER(F80)="Y",E80,0)</f>
        <v>0</v>
      </c>
    </row>
    <row r="81" customFormat="false" ht="25.5" hidden="false" customHeight="true" outlineLevel="0" collapsed="false">
      <c r="A81" s="9" t="str">
        <f aca="false">'Indicator Master'!A80</f>
        <v>CMP-017</v>
      </c>
      <c r="B81" s="9" t="str">
        <f aca="false">'Indicator Master'!B80</f>
        <v>Compliance &amp; Regulatory Filing</v>
      </c>
      <c r="C81" s="10" t="str">
        <f aca="false">'Indicator Master'!D80</f>
        <v>DIR-3 KYC not filed and all or most DINs deactivated</v>
      </c>
      <c r="D81" s="9" t="str">
        <f aca="false">'Indicator Master'!P80</f>
        <v>High</v>
      </c>
      <c r="E81" s="9" t="n">
        <f aca="false">'Indicator Master'!Q80</f>
        <v>6</v>
      </c>
      <c r="F81" s="36" t="s">
        <v>9124</v>
      </c>
      <c r="G81" s="9" t="n">
        <f aca="false">IF(UPPER(F81)="Y",E81,0)</f>
        <v>0</v>
      </c>
    </row>
    <row r="82" customFormat="false" ht="25.5" hidden="false" customHeight="true" outlineLevel="0" collapsed="false">
      <c r="A82" s="9" t="str">
        <f aca="false">'Indicator Master'!A81</f>
        <v>CMP-018</v>
      </c>
      <c r="B82" s="9" t="str">
        <f aca="false">'Indicator Master'!B81</f>
        <v>Compliance &amp; Regulatory Filing</v>
      </c>
      <c r="C82" s="10" t="str">
        <f aca="false">'Indicator Master'!D81</f>
        <v>Director disqualified u/s 164(2) or listed on the ROC disqualified director list</v>
      </c>
      <c r="D82" s="9" t="str">
        <f aca="false">'Indicator Master'!P81</f>
        <v>High</v>
      </c>
      <c r="E82" s="9" t="n">
        <f aca="false">'Indicator Master'!Q81</f>
        <v>8</v>
      </c>
      <c r="F82" s="36" t="s">
        <v>9124</v>
      </c>
      <c r="G82" s="9" t="n">
        <f aca="false">IF(UPPER(F82)="Y",E82,0)</f>
        <v>0</v>
      </c>
    </row>
    <row r="83" customFormat="false" ht="25.5" hidden="false" customHeight="true" outlineLevel="0" collapsed="false">
      <c r="A83" s="9" t="str">
        <f aca="false">'Indicator Master'!A82</f>
        <v>CMP-019</v>
      </c>
      <c r="B83" s="9" t="str">
        <f aca="false">'Indicator Master'!B82</f>
        <v>Compliance &amp; Regulatory Filing</v>
      </c>
      <c r="C83" s="10" t="str">
        <f aca="false">'Indicator Master'!D82</f>
        <v>DIR-12 not filed although a board change is evident in other records</v>
      </c>
      <c r="D83" s="9" t="str">
        <f aca="false">'Indicator Master'!P82</f>
        <v>Medium</v>
      </c>
      <c r="E83" s="9" t="n">
        <f aca="false">'Indicator Master'!Q82</f>
        <v>5</v>
      </c>
      <c r="F83" s="36" t="s">
        <v>9124</v>
      </c>
      <c r="G83" s="9" t="n">
        <f aca="false">IF(UPPER(F83)="Y",E83,0)</f>
        <v>0</v>
      </c>
    </row>
    <row r="84" customFormat="false" ht="25.5" hidden="false" customHeight="true" outlineLevel="0" collapsed="false">
      <c r="A84" s="9" t="str">
        <f aca="false">'Indicator Master'!A83</f>
        <v>CMP-020</v>
      </c>
      <c r="B84" s="9" t="str">
        <f aca="false">'Indicator Master'!B83</f>
        <v>Compliance &amp; Regulatory Filing</v>
      </c>
      <c r="C84" s="10" t="str">
        <f aca="false">'Indicator Master'!D83</f>
        <v>Mass resignation of directors within a short window</v>
      </c>
      <c r="D84" s="9" t="str">
        <f aca="false">'Indicator Master'!P83</f>
        <v>High</v>
      </c>
      <c r="E84" s="9" t="n">
        <f aca="false">'Indicator Master'!Q83</f>
        <v>7</v>
      </c>
      <c r="F84" s="36" t="s">
        <v>9124</v>
      </c>
      <c r="G84" s="9" t="n">
        <f aca="false">IF(UPPER(F84)="Y",E84,0)</f>
        <v>0</v>
      </c>
    </row>
    <row r="85" customFormat="false" ht="25.5" hidden="false" customHeight="true" outlineLevel="0" collapsed="false">
      <c r="A85" s="9" t="str">
        <f aca="false">'Indicator Master'!A84</f>
        <v>CMP-021</v>
      </c>
      <c r="B85" s="9" t="str">
        <f aca="false">'Indicator Master'!B84</f>
        <v>Compliance &amp; Regulatory Filing</v>
      </c>
      <c r="C85" s="10" t="str">
        <f aca="false">'Indicator Master'!D84</f>
        <v>No KMP or whole-time company secretary despite crossing the s.203 threshold</v>
      </c>
      <c r="D85" s="9" t="str">
        <f aca="false">'Indicator Master'!P84</f>
        <v>Low</v>
      </c>
      <c r="E85" s="9" t="n">
        <f aca="false">'Indicator Master'!Q84</f>
        <v>2</v>
      </c>
      <c r="F85" s="36" t="s">
        <v>9124</v>
      </c>
      <c r="G85" s="9" t="n">
        <f aca="false">IF(UPPER(F85)="Y",E85,0)</f>
        <v>0</v>
      </c>
    </row>
    <row r="86" customFormat="false" ht="25.5" hidden="false" customHeight="true" outlineLevel="0" collapsed="false">
      <c r="A86" s="9" t="str">
        <f aca="false">'Indicator Master'!A85</f>
        <v>CMP-022</v>
      </c>
      <c r="B86" s="9" t="str">
        <f aca="false">'Indicator Master'!B85</f>
        <v>Compliance &amp; Regulatory Filing</v>
      </c>
      <c r="C86" s="10" t="str">
        <f aca="false">'Indicator Master'!D85</f>
        <v>ADT-1 never filed — no statutory auditor on record</v>
      </c>
      <c r="D86" s="9" t="str">
        <f aca="false">'Indicator Master'!P85</f>
        <v>High</v>
      </c>
      <c r="E86" s="9" t="n">
        <f aca="false">'Indicator Master'!Q85</f>
        <v>7</v>
      </c>
      <c r="F86" s="36" t="s">
        <v>9124</v>
      </c>
      <c r="G86" s="9" t="n">
        <f aca="false">IF(UPPER(F86)="Y",E86,0)</f>
        <v>0</v>
      </c>
    </row>
    <row r="87" customFormat="false" ht="25.5" hidden="false" customHeight="true" outlineLevel="0" collapsed="false">
      <c r="A87" s="9" t="str">
        <f aca="false">'Indicator Master'!A86</f>
        <v>CMP-023</v>
      </c>
      <c r="B87" s="9" t="str">
        <f aca="false">'Indicator Master'!B86</f>
        <v>Compliance &amp; Regulatory Filing</v>
      </c>
      <c r="C87" s="10" t="str">
        <f aca="false">'Indicator Master'!D86</f>
        <v>Statutory auditor resigns mid-term through ADT-3</v>
      </c>
      <c r="D87" s="9" t="str">
        <f aca="false">'Indicator Master'!P86</f>
        <v>High</v>
      </c>
      <c r="E87" s="9" t="n">
        <f aca="false">'Indicator Master'!Q86</f>
        <v>6</v>
      </c>
      <c r="F87" s="36" t="s">
        <v>9124</v>
      </c>
      <c r="G87" s="9" t="n">
        <f aca="false">IF(UPPER(F87)="Y",E87,0)</f>
        <v>0</v>
      </c>
    </row>
    <row r="88" customFormat="false" ht="25.5" hidden="false" customHeight="true" outlineLevel="0" collapsed="false">
      <c r="A88" s="9" t="str">
        <f aca="false">'Indicator Master'!A87</f>
        <v>CMP-024</v>
      </c>
      <c r="B88" s="9" t="str">
        <f aca="false">'Indicator Master'!B87</f>
        <v>Compliance &amp; Regulatory Filing</v>
      </c>
      <c r="C88" s="10" t="str">
        <f aca="false">'Indicator Master'!D87</f>
        <v>Auditor rotation breach — same auditor or firm beyond the s.139(2) term</v>
      </c>
      <c r="D88" s="9" t="str">
        <f aca="false">'Indicator Master'!P87</f>
        <v>Low</v>
      </c>
      <c r="E88" s="9" t="n">
        <f aca="false">'Indicator Master'!Q87</f>
        <v>2</v>
      </c>
      <c r="F88" s="36" t="s">
        <v>9124</v>
      </c>
      <c r="G88" s="9" t="n">
        <f aca="false">IF(UPPER(F88)="Y",E88,0)</f>
        <v>0</v>
      </c>
    </row>
    <row r="89" customFormat="false" ht="25.5" hidden="false" customHeight="true" outlineLevel="0" collapsed="false">
      <c r="A89" s="9" t="str">
        <f aca="false">'Indicator Master'!A88</f>
        <v>CMP-025</v>
      </c>
      <c r="B89" s="9" t="str">
        <f aca="false">'Indicator Master'!B88</f>
        <v>Compliance &amp; Regulatory Filing</v>
      </c>
      <c r="C89" s="10" t="str">
        <f aca="false">'Indicator Master'!D88</f>
        <v>Cost audit CRA-2/CRA-4, secretarial audit MR-3 or MGT-8 certification missing where mandated</v>
      </c>
      <c r="D89" s="9" t="str">
        <f aca="false">'Indicator Master'!P88</f>
        <v>Low</v>
      </c>
      <c r="E89" s="9" t="n">
        <f aca="false">'Indicator Master'!Q88</f>
        <v>2</v>
      </c>
      <c r="F89" s="36" t="s">
        <v>9124</v>
      </c>
      <c r="G89" s="9" t="n">
        <f aca="false">IF(UPPER(F89)="Y",E89,0)</f>
        <v>0</v>
      </c>
    </row>
    <row r="90" customFormat="false" ht="25.5" hidden="false" customHeight="true" outlineLevel="0" collapsed="false">
      <c r="A90" s="9" t="str">
        <f aca="false">'Indicator Master'!A89</f>
        <v>CMP-026</v>
      </c>
      <c r="B90" s="9" t="str">
        <f aca="false">'Indicator Master'!B89</f>
        <v>Compliance &amp; Regulatory Filing</v>
      </c>
      <c r="C90" s="10" t="str">
        <f aca="false">'Indicator Master'!D89</f>
        <v>BEN-1/BEN-2 significant beneficial owner not declared despite corporate or foreign shareholding</v>
      </c>
      <c r="D90" s="9" t="str">
        <f aca="false">'Indicator Master'!P89</f>
        <v>High</v>
      </c>
      <c r="E90" s="9" t="n">
        <f aca="false">'Indicator Master'!Q89</f>
        <v>7</v>
      </c>
      <c r="F90" s="36" t="s">
        <v>9124</v>
      </c>
      <c r="G90" s="9" t="n">
        <f aca="false">IF(UPPER(F90)="Y",E90,0)</f>
        <v>0</v>
      </c>
    </row>
    <row r="91" customFormat="false" ht="25.5" hidden="false" customHeight="true" outlineLevel="0" collapsed="false">
      <c r="A91" s="9" t="str">
        <f aca="false">'Indicator Master'!A90</f>
        <v>CMP-027</v>
      </c>
      <c r="B91" s="9" t="str">
        <f aca="false">'Indicator Master'!B90</f>
        <v>Compliance &amp; Regulatory Filing</v>
      </c>
      <c r="C91" s="10" t="str">
        <f aca="false">'Indicator Master'!D90</f>
        <v>DPT-3 not filed although the balance sheet shows loans and unsecured borrowings</v>
      </c>
      <c r="D91" s="9" t="str">
        <f aca="false">'Indicator Master'!P90</f>
        <v>Medium</v>
      </c>
      <c r="E91" s="9" t="n">
        <f aca="false">'Indicator Master'!Q90</f>
        <v>4</v>
      </c>
      <c r="F91" s="36" t="s">
        <v>9124</v>
      </c>
      <c r="G91" s="9" t="n">
        <f aca="false">IF(UPPER(F91)="Y",E91,0)</f>
        <v>0</v>
      </c>
    </row>
    <row r="92" customFormat="false" ht="25.5" hidden="false" customHeight="true" outlineLevel="0" collapsed="false">
      <c r="A92" s="9" t="str">
        <f aca="false">'Indicator Master'!A91</f>
        <v>CMP-028</v>
      </c>
      <c r="B92" s="9" t="str">
        <f aca="false">'Indicator Master'!B91</f>
        <v>Compliance &amp; Regulatory Filing</v>
      </c>
      <c r="C92" s="10" t="str">
        <f aca="false">'Indicator Master'!D91</f>
        <v>MSME-1 half-yearly return not filed despite long-outstanding trade payables</v>
      </c>
      <c r="D92" s="9" t="str">
        <f aca="false">'Indicator Master'!P91</f>
        <v>Low</v>
      </c>
      <c r="E92" s="9" t="n">
        <f aca="false">'Indicator Master'!Q91</f>
        <v>2</v>
      </c>
      <c r="F92" s="36" t="s">
        <v>9124</v>
      </c>
      <c r="G92" s="9" t="n">
        <f aca="false">IF(UPPER(F92)="Y",E92,0)</f>
        <v>0</v>
      </c>
    </row>
    <row r="93" customFormat="false" ht="25.5" hidden="false" customHeight="true" outlineLevel="0" collapsed="false">
      <c r="A93" s="9" t="str">
        <f aca="false">'Indicator Master'!A92</f>
        <v>CMP-029</v>
      </c>
      <c r="B93" s="9" t="str">
        <f aca="false">'Indicator Master'!B92</f>
        <v>Compliance &amp; Regulatory Filing</v>
      </c>
      <c r="C93" s="10" t="str">
        <f aca="false">'Indicator Master'!D92</f>
        <v>MGT-14 resolutions absent for borrowings, investments or object changes actually made</v>
      </c>
      <c r="D93" s="9" t="str">
        <f aca="false">'Indicator Master'!P92</f>
        <v>Medium</v>
      </c>
      <c r="E93" s="9" t="n">
        <f aca="false">'Indicator Master'!Q92</f>
        <v>4</v>
      </c>
      <c r="F93" s="36" t="s">
        <v>9124</v>
      </c>
      <c r="G93" s="9" t="n">
        <f aca="false">IF(UPPER(F93)="Y",E93,0)</f>
        <v>0</v>
      </c>
    </row>
    <row r="94" customFormat="false" ht="25.5" hidden="false" customHeight="true" outlineLevel="0" collapsed="false">
      <c r="A94" s="9" t="str">
        <f aca="false">'Indicator Master'!A93</f>
        <v>CMP-030</v>
      </c>
      <c r="B94" s="9" t="str">
        <f aca="false">'Indicator Master'!B93</f>
        <v>Compliance &amp; Regulatory Filing</v>
      </c>
      <c r="C94" s="10" t="str">
        <f aca="false">'Indicator Master'!D93</f>
        <v>Related-party transactions in the accounts with no AOC-2 or s.188 approval on record</v>
      </c>
      <c r="D94" s="9" t="str">
        <f aca="false">'Indicator Master'!P93</f>
        <v>Medium</v>
      </c>
      <c r="E94" s="9" t="n">
        <f aca="false">'Indicator Master'!Q93</f>
        <v>5</v>
      </c>
      <c r="F94" s="36" t="s">
        <v>9124</v>
      </c>
      <c r="G94" s="9" t="n">
        <f aca="false">IF(UPPER(F94)="Y",E94,0)</f>
        <v>0</v>
      </c>
    </row>
    <row r="95" customFormat="false" ht="25.5" hidden="false" customHeight="true" outlineLevel="0" collapsed="false">
      <c r="A95" s="9" t="str">
        <f aca="false">'Indicator Master'!A94</f>
        <v>CMP-031</v>
      </c>
      <c r="B95" s="9" t="str">
        <f aca="false">'Indicator Master'!B94</f>
        <v>Compliance &amp; Regulatory Filing</v>
      </c>
      <c r="C95" s="10" t="str">
        <f aca="false">'Indicator Master'!D94</f>
        <v>GST registration cancelled retrospectively from the date of registration</v>
      </c>
      <c r="D95" s="9" t="str">
        <f aca="false">'Indicator Master'!P94</f>
        <v>Critical</v>
      </c>
      <c r="E95" s="9" t="n">
        <f aca="false">'Indicator Master'!Q94</f>
        <v>9</v>
      </c>
      <c r="F95" s="36" t="s">
        <v>9124</v>
      </c>
      <c r="G95" s="9" t="n">
        <f aca="false">IF(UPPER(F95)="Y",E95,0)</f>
        <v>0</v>
      </c>
    </row>
    <row r="96" customFormat="false" ht="25.5" hidden="false" customHeight="true" outlineLevel="0" collapsed="false">
      <c r="A96" s="9" t="str">
        <f aca="false">'Indicator Master'!A95</f>
        <v>CMP-032</v>
      </c>
      <c r="B96" s="9" t="str">
        <f aca="false">'Indicator Master'!B95</f>
        <v>Compliance &amp; Regulatory Filing</v>
      </c>
      <c r="C96" s="10" t="str">
        <f aca="false">'Indicator Master'!D95</f>
        <v>GSTIN cancelled or suspended, or GSTR-3B not filed for six consecutive periods</v>
      </c>
      <c r="D96" s="9" t="str">
        <f aca="false">'Indicator Master'!P95</f>
        <v>High</v>
      </c>
      <c r="E96" s="9" t="n">
        <f aca="false">'Indicator Master'!Q95</f>
        <v>8</v>
      </c>
      <c r="F96" s="36" t="s">
        <v>9124</v>
      </c>
      <c r="G96" s="9" t="n">
        <f aca="false">IF(UPPER(F96)="Y",E96,0)</f>
        <v>0</v>
      </c>
    </row>
    <row r="97" customFormat="false" ht="25.5" hidden="false" customHeight="true" outlineLevel="0" collapsed="false">
      <c r="A97" s="9" t="str">
        <f aca="false">'Indicator Master'!A96</f>
        <v>CMP-033</v>
      </c>
      <c r="B97" s="9" t="str">
        <f aca="false">'Indicator Master'!B96</f>
        <v>Compliance &amp; Regulatory Filing</v>
      </c>
      <c r="C97" s="10" t="str">
        <f aca="false">'Indicator Master'!D96</f>
        <v>GSTR-3B filed nil while GSTR-1 reports substantial outward supply</v>
      </c>
      <c r="D97" s="9" t="str">
        <f aca="false">'Indicator Master'!P96</f>
        <v>High</v>
      </c>
      <c r="E97" s="9" t="n">
        <f aca="false">'Indicator Master'!Q96</f>
        <v>8</v>
      </c>
      <c r="F97" s="36" t="s">
        <v>9124</v>
      </c>
      <c r="G97" s="9" t="n">
        <f aca="false">IF(UPPER(F97)="Y",E97,0)</f>
        <v>0</v>
      </c>
    </row>
    <row r="98" customFormat="false" ht="25.5" hidden="false" customHeight="true" outlineLevel="0" collapsed="false">
      <c r="A98" s="9" t="str">
        <f aca="false">'Indicator Master'!A97</f>
        <v>CMP-034</v>
      </c>
      <c r="B98" s="9" t="str">
        <f aca="false">'Indicator Master'!B97</f>
        <v>Compliance &amp; Regulatory Filing</v>
      </c>
      <c r="C98" s="10" t="str">
        <f aca="false">'Indicator Master'!D97</f>
        <v>GST registration obtained and surrendered within a short life span</v>
      </c>
      <c r="D98" s="9" t="str">
        <f aca="false">'Indicator Master'!P97</f>
        <v>Medium</v>
      </c>
      <c r="E98" s="9" t="n">
        <f aca="false">'Indicator Master'!Q97</f>
        <v>5</v>
      </c>
      <c r="F98" s="36" t="s">
        <v>9124</v>
      </c>
      <c r="G98" s="9" t="n">
        <f aca="false">IF(UPPER(F98)="Y",E98,0)</f>
        <v>0</v>
      </c>
    </row>
    <row r="99" customFormat="false" ht="25.5" hidden="false" customHeight="true" outlineLevel="0" collapsed="false">
      <c r="A99" s="9" t="str">
        <f aca="false">'Indicator Master'!A98</f>
        <v>CMP-035</v>
      </c>
      <c r="B99" s="9" t="str">
        <f aca="false">'Indicator Master'!B98</f>
        <v>Compliance &amp; Regulatory Filing</v>
      </c>
      <c r="C99" s="10" t="str">
        <f aca="false">'Indicator Master'!D98</f>
        <v>Multiple GSTINs on one PAN across states with no premises or transport evidence</v>
      </c>
      <c r="D99" s="9" t="str">
        <f aca="false">'Indicator Master'!P98</f>
        <v>Medium</v>
      </c>
      <c r="E99" s="9" t="n">
        <f aca="false">'Indicator Master'!Q98</f>
        <v>5</v>
      </c>
      <c r="F99" s="36" t="s">
        <v>9124</v>
      </c>
      <c r="G99" s="9" t="n">
        <f aca="false">IF(UPPER(F99)="Y",E99,0)</f>
        <v>0</v>
      </c>
    </row>
    <row r="100" customFormat="false" ht="25.5" hidden="false" customHeight="true" outlineLevel="0" collapsed="false">
      <c r="A100" s="9" t="str">
        <f aca="false">'Indicator Master'!A99</f>
        <v>CMP-036</v>
      </c>
      <c r="B100" s="9" t="str">
        <f aca="false">'Indicator Master'!B99</f>
        <v>Compliance &amp; Regulatory Filing</v>
      </c>
      <c r="C100" s="10" t="str">
        <f aca="false">'Indicator Master'!D99</f>
        <v>Composition scheme used despite ineligibility on turnover or inter-state supply</v>
      </c>
      <c r="D100" s="9" t="str">
        <f aca="false">'Indicator Master'!P99</f>
        <v>Medium</v>
      </c>
      <c r="E100" s="9" t="n">
        <f aca="false">'Indicator Master'!Q99</f>
        <v>4</v>
      </c>
      <c r="F100" s="36" t="s">
        <v>9124</v>
      </c>
      <c r="G100" s="9" t="n">
        <f aca="false">IF(UPPER(F100)="Y",E100,0)</f>
        <v>0</v>
      </c>
    </row>
    <row r="101" customFormat="false" ht="25.5" hidden="false" customHeight="true" outlineLevel="0" collapsed="false">
      <c r="A101" s="9" t="str">
        <f aca="false">'Indicator Master'!A100</f>
        <v>CMP-037</v>
      </c>
      <c r="B101" s="9" t="str">
        <f aca="false">'Indicator Master'!B100</f>
        <v>Compliance &amp; Regulatory Filing</v>
      </c>
      <c r="C101" s="10" t="str">
        <f aca="false">'Indicator Master'!D100</f>
        <v>E-invoicing mandatory but no IRN generated against B2B supplies</v>
      </c>
      <c r="D101" s="9" t="str">
        <f aca="false">'Indicator Master'!P100</f>
        <v>Medium</v>
      </c>
      <c r="E101" s="9" t="n">
        <f aca="false">'Indicator Master'!Q100</f>
        <v>5</v>
      </c>
      <c r="F101" s="36" t="s">
        <v>9124</v>
      </c>
      <c r="G101" s="9" t="n">
        <f aca="false">IF(UPPER(F101)="Y",E101,0)</f>
        <v>0</v>
      </c>
    </row>
    <row r="102" customFormat="false" ht="25.5" hidden="false" customHeight="true" outlineLevel="0" collapsed="false">
      <c r="A102" s="9" t="str">
        <f aca="false">'Indicator Master'!A101</f>
        <v>CMP-038</v>
      </c>
      <c r="B102" s="9" t="str">
        <f aca="false">'Indicator Master'!B101</f>
        <v>Compliance &amp; Regulatory Filing</v>
      </c>
      <c r="C102" s="10" t="str">
        <f aca="false">'Indicator Master'!D101</f>
        <v>Income tax return not filed for two or more assessment years despite active operations</v>
      </c>
      <c r="D102" s="9" t="str">
        <f aca="false">'Indicator Master'!P101</f>
        <v>High</v>
      </c>
      <c r="E102" s="9" t="n">
        <f aca="false">'Indicator Master'!Q101</f>
        <v>7</v>
      </c>
      <c r="F102" s="36" t="s">
        <v>9124</v>
      </c>
      <c r="G102" s="9" t="n">
        <f aca="false">IF(UPPER(F102)="Y",E102,0)</f>
        <v>0</v>
      </c>
    </row>
    <row r="103" customFormat="false" ht="25.5" hidden="false" customHeight="true" outlineLevel="0" collapsed="false">
      <c r="A103" s="9" t="str">
        <f aca="false">'Indicator Master'!A102</f>
        <v>CMP-039</v>
      </c>
      <c r="B103" s="9" t="str">
        <f aca="false">'Indicator Master'!B102</f>
        <v>Compliance &amp; Regulatory Filing</v>
      </c>
      <c r="C103" s="10" t="str">
        <f aca="false">'Indicator Master'!D102</f>
        <v>Nil or loss return filed against large Form 26AS and AIS credits</v>
      </c>
      <c r="D103" s="9" t="str">
        <f aca="false">'Indicator Master'!P102</f>
        <v>High</v>
      </c>
      <c r="E103" s="9" t="n">
        <f aca="false">'Indicator Master'!Q102</f>
        <v>7</v>
      </c>
      <c r="F103" s="36" t="s">
        <v>9124</v>
      </c>
      <c r="G103" s="9" t="n">
        <f aca="false">IF(UPPER(F103)="Y",E103,0)</f>
        <v>0</v>
      </c>
    </row>
    <row r="104" customFormat="false" ht="25.5" hidden="false" customHeight="true" outlineLevel="0" collapsed="false">
      <c r="A104" s="9" t="str">
        <f aca="false">'Indicator Master'!A103</f>
        <v>CMP-040</v>
      </c>
      <c r="B104" s="9" t="str">
        <f aca="false">'Indicator Master'!B103</f>
        <v>Compliance &amp; Regulatory Filing</v>
      </c>
      <c r="C104" s="10" t="str">
        <f aca="false">'Indicator Master'!D103</f>
        <v>TDS deducted from payments but not deposited — open default on TRACES</v>
      </c>
      <c r="D104" s="9" t="str">
        <f aca="false">'Indicator Master'!P103</f>
        <v>Critical</v>
      </c>
      <c r="E104" s="9" t="n">
        <f aca="false">'Indicator Master'!Q103</f>
        <v>9</v>
      </c>
      <c r="F104" s="36" t="s">
        <v>9124</v>
      </c>
      <c r="G104" s="9" t="n">
        <f aca="false">IF(UPPER(F104)="Y",E104,0)</f>
        <v>0</v>
      </c>
    </row>
    <row r="105" customFormat="false" ht="25.5" hidden="false" customHeight="true" outlineLevel="0" collapsed="false">
      <c r="A105" s="9" t="str">
        <f aca="false">'Indicator Master'!A104</f>
        <v>CMP-041</v>
      </c>
      <c r="B105" s="9" t="str">
        <f aca="false">'Indicator Master'!B104</f>
        <v>Compliance &amp; Regulatory Filing</v>
      </c>
      <c r="C105" s="10" t="str">
        <f aca="false">'Indicator Master'!D104</f>
        <v>Turnover inconsistent across GSTR-1, Form 26AS and the income tax return</v>
      </c>
      <c r="D105" s="9" t="str">
        <f aca="false">'Indicator Master'!P104</f>
        <v>Medium</v>
      </c>
      <c r="E105" s="9" t="n">
        <f aca="false">'Indicator Master'!Q104</f>
        <v>5</v>
      </c>
      <c r="F105" s="36" t="s">
        <v>9124</v>
      </c>
      <c r="G105" s="9" t="n">
        <f aca="false">IF(UPPER(F105)="Y",E105,0)</f>
        <v>0</v>
      </c>
    </row>
    <row r="106" customFormat="false" ht="25.5" hidden="false" customHeight="true" outlineLevel="0" collapsed="false">
      <c r="A106" s="9" t="str">
        <f aca="false">'Indicator Master'!A105</f>
        <v>CMP-042</v>
      </c>
      <c r="B106" s="9" t="str">
        <f aca="false">'Indicator Master'!B105</f>
        <v>Compliance &amp; Regulatory Filing</v>
      </c>
      <c r="C106" s="10" t="str">
        <f aca="false">'Indicator Master'!D105</f>
        <v>Tax audit report Form 3CD not filed despite crossing the s.44AB turnover limit</v>
      </c>
      <c r="D106" s="9" t="str">
        <f aca="false">'Indicator Master'!P105</f>
        <v>Medium</v>
      </c>
      <c r="E106" s="9" t="n">
        <f aca="false">'Indicator Master'!Q105</f>
        <v>3</v>
      </c>
      <c r="F106" s="36" t="s">
        <v>9124</v>
      </c>
      <c r="G106" s="9" t="n">
        <f aca="false">IF(UPPER(F106)="Y",E106,0)</f>
        <v>0</v>
      </c>
    </row>
    <row r="107" customFormat="false" ht="25.5" hidden="false" customHeight="true" outlineLevel="0" collapsed="false">
      <c r="A107" s="9" t="str">
        <f aca="false">'Indicator Master'!A106</f>
        <v>CMP-043</v>
      </c>
      <c r="B107" s="9" t="str">
        <f aca="false">'Indicator Master'!B106</f>
        <v>Compliance &amp; Regulatory Filing</v>
      </c>
      <c r="C107" s="10" t="str">
        <f aca="false">'Indicator Master'!D106</f>
        <v>Income tax or GST refund claimed out of proportion to activity and tax paid</v>
      </c>
      <c r="D107" s="9" t="str">
        <f aca="false">'Indicator Master'!P106</f>
        <v>Medium</v>
      </c>
      <c r="E107" s="9" t="n">
        <f aca="false">'Indicator Master'!Q106</f>
        <v>5</v>
      </c>
      <c r="F107" s="36" t="s">
        <v>9124</v>
      </c>
      <c r="G107" s="9" t="n">
        <f aca="false">IF(UPPER(F107)="Y",E107,0)</f>
        <v>0</v>
      </c>
    </row>
    <row r="108" customFormat="false" ht="25.5" hidden="false" customHeight="true" outlineLevel="0" collapsed="false">
      <c r="A108" s="9" t="str">
        <f aca="false">'Indicator Master'!A107</f>
        <v>CMP-044</v>
      </c>
      <c r="B108" s="9" t="str">
        <f aca="false">'Indicator Master'!B107</f>
        <v>Compliance &amp; Regulatory Filing</v>
      </c>
      <c r="C108" s="10" t="str">
        <f aca="false">'Indicator Master'!D107</f>
        <v>No EPFO or ESIC registration despite claimed workforce above the statutory limit</v>
      </c>
      <c r="D108" s="9" t="str">
        <f aca="false">'Indicator Master'!P107</f>
        <v>High</v>
      </c>
      <c r="E108" s="9" t="n">
        <f aca="false">'Indicator Master'!Q107</f>
        <v>6</v>
      </c>
      <c r="F108" s="36" t="s">
        <v>9124</v>
      </c>
      <c r="G108" s="9" t="n">
        <f aca="false">IF(UPPER(F108)="Y",E108,0)</f>
        <v>0</v>
      </c>
    </row>
    <row r="109" customFormat="false" ht="25.5" hidden="false" customHeight="true" outlineLevel="0" collapsed="false">
      <c r="A109" s="9" t="str">
        <f aca="false">'Indicator Master'!A108</f>
        <v>CMP-045</v>
      </c>
      <c r="B109" s="9" t="str">
        <f aca="false">'Indicator Master'!B108</f>
        <v>Compliance &amp; Regulatory Filing</v>
      </c>
      <c r="C109" s="10" t="str">
        <f aca="false">'Indicator Master'!D108</f>
        <v>EPFO electronic challan filed with zero or token member count while turnover is large</v>
      </c>
      <c r="D109" s="9" t="str">
        <f aca="false">'Indicator Master'!P108</f>
        <v>Medium</v>
      </c>
      <c r="E109" s="9" t="n">
        <f aca="false">'Indicator Master'!Q108</f>
        <v>4</v>
      </c>
      <c r="F109" s="36" t="s">
        <v>9124</v>
      </c>
      <c r="G109" s="9" t="n">
        <f aca="false">IF(UPPER(F109)="Y",E109,0)</f>
        <v>0</v>
      </c>
    </row>
    <row r="110" customFormat="false" ht="25.5" hidden="false" customHeight="true" outlineLevel="0" collapsed="false">
      <c r="A110" s="9" t="str">
        <f aca="false">'Indicator Master'!A109</f>
        <v>CMP-046</v>
      </c>
      <c r="B110" s="9" t="str">
        <f aca="false">'Indicator Master'!B109</f>
        <v>Compliance &amp; Regulatory Filing</v>
      </c>
      <c r="C110" s="10" t="str">
        <f aca="false">'Indicator Master'!D109</f>
        <v>Shops and Establishment or trade licence absent or expired, or Udyam size band inconsistent with filings</v>
      </c>
      <c r="D110" s="9" t="str">
        <f aca="false">'Indicator Master'!P109</f>
        <v>Low</v>
      </c>
      <c r="E110" s="9" t="n">
        <f aca="false">'Indicator Master'!Q109</f>
        <v>2</v>
      </c>
      <c r="F110" s="36" t="s">
        <v>9124</v>
      </c>
      <c r="G110" s="9" t="n">
        <f aca="false">IF(UPPER(F110)="Y",E110,0)</f>
        <v>0</v>
      </c>
    </row>
    <row r="111" customFormat="false" ht="25.5" hidden="false" customHeight="true" outlineLevel="0" collapsed="false">
      <c r="A111" s="9" t="str">
        <f aca="false">'Indicator Master'!A110</f>
        <v>CMP-047</v>
      </c>
      <c r="B111" s="9" t="str">
        <f aca="false">'Indicator Master'!B110</f>
        <v>Compliance &amp; Regulatory Filing</v>
      </c>
      <c r="C111" s="10" t="str">
        <f aca="false">'Indicator Master'!D110</f>
        <v>Adjudication or prosecution order under the Companies Act against the company or its officers</v>
      </c>
      <c r="D111" s="9" t="str">
        <f aca="false">'Indicator Master'!P110</f>
        <v>High</v>
      </c>
      <c r="E111" s="9" t="n">
        <f aca="false">'Indicator Master'!Q110</f>
        <v>7</v>
      </c>
      <c r="F111" s="36" t="s">
        <v>9124</v>
      </c>
      <c r="G111" s="9" t="n">
        <f aca="false">IF(UPPER(F111)="Y",E111,0)</f>
        <v>0</v>
      </c>
    </row>
    <row r="112" customFormat="false" ht="25.5" hidden="false" customHeight="true" outlineLevel="0" collapsed="false">
      <c r="A112" s="9" t="str">
        <f aca="false">'Indicator Master'!A111</f>
        <v>CMP-048</v>
      </c>
      <c r="B112" s="9" t="str">
        <f aca="false">'Indicator Master'!B111</f>
        <v>Compliance &amp; Regulatory Filing</v>
      </c>
      <c r="C112" s="10" t="str">
        <f aca="false">'Indicator Master'!D111</f>
        <v>SFIO, ED, DRI, CBI or SEBI action against the entity, its directors or its group</v>
      </c>
      <c r="D112" s="9" t="str">
        <f aca="false">'Indicator Master'!P111</f>
        <v>Critical</v>
      </c>
      <c r="E112" s="9" t="n">
        <f aca="false">'Indicator Master'!Q111</f>
        <v>10</v>
      </c>
      <c r="F112" s="36" t="s">
        <v>9124</v>
      </c>
      <c r="G112" s="9" t="n">
        <f aca="false">IF(UPPER(F112)="Y",E112,0)</f>
        <v>0</v>
      </c>
    </row>
    <row r="113" customFormat="false" ht="25.5" hidden="false" customHeight="true" outlineLevel="0" collapsed="false">
      <c r="A113" s="9" t="str">
        <f aca="false">'Indicator Master'!A112</f>
        <v>CMP-049</v>
      </c>
      <c r="B113" s="9" t="str">
        <f aca="false">'Indicator Master'!B112</f>
        <v>Compliance &amp; Regulatory Filing</v>
      </c>
      <c r="C113" s="10" t="str">
        <f aca="false">'Indicator Master'!D112</f>
        <v>Insolvency petition admitted under IBC or entity listed as a wilful defaulter</v>
      </c>
      <c r="D113" s="9" t="str">
        <f aca="false">'Indicator Master'!P112</f>
        <v>High</v>
      </c>
      <c r="E113" s="9" t="n">
        <f aca="false">'Indicator Master'!Q112</f>
        <v>8</v>
      </c>
      <c r="F113" s="36" t="s">
        <v>9124</v>
      </c>
      <c r="G113" s="9" t="n">
        <f aca="false">IF(UPPER(F113)="Y",E113,0)</f>
        <v>0</v>
      </c>
    </row>
    <row r="114" customFormat="false" ht="25.5" hidden="false" customHeight="true" outlineLevel="0" collapsed="false">
      <c r="A114" s="9" t="str">
        <f aca="false">'Indicator Master'!A113</f>
        <v>CMP-050</v>
      </c>
      <c r="B114" s="9" t="str">
        <f aca="false">'Indicator Master'!B113</f>
        <v>Compliance &amp; Regulatory Filing</v>
      </c>
      <c r="C114" s="10" t="str">
        <f aca="false">'Indicator Master'!D113</f>
        <v>GST credit blocked under Rule 86A, s.74 show-cause issued, or IEC cancelled by DGFT</v>
      </c>
      <c r="D114" s="9" t="str">
        <f aca="false">'Indicator Master'!P113</f>
        <v>High</v>
      </c>
      <c r="E114" s="9" t="n">
        <f aca="false">'Indicator Master'!Q113</f>
        <v>8</v>
      </c>
      <c r="F114" s="36" t="s">
        <v>9124</v>
      </c>
      <c r="G114" s="9" t="n">
        <f aca="false">IF(UPPER(F114)="Y",E114,0)</f>
        <v>0</v>
      </c>
    </row>
    <row r="115" customFormat="false" ht="25.5" hidden="false" customHeight="true" outlineLevel="0" collapsed="false">
      <c r="A115" s="9" t="str">
        <f aca="false">'Indicator Master'!A114</f>
        <v>OWN-001</v>
      </c>
      <c r="B115" s="9" t="str">
        <f aca="false">'Indicator Master'!B114</f>
        <v>Ownership, Structure &amp; Governance</v>
      </c>
      <c r="C115" s="10" t="str">
        <f aca="false">'Indicator Master'!D114</f>
        <v>Director holds an abnormally high number of live directorships</v>
      </c>
      <c r="D115" s="9" t="str">
        <f aca="false">'Indicator Master'!P114</f>
        <v>High</v>
      </c>
      <c r="E115" s="9" t="n">
        <f aca="false">'Indicator Master'!Q114</f>
        <v>7</v>
      </c>
      <c r="F115" s="36" t="s">
        <v>9124</v>
      </c>
      <c r="G115" s="9" t="n">
        <f aca="false">IF(UPPER(F115)="Y",E115,0)</f>
        <v>0</v>
      </c>
    </row>
    <row r="116" customFormat="false" ht="25.5" hidden="false" customHeight="true" outlineLevel="0" collapsed="false">
      <c r="A116" s="9" t="str">
        <f aca="false">'Indicator Master'!A115</f>
        <v>OWN-002</v>
      </c>
      <c r="B116" s="9" t="str">
        <f aca="false">'Indicator Master'!B115</f>
        <v>Ownership, Structure &amp; Governance</v>
      </c>
      <c r="C116" s="10" t="str">
        <f aca="false">'Indicator Master'!D115</f>
        <v>Board frozen at the bare statutory minimum with no change since incorporation</v>
      </c>
      <c r="D116" s="9" t="str">
        <f aca="false">'Indicator Master'!P115</f>
        <v>Low</v>
      </c>
      <c r="E116" s="9" t="n">
        <f aca="false">'Indicator Master'!Q115</f>
        <v>2</v>
      </c>
      <c r="F116" s="36" t="s">
        <v>9124</v>
      </c>
      <c r="G116" s="9" t="n">
        <f aca="false">IF(UPPER(F116)="Y",E116,0)</f>
        <v>0</v>
      </c>
    </row>
    <row r="117" customFormat="false" ht="25.5" hidden="false" customHeight="true" outlineLevel="0" collapsed="false">
      <c r="A117" s="9" t="str">
        <f aca="false">'Indicator Master'!A116</f>
        <v>OWN-003</v>
      </c>
      <c r="B117" s="9" t="str">
        <f aca="false">'Indicator Master'!B116</f>
        <v>Ownership, Structure &amp; Governance</v>
      </c>
      <c r="C117" s="10" t="str">
        <f aca="false">'Indicator Master'!D116</f>
        <v>Entire board shares one surname or one residential address</v>
      </c>
      <c r="D117" s="9" t="str">
        <f aca="false">'Indicator Master'!P116</f>
        <v>Medium</v>
      </c>
      <c r="E117" s="9" t="n">
        <f aca="false">'Indicator Master'!Q116</f>
        <v>4</v>
      </c>
      <c r="F117" s="36" t="s">
        <v>9124</v>
      </c>
      <c r="G117" s="9" t="n">
        <f aca="false">IF(UPPER(F117)="Y",E117,0)</f>
        <v>0</v>
      </c>
    </row>
    <row r="118" customFormat="false" ht="25.5" hidden="false" customHeight="true" outlineLevel="0" collapsed="false">
      <c r="A118" s="9" t="str">
        <f aca="false">'Indicator Master'!A117</f>
        <v>OWN-004</v>
      </c>
      <c r="B118" s="9" t="str">
        <f aca="false">'Indicator Master'!B117</f>
        <v>Ownership, Structure &amp; Governance</v>
      </c>
      <c r="C118" s="10" t="str">
        <f aca="false">'Indicator Master'!D117</f>
        <v>Director turnover far above peer norm (DIR-12 and DIR-11 velocity)</v>
      </c>
      <c r="D118" s="9" t="str">
        <f aca="false">'Indicator Master'!P117</f>
        <v>High</v>
      </c>
      <c r="E118" s="9" t="n">
        <f aca="false">'Indicator Master'!Q117</f>
        <v>6</v>
      </c>
      <c r="F118" s="36" t="s">
        <v>9124</v>
      </c>
      <c r="G118" s="9" t="n">
        <f aca="false">IF(UPPER(F118)="Y",E118,0)</f>
        <v>0</v>
      </c>
    </row>
    <row r="119" customFormat="false" ht="25.5" hidden="false" customHeight="true" outlineLevel="0" collapsed="false">
      <c r="A119" s="9" t="str">
        <f aca="false">'Indicator Master'!A118</f>
        <v>OWN-005</v>
      </c>
      <c r="B119" s="9" t="str">
        <f aca="false">'Indicator Master'!B118</f>
        <v>Ownership, Structure &amp; Governance</v>
      </c>
      <c r="C119" s="10" t="str">
        <f aca="false">'Indicator Master'!D118</f>
        <v>Directors appointed and resigned within 90 days</v>
      </c>
      <c r="D119" s="9" t="str">
        <f aca="false">'Indicator Master'!P118</f>
        <v>Medium</v>
      </c>
      <c r="E119" s="9" t="n">
        <f aca="false">'Indicator Master'!Q118</f>
        <v>5</v>
      </c>
      <c r="F119" s="36" t="s">
        <v>9124</v>
      </c>
      <c r="G119" s="9" t="n">
        <f aca="false">IF(UPPER(F119)="Y",E119,0)</f>
        <v>0</v>
      </c>
    </row>
    <row r="120" customFormat="false" ht="25.5" hidden="false" customHeight="true" outlineLevel="0" collapsed="false">
      <c r="A120" s="9" t="str">
        <f aca="false">'Indicator Master'!A119</f>
        <v>OWN-006</v>
      </c>
      <c r="B120" s="9" t="str">
        <f aca="false">'Indicator Master'!B119</f>
        <v>Ownership, Structure &amp; Governance</v>
      </c>
      <c r="C120" s="10" t="str">
        <f aca="false">'Indicator Master'!D119</f>
        <v>Mass board resignation inside a 30-day window</v>
      </c>
      <c r="D120" s="9" t="str">
        <f aca="false">'Indicator Master'!P119</f>
        <v>Critical</v>
      </c>
      <c r="E120" s="9" t="n">
        <f aca="false">'Indicator Master'!Q119</f>
        <v>9</v>
      </c>
      <c r="F120" s="36" t="s">
        <v>9124</v>
      </c>
      <c r="G120" s="9" t="n">
        <f aca="false">IF(UPPER(F120)="Y",E120,0)</f>
        <v>0</v>
      </c>
    </row>
    <row r="121" customFormat="false" ht="25.5" hidden="false" customHeight="true" outlineLevel="0" collapsed="false">
      <c r="A121" s="9" t="str">
        <f aca="false">'Indicator Master'!A120</f>
        <v>OWN-007</v>
      </c>
      <c r="B121" s="9" t="str">
        <f aca="false">'Indicator Master'!B120</f>
        <v>Ownership, Structure &amp; Governance</v>
      </c>
      <c r="C121" s="10" t="str">
        <f aca="false">'Indicator Master'!D120</f>
        <v>Director age profile improbable for the claimed scale of business</v>
      </c>
      <c r="D121" s="9" t="str">
        <f aca="false">'Indicator Master'!P120</f>
        <v>Medium</v>
      </c>
      <c r="E121" s="9" t="n">
        <f aca="false">'Indicator Master'!Q120</f>
        <v>5</v>
      </c>
      <c r="F121" s="36" t="s">
        <v>9124</v>
      </c>
      <c r="G121" s="9" t="n">
        <f aca="false">IF(UPPER(F121)="Y",E121,0)</f>
        <v>0</v>
      </c>
    </row>
    <row r="122" customFormat="false" ht="25.5" hidden="false" customHeight="true" outlineLevel="0" collapsed="false">
      <c r="A122" s="9" t="str">
        <f aca="false">'Indicator Master'!A121</f>
        <v>OWN-008</v>
      </c>
      <c r="B122" s="9" t="str">
        <f aca="false">'Indicator Master'!B121</f>
        <v>Ownership, Structure &amp; Governance</v>
      </c>
      <c r="C122" s="10" t="str">
        <f aca="false">'Indicator Master'!D121</f>
        <v>Registered office is a director's home that also hosts several other companies</v>
      </c>
      <c r="D122" s="9" t="str">
        <f aca="false">'Indicator Master'!P121</f>
        <v>Medium</v>
      </c>
      <c r="E122" s="9" t="n">
        <f aca="false">'Indicator Master'!Q121</f>
        <v>5</v>
      </c>
      <c r="F122" s="36" t="s">
        <v>9124</v>
      </c>
      <c r="G122" s="9" t="n">
        <f aca="false">IF(UPPER(F122)="Y",E122,0)</f>
        <v>0</v>
      </c>
    </row>
    <row r="123" customFormat="false" ht="25.5" hidden="false" customHeight="true" outlineLevel="0" collapsed="false">
      <c r="A123" s="9" t="str">
        <f aca="false">'Indicator Master'!A122</f>
        <v>OWN-009</v>
      </c>
      <c r="B123" s="9" t="str">
        <f aca="false">'Indicator Master'!B122</f>
        <v>Ownership, Structure &amp; Governance</v>
      </c>
      <c r="C123" s="10" t="str">
        <f aca="false">'Indicator Master'!D122</f>
        <v>Directors hold no shares, draw no pay and hold no executive role</v>
      </c>
      <c r="D123" s="9" t="str">
        <f aca="false">'Indicator Master'!P122</f>
        <v>Medium</v>
      </c>
      <c r="E123" s="9" t="n">
        <f aca="false">'Indicator Master'!Q122</f>
        <v>5</v>
      </c>
      <c r="F123" s="36" t="s">
        <v>9124</v>
      </c>
      <c r="G123" s="9" t="n">
        <f aca="false">IF(UPPER(F123)="Y",E123,0)</f>
        <v>0</v>
      </c>
    </row>
    <row r="124" customFormat="false" ht="25.5" hidden="false" customHeight="true" outlineLevel="0" collapsed="false">
      <c r="A124" s="9" t="str">
        <f aca="false">'Indicator Master'!A123</f>
        <v>OWN-010</v>
      </c>
      <c r="B124" s="9" t="str">
        <f aca="false">'Indicator Master'!B123</f>
        <v>Ownership, Structure &amp; Governance</v>
      </c>
      <c r="C124" s="10" t="str">
        <f aca="false">'Indicator Master'!D123</f>
        <v>Director or shareholder has no independent corporate, tax or professional footprint</v>
      </c>
      <c r="D124" s="9" t="str">
        <f aca="false">'Indicator Master'!P123</f>
        <v>Low</v>
      </c>
      <c r="E124" s="9" t="n">
        <f aca="false">'Indicator Master'!Q123</f>
        <v>2</v>
      </c>
      <c r="F124" s="36" t="s">
        <v>9124</v>
      </c>
      <c r="G124" s="9" t="n">
        <f aca="false">IF(UPPER(F124)="Y",E124,0)</f>
        <v>0</v>
      </c>
    </row>
    <row r="125" customFormat="false" ht="25.5" hidden="false" customHeight="true" outlineLevel="0" collapsed="false">
      <c r="A125" s="9" t="str">
        <f aca="false">'Indicator Master'!A124</f>
        <v>OWN-011</v>
      </c>
      <c r="B125" s="9" t="str">
        <f aca="false">'Indicator Master'!B124</f>
        <v>Ownership, Structure &amp; Governance</v>
      </c>
      <c r="C125" s="10" t="str">
        <f aca="false">'Indicator Master'!D124</f>
        <v>Shareholder's declared income cannot support the value of the shareholding</v>
      </c>
      <c r="D125" s="9" t="str">
        <f aca="false">'Indicator Master'!P124</f>
        <v>High</v>
      </c>
      <c r="E125" s="9" t="n">
        <f aca="false">'Indicator Master'!Q124</f>
        <v>8</v>
      </c>
      <c r="F125" s="36" t="s">
        <v>9124</v>
      </c>
      <c r="G125" s="9" t="n">
        <f aca="false">IF(UPPER(F125)="Y",E125,0)</f>
        <v>0</v>
      </c>
    </row>
    <row r="126" customFormat="false" ht="25.5" hidden="false" customHeight="true" outlineLevel="0" collapsed="false">
      <c r="A126" s="9" t="str">
        <f aca="false">'Indicator Master'!A125</f>
        <v>OWN-012</v>
      </c>
      <c r="B126" s="9" t="str">
        <f aca="false">'Indicator Master'!B125</f>
        <v>Ownership, Structure &amp; Governance</v>
      </c>
      <c r="C126" s="10" t="str">
        <f aca="false">'Indicator Master'!D125</f>
        <v>Bank and statutory signing power held by someone who is neither director nor KMP</v>
      </c>
      <c r="D126" s="9" t="str">
        <f aca="false">'Indicator Master'!P125</f>
        <v>High</v>
      </c>
      <c r="E126" s="9" t="n">
        <f aca="false">'Indicator Master'!Q125</f>
        <v>7</v>
      </c>
      <c r="F126" s="36" t="s">
        <v>9124</v>
      </c>
      <c r="G126" s="9" t="n">
        <f aca="false">IF(UPPER(F126)="Y",E126,0)</f>
        <v>0</v>
      </c>
    </row>
    <row r="127" customFormat="false" ht="25.5" hidden="false" customHeight="true" outlineLevel="0" collapsed="false">
      <c r="A127" s="9" t="str">
        <f aca="false">'Indicator Master'!A126</f>
        <v>OWN-013</v>
      </c>
      <c r="B127" s="9" t="str">
        <f aca="false">'Indicator Master'!B126</f>
        <v>Ownership, Structure &amp; Governance</v>
      </c>
      <c r="C127" s="10" t="str">
        <f aca="false">'Indicator Master'!D126</f>
        <v>The same handful of DINs rotate as directors across a cluster of companies</v>
      </c>
      <c r="D127" s="9" t="str">
        <f aca="false">'Indicator Master'!P126</f>
        <v>Critical</v>
      </c>
      <c r="E127" s="9" t="n">
        <f aca="false">'Indicator Master'!Q126</f>
        <v>9</v>
      </c>
      <c r="F127" s="36" t="s">
        <v>9124</v>
      </c>
      <c r="G127" s="9" t="n">
        <f aca="false">IF(UPPER(F127)="Y",E127,0)</f>
        <v>0</v>
      </c>
    </row>
    <row r="128" customFormat="false" ht="25.5" hidden="false" customHeight="true" outlineLevel="0" collapsed="false">
      <c r="A128" s="9" t="str">
        <f aca="false">'Indicator Master'!A127</f>
        <v>OWN-014</v>
      </c>
      <c r="B128" s="9" t="str">
        <f aca="false">'Indicator Master'!B127</f>
        <v>Ownership, Structure &amp; Governance</v>
      </c>
      <c r="C128" s="10" t="str">
        <f aca="false">'Indicator Master'!D127</f>
        <v>First subscribers and directors are a formation agent's own staff</v>
      </c>
      <c r="D128" s="9" t="str">
        <f aca="false">'Indicator Master'!P127</f>
        <v>High</v>
      </c>
      <c r="E128" s="9" t="n">
        <f aca="false">'Indicator Master'!Q127</f>
        <v>7</v>
      </c>
      <c r="F128" s="36" t="s">
        <v>9124</v>
      </c>
      <c r="G128" s="9" t="n">
        <f aca="false">IF(UPPER(F128)="Y",E128,0)</f>
        <v>0</v>
      </c>
    </row>
    <row r="129" customFormat="false" ht="25.5" hidden="false" customHeight="true" outlineLevel="0" collapsed="false">
      <c r="A129" s="9" t="str">
        <f aca="false">'Indicator Master'!A128</f>
        <v>OWN-015</v>
      </c>
      <c r="B129" s="9" t="str">
        <f aca="false">'Indicator Master'!B128</f>
        <v>Ownership, Structure &amp; Governance</v>
      </c>
      <c r="C129" s="10" t="str">
        <f aca="false">'Indicator Master'!D128</f>
        <v>No BEN-2 filed although a body corporate holds 25% or more</v>
      </c>
      <c r="D129" s="9" t="str">
        <f aca="false">'Indicator Master'!P128</f>
        <v>High</v>
      </c>
      <c r="E129" s="9" t="n">
        <f aca="false">'Indicator Master'!Q128</f>
        <v>7</v>
      </c>
      <c r="F129" s="36" t="s">
        <v>9124</v>
      </c>
      <c r="G129" s="9" t="n">
        <f aca="false">IF(UPPER(F129)="Y",E129,0)</f>
        <v>0</v>
      </c>
    </row>
    <row r="130" customFormat="false" ht="25.5" hidden="false" customHeight="true" outlineLevel="0" collapsed="false">
      <c r="A130" s="9" t="str">
        <f aca="false">'Indicator Master'!A129</f>
        <v>OWN-016</v>
      </c>
      <c r="B130" s="9" t="str">
        <f aca="false">'Indicator Master'!B129</f>
        <v>Ownership, Structure &amp; Governance</v>
      </c>
      <c r="C130" s="10" t="str">
        <f aca="false">'Indicator Master'!D129</f>
        <v>Ownership held through a body corporate in a secrecy or nil-tax jurisdiction</v>
      </c>
      <c r="D130" s="9" t="str">
        <f aca="false">'Indicator Master'!P129</f>
        <v>High</v>
      </c>
      <c r="E130" s="9" t="n">
        <f aca="false">'Indicator Master'!Q129</f>
        <v>8</v>
      </c>
      <c r="F130" s="36" t="s">
        <v>9124</v>
      </c>
      <c r="G130" s="9" t="n">
        <f aca="false">IF(UPPER(F130)="Y",E130,0)</f>
        <v>0</v>
      </c>
    </row>
    <row r="131" customFormat="false" ht="25.5" hidden="false" customHeight="true" outlineLevel="0" collapsed="false">
      <c r="A131" s="9" t="str">
        <f aca="false">'Indicator Master'!A130</f>
        <v>OWN-017</v>
      </c>
      <c r="B131" s="9" t="str">
        <f aca="false">'Indicator Master'!B130</f>
        <v>Ownership, Structure &amp; Governance</v>
      </c>
      <c r="C131" s="10" t="str">
        <f aca="false">'Indicator Master'!D130</f>
        <v>Ownership chain deeper than the permitted layers with no operating entity in it</v>
      </c>
      <c r="D131" s="9" t="str">
        <f aca="false">'Indicator Master'!P130</f>
        <v>High</v>
      </c>
      <c r="E131" s="9" t="n">
        <f aca="false">'Indicator Master'!Q130</f>
        <v>7</v>
      </c>
      <c r="F131" s="36" t="s">
        <v>9124</v>
      </c>
      <c r="G131" s="9" t="n">
        <f aca="false">IF(UPPER(F131)="Y",E131,0)</f>
        <v>0</v>
      </c>
    </row>
    <row r="132" customFormat="false" ht="25.5" hidden="false" customHeight="true" outlineLevel="0" collapsed="false">
      <c r="A132" s="9" t="str">
        <f aca="false">'Indicator Master'!A131</f>
        <v>OWN-018</v>
      </c>
      <c r="B132" s="9" t="str">
        <f aca="false">'Indicator Master'!B131</f>
        <v>Ownership, Structure &amp; Governance</v>
      </c>
      <c r="C132" s="10" t="str">
        <f aca="false">'Indicator Master'!D131</f>
        <v>Circular or cross-holding detected in the ownership graph</v>
      </c>
      <c r="D132" s="9" t="str">
        <f aca="false">'Indicator Master'!P131</f>
        <v>Critical</v>
      </c>
      <c r="E132" s="9" t="n">
        <f aca="false">'Indicator Master'!Q131</f>
        <v>9</v>
      </c>
      <c r="F132" s="36" t="s">
        <v>9124</v>
      </c>
      <c r="G132" s="9" t="n">
        <f aca="false">IF(UPPER(F132)="Y",E132,0)</f>
        <v>0</v>
      </c>
    </row>
    <row r="133" customFormat="false" ht="25.5" hidden="false" customHeight="true" outlineLevel="0" collapsed="false">
      <c r="A133" s="9" t="str">
        <f aca="false">'Indicator Master'!A132</f>
        <v>OWN-019</v>
      </c>
      <c r="B133" s="9" t="str">
        <f aca="false">'Indicator Master'!B132</f>
        <v>Ownership, Structure &amp; Governance</v>
      </c>
      <c r="C133" s="10" t="str">
        <f aca="false">'Indicator Master'!D132</f>
        <v>Shareholdings stacked just below the 25% significant beneficial owner threshold</v>
      </c>
      <c r="D133" s="9" t="str">
        <f aca="false">'Indicator Master'!P132</f>
        <v>High</v>
      </c>
      <c r="E133" s="9" t="n">
        <f aca="false">'Indicator Master'!Q132</f>
        <v>7</v>
      </c>
      <c r="F133" s="36" t="s">
        <v>9124</v>
      </c>
      <c r="G133" s="9" t="n">
        <f aca="false">IF(UPPER(F133)="Y",E133,0)</f>
        <v>0</v>
      </c>
    </row>
    <row r="134" customFormat="false" ht="25.5" hidden="false" customHeight="true" outlineLevel="0" collapsed="false">
      <c r="A134" s="9" t="str">
        <f aca="false">'Indicator Master'!A133</f>
        <v>OWN-020</v>
      </c>
      <c r="B134" s="9" t="str">
        <f aca="false">'Indicator Master'!B133</f>
        <v>Ownership, Structure &amp; Governance</v>
      </c>
      <c r="C134" s="10" t="str">
        <f aca="false">'Indicator Master'!D133</f>
        <v>Ultimate owner is a trust, foundation or declared nominee with no named natural person</v>
      </c>
      <c r="D134" s="9" t="str">
        <f aca="false">'Indicator Master'!P133</f>
        <v>Critical</v>
      </c>
      <c r="E134" s="9" t="n">
        <f aca="false">'Indicator Master'!Q133</f>
        <v>9</v>
      </c>
      <c r="F134" s="36" t="s">
        <v>9124</v>
      </c>
      <c r="G134" s="9" t="n">
        <f aca="false">IF(UPPER(F134)="Y",E134,0)</f>
        <v>0</v>
      </c>
    </row>
    <row r="135" customFormat="false" ht="25.5" hidden="false" customHeight="true" outlineLevel="0" collapsed="false">
      <c r="A135" s="9" t="str">
        <f aca="false">'Indicator Master'!A134</f>
        <v>OWN-021</v>
      </c>
      <c r="B135" s="9" t="str">
        <f aca="false">'Indicator Master'!B134</f>
        <v>Ownership, Structure &amp; Governance</v>
      </c>
      <c r="C135" s="10" t="str">
        <f aca="false">'Indicator Master'!D134</f>
        <v>MGT-7 shareholder list near-identical to that of an unconnected company</v>
      </c>
      <c r="D135" s="9" t="str">
        <f aca="false">'Indicator Master'!P134</f>
        <v>High</v>
      </c>
      <c r="E135" s="9" t="n">
        <f aca="false">'Indicator Master'!Q134</f>
        <v>7</v>
      </c>
      <c r="F135" s="36" t="s">
        <v>9124</v>
      </c>
      <c r="G135" s="9" t="n">
        <f aca="false">IF(UPPER(F135)="Y",E135,0)</f>
        <v>0</v>
      </c>
    </row>
    <row r="136" customFormat="false" ht="25.5" hidden="false" customHeight="true" outlineLevel="0" collapsed="false">
      <c r="A136" s="9" t="str">
        <f aca="false">'Indicator Master'!A135</f>
        <v>OWN-022</v>
      </c>
      <c r="B136" s="9" t="str">
        <f aca="false">'Indicator Master'!B135</f>
        <v>Ownership, Structure &amp; Governance</v>
      </c>
      <c r="C136" s="10" t="str">
        <f aca="false">'Indicator Master'!D135</f>
        <v>Whole shareholding changes hands around a single high-value transaction</v>
      </c>
      <c r="D136" s="9" t="str">
        <f aca="false">'Indicator Master'!P135</f>
        <v>Critical</v>
      </c>
      <c r="E136" s="9" t="n">
        <f aca="false">'Indicator Master'!Q135</f>
        <v>9</v>
      </c>
      <c r="F136" s="36" t="s">
        <v>9124</v>
      </c>
      <c r="G136" s="9" t="n">
        <f aca="false">IF(UPPER(F136)="Y",E136,0)</f>
        <v>0</v>
      </c>
    </row>
    <row r="137" customFormat="false" ht="25.5" hidden="false" customHeight="true" outlineLevel="0" collapsed="false">
      <c r="A137" s="9" t="str">
        <f aca="false">'Indicator Master'!A136</f>
        <v>OWN-023</v>
      </c>
      <c r="B137" s="9" t="str">
        <f aca="false">'Indicator Master'!B136</f>
        <v>Ownership, Structure &amp; Governance</v>
      </c>
      <c r="C137" s="10" t="str">
        <f aca="false">'Indicator Master'!D136</f>
        <v>Subscriber shares and the whole board handed over within 90 days of incorporation</v>
      </c>
      <c r="D137" s="9" t="str">
        <f aca="false">'Indicator Master'!P136</f>
        <v>Medium</v>
      </c>
      <c r="E137" s="9" t="n">
        <f aca="false">'Indicator Master'!Q136</f>
        <v>5</v>
      </c>
      <c r="F137" s="36" t="s">
        <v>9124</v>
      </c>
      <c r="G137" s="9" t="n">
        <f aca="false">IF(UPPER(F137)="Y",E137,0)</f>
        <v>0</v>
      </c>
    </row>
    <row r="138" customFormat="false" ht="25.5" hidden="false" customHeight="true" outlineLevel="0" collapsed="false">
      <c r="A138" s="9" t="str">
        <f aca="false">'Indicator Master'!A137</f>
        <v>OWN-024</v>
      </c>
      <c r="B138" s="9" t="str">
        <f aca="false">'Indicator Master'!B137</f>
        <v>Ownership, Structure &amp; Governance</v>
      </c>
      <c r="C138" s="10" t="str">
        <f aca="false">'Indicator Master'!D137</f>
        <v>Shares transferred at face value when book value per share is far higher</v>
      </c>
      <c r="D138" s="9" t="str">
        <f aca="false">'Indicator Master'!P137</f>
        <v>High</v>
      </c>
      <c r="E138" s="9" t="n">
        <f aca="false">'Indicator Master'!Q137</f>
        <v>6</v>
      </c>
      <c r="F138" s="36" t="s">
        <v>9124</v>
      </c>
      <c r="G138" s="9" t="n">
        <f aca="false">IF(UPPER(F138)="Y",E138,0)</f>
        <v>0</v>
      </c>
    </row>
    <row r="139" customFormat="false" ht="25.5" hidden="false" customHeight="true" outlineLevel="0" collapsed="false">
      <c r="A139" s="9" t="str">
        <f aca="false">'Indicator Master'!A138</f>
        <v>OWN-025</v>
      </c>
      <c r="B139" s="9" t="str">
        <f aca="false">'Indicator Master'!B138</f>
        <v>Ownership, Structure &amp; Governance</v>
      </c>
      <c r="C139" s="10" t="str">
        <f aca="false">'Indicator Master'!D138</f>
        <v>Preferential allotment recorded in PAS-3 with no matching money in the bank</v>
      </c>
      <c r="D139" s="9" t="str">
        <f aca="false">'Indicator Master'!P138</f>
        <v>Critical</v>
      </c>
      <c r="E139" s="9" t="n">
        <f aca="false">'Indicator Master'!Q138</f>
        <v>10</v>
      </c>
      <c r="F139" s="36" t="s">
        <v>9124</v>
      </c>
      <c r="G139" s="9" t="n">
        <f aca="false">IF(UPPER(F139)="Y",E139,0)</f>
        <v>0</v>
      </c>
    </row>
    <row r="140" customFormat="false" ht="25.5" hidden="false" customHeight="true" outlineLevel="0" collapsed="false">
      <c r="A140" s="9" t="str">
        <f aca="false">'Indicator Master'!A139</f>
        <v>OWN-026</v>
      </c>
      <c r="B140" s="9" t="str">
        <f aca="false">'Indicator Master'!B139</f>
        <v>Ownership, Structure &amp; Governance</v>
      </c>
      <c r="C140" s="10" t="str">
        <f aca="false">'Indicator Master'!D139</f>
        <v>Subscription money never actually received though INC-20A declares it was</v>
      </c>
      <c r="D140" s="9" t="str">
        <f aca="false">'Indicator Master'!P139</f>
        <v>High</v>
      </c>
      <c r="E140" s="9" t="n">
        <f aca="false">'Indicator Master'!Q139</f>
        <v>8</v>
      </c>
      <c r="F140" s="36" t="s">
        <v>9124</v>
      </c>
      <c r="G140" s="9" t="n">
        <f aca="false">IF(UPPER(F140)="Y",E140,0)</f>
        <v>0</v>
      </c>
    </row>
    <row r="141" customFormat="false" ht="25.5" hidden="false" customHeight="true" outlineLevel="0" collapsed="false">
      <c r="A141" s="9" t="str">
        <f aca="false">'Indicator Master'!A140</f>
        <v>OWN-027</v>
      </c>
      <c r="B141" s="9" t="str">
        <f aca="false">'Indicator Master'!B140</f>
        <v>Ownership, Structure &amp; Governance</v>
      </c>
      <c r="C141" s="10" t="str">
        <f aca="false">'Indicator Master'!D140</f>
        <v>Paid-up capital negligible against the turnover and exposures being run</v>
      </c>
      <c r="D141" s="9" t="str">
        <f aca="false">'Indicator Master'!P140</f>
        <v>Medium</v>
      </c>
      <c r="E141" s="9" t="n">
        <f aca="false">'Indicator Master'!Q140</f>
        <v>5</v>
      </c>
      <c r="F141" s="36" t="s">
        <v>9124</v>
      </c>
      <c r="G141" s="9" t="n">
        <f aca="false">IF(UPPER(F141)="Y",E141,0)</f>
        <v>0</v>
      </c>
    </row>
    <row r="142" customFormat="false" ht="25.5" hidden="false" customHeight="true" outlineLevel="0" collapsed="false">
      <c r="A142" s="9" t="str">
        <f aca="false">'Indicator Master'!A141</f>
        <v>OWN-028</v>
      </c>
      <c r="B142" s="9" t="str">
        <f aca="false">'Indicator Master'!B141</f>
        <v>Ownership, Structure &amp; Governance</v>
      </c>
      <c r="C142" s="10" t="str">
        <f aca="false">'Indicator Master'!D141</f>
        <v>Authorised capital never increased despite years of claimed growth</v>
      </c>
      <c r="D142" s="9" t="str">
        <f aca="false">'Indicator Master'!P141</f>
        <v>Low</v>
      </c>
      <c r="E142" s="9" t="n">
        <f aca="false">'Indicator Master'!Q141</f>
        <v>2</v>
      </c>
      <c r="F142" s="36" t="s">
        <v>9124</v>
      </c>
      <c r="G142" s="9" t="n">
        <f aca="false">IF(UPPER(F142)="Y",E142,0)</f>
        <v>0</v>
      </c>
    </row>
    <row r="143" customFormat="false" ht="25.5" hidden="false" customHeight="true" outlineLevel="0" collapsed="false">
      <c r="A143" s="9" t="str">
        <f aca="false">'Indicator Master'!A142</f>
        <v>OWN-029</v>
      </c>
      <c r="B143" s="9" t="str">
        <f aca="false">'Indicator Master'!B142</f>
        <v>Ownership, Structure &amp; Governance</v>
      </c>
      <c r="C143" s="10" t="str">
        <f aca="false">'Indicator Master'!D142</f>
        <v>Large share premium collected with no registered valuer report on record</v>
      </c>
      <c r="D143" s="9" t="str">
        <f aca="false">'Indicator Master'!P142</f>
        <v>High</v>
      </c>
      <c r="E143" s="9" t="n">
        <f aca="false">'Indicator Master'!Q142</f>
        <v>8</v>
      </c>
      <c r="F143" s="36" t="s">
        <v>9124</v>
      </c>
      <c r="G143" s="9" t="n">
        <f aca="false">IF(UPPER(F143)="Y",E143,0)</f>
        <v>0</v>
      </c>
    </row>
    <row r="144" customFormat="false" ht="25.5" hidden="false" customHeight="true" outlineLevel="0" collapsed="false">
      <c r="A144" s="9" t="str">
        <f aca="false">'Indicator Master'!A143</f>
        <v>OWN-030</v>
      </c>
      <c r="B144" s="9" t="str">
        <f aca="false">'Indicator Master'!B143</f>
        <v>Ownership, Structure &amp; Governance</v>
      </c>
      <c r="C144" s="10" t="str">
        <f aca="false">'Indicator Master'!D143</f>
        <v>Share application money pending allotment far beyond the 60-day limit</v>
      </c>
      <c r="D144" s="9" t="str">
        <f aca="false">'Indicator Master'!P143</f>
        <v>Medium</v>
      </c>
      <c r="E144" s="9" t="n">
        <f aca="false">'Indicator Master'!Q143</f>
        <v>5</v>
      </c>
      <c r="F144" s="36" t="s">
        <v>9124</v>
      </c>
      <c r="G144" s="9" t="n">
        <f aca="false">IF(UPPER(F144)="Y",E144,0)</f>
        <v>0</v>
      </c>
    </row>
    <row r="145" customFormat="false" ht="25.5" hidden="false" customHeight="true" outlineLevel="0" collapsed="false">
      <c r="A145" s="9" t="str">
        <f aca="false">'Indicator Master'!A144</f>
        <v>OWN-031</v>
      </c>
      <c r="B145" s="9" t="str">
        <f aca="false">'Indicator Master'!B144</f>
        <v>Ownership, Structure &amp; Governance</v>
      </c>
      <c r="C145" s="10" t="str">
        <f aca="false">'Indicator Master'!D144</f>
        <v>Director and related-party unsecured loans dwarf the equity base</v>
      </c>
      <c r="D145" s="9" t="str">
        <f aca="false">'Indicator Master'!P144</f>
        <v>Medium</v>
      </c>
      <c r="E145" s="9" t="n">
        <f aca="false">'Indicator Master'!Q144</f>
        <v>5</v>
      </c>
      <c r="F145" s="36" t="s">
        <v>9124</v>
      </c>
      <c r="G145" s="9" t="n">
        <f aca="false">IF(UPPER(F145)="Y",E145,0)</f>
        <v>0</v>
      </c>
    </row>
    <row r="146" customFormat="false" ht="25.5" hidden="false" customHeight="true" outlineLevel="0" collapsed="false">
      <c r="A146" s="9" t="str">
        <f aca="false">'Indicator Master'!A145</f>
        <v>OWN-032</v>
      </c>
      <c r="B146" s="9" t="str">
        <f aca="false">'Indicator Master'!B145</f>
        <v>Ownership, Structure &amp; Governance</v>
      </c>
      <c r="C146" s="10" t="str">
        <f aca="false">'Indicator Master'!D145</f>
        <v>Foreign shareholding on record with no FC-GPR reporting of the inflow</v>
      </c>
      <c r="D146" s="9" t="str">
        <f aca="false">'Indicator Master'!P145</f>
        <v>High</v>
      </c>
      <c r="E146" s="9" t="n">
        <f aca="false">'Indicator Master'!Q145</f>
        <v>7</v>
      </c>
      <c r="F146" s="36" t="s">
        <v>9124</v>
      </c>
      <c r="G146" s="9" t="n">
        <f aca="false">IF(UPPER(F146)="Y",E146,0)</f>
        <v>0</v>
      </c>
    </row>
    <row r="147" customFormat="false" ht="25.5" hidden="false" customHeight="true" outlineLevel="0" collapsed="false">
      <c r="A147" s="9" t="str">
        <f aca="false">'Indicator Master'!A146</f>
        <v>OWN-033</v>
      </c>
      <c r="B147" s="9" t="str">
        <f aca="false">'Indicator Master'!B146</f>
        <v>Ownership, Structure &amp; Governance</v>
      </c>
      <c r="C147" s="10" t="str">
        <f aca="false">'Indicator Master'!D146</f>
        <v>A cluster of related entities all incorporated within one short window</v>
      </c>
      <c r="D147" s="9" t="str">
        <f aca="false">'Indicator Master'!P146</f>
        <v>Medium</v>
      </c>
      <c r="E147" s="9" t="n">
        <f aca="false">'Indicator Master'!Q146</f>
        <v>5</v>
      </c>
      <c r="F147" s="36" t="s">
        <v>9124</v>
      </c>
      <c r="G147" s="9" t="n">
        <f aca="false">IF(UPPER(F147)="Y",E147,0)</f>
        <v>0</v>
      </c>
    </row>
    <row r="148" customFormat="false" ht="25.5" hidden="false" customHeight="true" outlineLevel="0" collapsed="false">
      <c r="A148" s="9" t="str">
        <f aca="false">'Indicator Master'!A147</f>
        <v>OWN-034</v>
      </c>
      <c r="B148" s="9" t="str">
        <f aca="false">'Indicator Master'!B147</f>
        <v>Ownership, Structure &amp; Governance</v>
      </c>
      <c r="C148" s="10" t="str">
        <f aca="false">'Indicator Master'!D147</f>
        <v>Many unconnected entities share a single registered office address</v>
      </c>
      <c r="D148" s="9" t="str">
        <f aca="false">'Indicator Master'!P147</f>
        <v>Medium</v>
      </c>
      <c r="E148" s="9" t="n">
        <f aca="false">'Indicator Master'!Q147</f>
        <v>5</v>
      </c>
      <c r="F148" s="36" t="s">
        <v>9124</v>
      </c>
      <c r="G148" s="9" t="n">
        <f aca="false">IF(UPPER(F148)="Y",E148,0)</f>
        <v>0</v>
      </c>
    </row>
    <row r="149" customFormat="false" ht="25.5" hidden="false" customHeight="true" outlineLevel="0" collapsed="false">
      <c r="A149" s="9" t="str">
        <f aca="false">'Indicator Master'!A148</f>
        <v>OWN-035</v>
      </c>
      <c r="B149" s="9" t="str">
        <f aca="false">'Indicator Master'!B148</f>
        <v>Ownership, Structure &amp; Governance</v>
      </c>
      <c r="C149" s="10" t="str">
        <f aca="false">'Indicator Master'!D148</f>
        <v>Subsidiary or associate omitted from the consolidated financial statements</v>
      </c>
      <c r="D149" s="9" t="str">
        <f aca="false">'Indicator Master'!P148</f>
        <v>High</v>
      </c>
      <c r="E149" s="9" t="n">
        <f aca="false">'Indicator Master'!Q148</f>
        <v>7</v>
      </c>
      <c r="F149" s="36" t="s">
        <v>9124</v>
      </c>
      <c r="G149" s="9" t="n">
        <f aca="false">IF(UPPER(F149)="Y",E149,0)</f>
        <v>0</v>
      </c>
    </row>
    <row r="150" customFormat="false" ht="25.5" hidden="false" customHeight="true" outlineLevel="0" collapsed="false">
      <c r="A150" s="9" t="str">
        <f aca="false">'Indicator Master'!A149</f>
        <v>OWN-036</v>
      </c>
      <c r="B150" s="9" t="str">
        <f aca="false">'Indicator Master'!B149</f>
        <v>Ownership, Structure &amp; Governance</v>
      </c>
      <c r="C150" s="10" t="str">
        <f aca="false">'Indicator Master'!D149</f>
        <v>Ownership chain crosses three or more jurisdictions to reach the ultimate owner</v>
      </c>
      <c r="D150" s="9" t="str">
        <f aca="false">'Indicator Master'!P149</f>
        <v>Medium</v>
      </c>
      <c r="E150" s="9" t="n">
        <f aca="false">'Indicator Master'!Q149</f>
        <v>5</v>
      </c>
      <c r="F150" s="36" t="s">
        <v>9124</v>
      </c>
      <c r="G150" s="9" t="n">
        <f aca="false">IF(UPPER(F150)="Y",E150,0)</f>
        <v>0</v>
      </c>
    </row>
    <row r="151" customFormat="false" ht="25.5" hidden="false" customHeight="true" outlineLevel="0" collapsed="false">
      <c r="A151" s="9" t="str">
        <f aca="false">'Indicator Master'!A150</f>
        <v>OWN-037</v>
      </c>
      <c r="B151" s="9" t="str">
        <f aca="false">'Indicator Master'!B150</f>
        <v>Ownership, Structure &amp; Governance</v>
      </c>
      <c r="C151" s="10" t="str">
        <f aca="false">'Indicator Master'!D150</f>
        <v>Subsidiary with no employees, no revenue and only intra-group investments as assets</v>
      </c>
      <c r="D151" s="9" t="str">
        <f aca="false">'Indicator Master'!P150</f>
        <v>Low</v>
      </c>
      <c r="E151" s="9" t="n">
        <f aca="false">'Indicator Master'!Q150</f>
        <v>2</v>
      </c>
      <c r="F151" s="36" t="s">
        <v>9124</v>
      </c>
      <c r="G151" s="9" t="n">
        <f aca="false">IF(UPPER(F151)="Y",E151,0)</f>
        <v>0</v>
      </c>
    </row>
    <row r="152" customFormat="false" ht="25.5" hidden="false" customHeight="true" outlineLevel="0" collapsed="false">
      <c r="A152" s="9" t="str">
        <f aca="false">'Indicator Master'!A151</f>
        <v>OWN-038</v>
      </c>
      <c r="B152" s="9" t="str">
        <f aca="false">'Indicator Master'!B151</f>
        <v>Ownership, Structure &amp; Governance</v>
      </c>
      <c r="C152" s="10" t="str">
        <f aca="false">'Indicator Master'!D151</f>
        <v>Board met below the statutory count or with gaps beyond 120 days</v>
      </c>
      <c r="D152" s="9" t="str">
        <f aca="false">'Indicator Master'!P151</f>
        <v>Low</v>
      </c>
      <c r="E152" s="9" t="n">
        <f aca="false">'Indicator Master'!Q151</f>
        <v>2</v>
      </c>
      <c r="F152" s="36" t="s">
        <v>9124</v>
      </c>
      <c r="G152" s="9" t="n">
        <f aca="false">IF(UPPER(F152)="Y",E152,0)</f>
        <v>0</v>
      </c>
    </row>
    <row r="153" customFormat="false" ht="25.5" hidden="false" customHeight="true" outlineLevel="0" collapsed="false">
      <c r="A153" s="9" t="str">
        <f aca="false">'Indicator Master'!A152</f>
        <v>OWN-039</v>
      </c>
      <c r="B153" s="9" t="str">
        <f aca="false">'Indicator Master'!B152</f>
        <v>Ownership, Structure &amp; Governance</v>
      </c>
      <c r="C153" s="10" t="str">
        <f aca="false">'Indicator Master'!D152</f>
        <v>Board minutes and resolutions all created or filed on a single date</v>
      </c>
      <c r="D153" s="9" t="str">
        <f aca="false">'Indicator Master'!P152</f>
        <v>Medium</v>
      </c>
      <c r="E153" s="9" t="n">
        <f aca="false">'Indicator Master'!Q152</f>
        <v>5</v>
      </c>
      <c r="F153" s="36" t="s">
        <v>9124</v>
      </c>
      <c r="G153" s="9" t="n">
        <f aca="false">IF(UPPER(F153)="Y",E153,0)</f>
        <v>0</v>
      </c>
    </row>
    <row r="154" customFormat="false" ht="25.5" hidden="false" customHeight="true" outlineLevel="0" collapsed="false">
      <c r="A154" s="9" t="str">
        <f aca="false">'Indicator Master'!A153</f>
        <v>OWN-040</v>
      </c>
      <c r="B154" s="9" t="str">
        <f aca="false">'Indicator Master'!B153</f>
        <v>Ownership, Structure &amp; Governance</v>
      </c>
      <c r="C154" s="10" t="str">
        <f aca="false">'Indicator Master'!D153</f>
        <v>Statutory registers missing, or produced freshly reconstructed</v>
      </c>
      <c r="D154" s="9" t="str">
        <f aca="false">'Indicator Master'!P153</f>
        <v>Medium</v>
      </c>
      <c r="E154" s="9" t="n">
        <f aca="false">'Indicator Master'!Q153</f>
        <v>4</v>
      </c>
      <c r="F154" s="36" t="s">
        <v>9124</v>
      </c>
      <c r="G154" s="9" t="n">
        <f aca="false">IF(UPPER(F154)="Y",E154,0)</f>
        <v>0</v>
      </c>
    </row>
    <row r="155" customFormat="false" ht="25.5" hidden="false" customHeight="true" outlineLevel="0" collapsed="false">
      <c r="A155" s="9" t="str">
        <f aca="false">'Indicator Master'!A154</f>
        <v>OWN-041</v>
      </c>
      <c r="B155" s="9" t="str">
        <f aca="false">'Indicator Master'!B154</f>
        <v>Ownership, Structure &amp; Governance</v>
      </c>
      <c r="C155" s="10" t="str">
        <f aca="false">'Indicator Master'!D154</f>
        <v>AOC-2 nil although the accounts disclose large related-party transactions</v>
      </c>
      <c r="D155" s="9" t="str">
        <f aca="false">'Indicator Master'!P154</f>
        <v>High</v>
      </c>
      <c r="E155" s="9" t="n">
        <f aca="false">'Indicator Master'!Q154</f>
        <v>6</v>
      </c>
      <c r="F155" s="36" t="s">
        <v>9124</v>
      </c>
      <c r="G155" s="9" t="n">
        <f aca="false">IF(UPPER(F155)="Y",E155,0)</f>
        <v>0</v>
      </c>
    </row>
    <row r="156" customFormat="false" ht="25.5" hidden="false" customHeight="true" outlineLevel="0" collapsed="false">
      <c r="A156" s="9" t="str">
        <f aca="false">'Indicator Master'!A155</f>
        <v>OWN-042</v>
      </c>
      <c r="B156" s="9" t="str">
        <f aca="false">'Indicator Master'!B155</f>
        <v>Ownership, Structure &amp; Governance</v>
      </c>
      <c r="C156" s="10" t="str">
        <f aca="false">'Indicator Master'!D155</f>
        <v>One practising professional or audit firm certifies every entity in the cluster</v>
      </c>
      <c r="D156" s="9" t="str">
        <f aca="false">'Indicator Master'!P155</f>
        <v>Medium</v>
      </c>
      <c r="E156" s="9" t="n">
        <f aca="false">'Indicator Master'!Q155</f>
        <v>5</v>
      </c>
      <c r="F156" s="36" t="s">
        <v>9124</v>
      </c>
      <c r="G156" s="9" t="n">
        <f aca="false">IF(UPPER(F156)="Y",E156,0)</f>
        <v>0</v>
      </c>
    </row>
    <row r="157" customFormat="false" ht="25.5" hidden="false" customHeight="true" outlineLevel="0" collapsed="false">
      <c r="A157" s="9" t="str">
        <f aca="false">'Indicator Master'!A156</f>
        <v>OWN-043</v>
      </c>
      <c r="B157" s="9" t="str">
        <f aca="false">'Indicator Master'!B156</f>
        <v>Ownership, Structure &amp; Governance</v>
      </c>
      <c r="C157" s="10" t="str">
        <f aca="false">'Indicator Master'!D156</f>
        <v>Veto, affirmative-vote or board-nomination rights held by a party with no equity</v>
      </c>
      <c r="D157" s="9" t="str">
        <f aca="false">'Indicator Master'!P156</f>
        <v>High</v>
      </c>
      <c r="E157" s="9" t="n">
        <f aca="false">'Indicator Master'!Q156</f>
        <v>7</v>
      </c>
      <c r="F157" s="36" t="s">
        <v>9124</v>
      </c>
      <c r="G157" s="9" t="n">
        <f aca="false">IF(UPPER(F157)="Y",E157,0)</f>
        <v>0</v>
      </c>
    </row>
    <row r="158" customFormat="false" ht="25.5" hidden="false" customHeight="true" outlineLevel="0" collapsed="false">
      <c r="A158" s="9" t="str">
        <f aca="false">'Indicator Master'!A157</f>
        <v>OWN-044</v>
      </c>
      <c r="B158" s="9" t="str">
        <f aca="false">'Indicator Master'!B157</f>
        <v>Ownership, Structure &amp; Governance</v>
      </c>
      <c r="C158" s="10" t="str">
        <f aca="false">'Indicator Master'!D157</f>
        <v>Management or brand-licence fees hand control to an undisclosed related party</v>
      </c>
      <c r="D158" s="9" t="str">
        <f aca="false">'Indicator Master'!P157</f>
        <v>High</v>
      </c>
      <c r="E158" s="9" t="n">
        <f aca="false">'Indicator Master'!Q157</f>
        <v>7</v>
      </c>
      <c r="F158" s="36" t="s">
        <v>9124</v>
      </c>
      <c r="G158" s="9" t="n">
        <f aca="false">IF(UPPER(F158)="Y",E158,0)</f>
        <v>0</v>
      </c>
    </row>
    <row r="159" customFormat="false" ht="25.5" hidden="false" customHeight="true" outlineLevel="0" collapsed="false">
      <c r="A159" s="9" t="str">
        <f aca="false">'Indicator Master'!A158</f>
        <v>OWN-045</v>
      </c>
      <c r="B159" s="9" t="str">
        <f aca="false">'Indicator Master'!B158</f>
        <v>Ownership, Structure &amp; Governance</v>
      </c>
      <c r="C159" s="10" t="str">
        <f aca="false">'Indicator Master'!D158</f>
        <v>One signatory operates the bank accounts of every entity in the group</v>
      </c>
      <c r="D159" s="9" t="str">
        <f aca="false">'Indicator Master'!P158</f>
        <v>Critical</v>
      </c>
      <c r="E159" s="9" t="n">
        <f aca="false">'Indicator Master'!Q158</f>
        <v>9</v>
      </c>
      <c r="F159" s="36" t="s">
        <v>9124</v>
      </c>
      <c r="G159" s="9" t="n">
        <f aca="false">IF(UPPER(F159)="Y",E159,0)</f>
        <v>0</v>
      </c>
    </row>
    <row r="160" customFormat="false" ht="25.5" hidden="false" customHeight="true" outlineLevel="0" collapsed="false">
      <c r="A160" s="9" t="str">
        <f aca="false">'Indicator Master'!A159</f>
        <v>OWN-046</v>
      </c>
      <c r="B160" s="9" t="str">
        <f aca="false">'Indicator Master'!B159</f>
        <v>Ownership, Structure &amp; Governance</v>
      </c>
      <c r="C160" s="10" t="str">
        <f aca="false">'Indicator Master'!D159</f>
        <v>Index of Charges completely empty despite large turnover and reported borrowings</v>
      </c>
      <c r="D160" s="9" t="str">
        <f aca="false">'Indicator Master'!P159</f>
        <v>Medium</v>
      </c>
      <c r="E160" s="9" t="n">
        <f aca="false">'Indicator Master'!Q159</f>
        <v>5</v>
      </c>
      <c r="F160" s="36" t="s">
        <v>9124</v>
      </c>
      <c r="G160" s="9" t="n">
        <f aca="false">IF(UPPER(F160)="Y",E160,0)</f>
        <v>0</v>
      </c>
    </row>
    <row r="161" customFormat="false" ht="25.5" hidden="false" customHeight="true" outlineLevel="0" collapsed="false">
      <c r="A161" s="9" t="str">
        <f aca="false">'Indicator Master'!A160</f>
        <v>OWN-047</v>
      </c>
      <c r="B161" s="9" t="str">
        <f aca="false">'Indicator Master'!B160</f>
        <v>Ownership, Structure &amp; Governance</v>
      </c>
      <c r="C161" s="10" t="str">
        <f aca="false">'Indicator Master'!D160</f>
        <v>All charges satisfied and no new charge created for years</v>
      </c>
      <c r="D161" s="9" t="str">
        <f aca="false">'Indicator Master'!P160</f>
        <v>Low</v>
      </c>
      <c r="E161" s="9" t="n">
        <f aca="false">'Indicator Master'!Q160</f>
        <v>2</v>
      </c>
      <c r="F161" s="36" t="s">
        <v>9124</v>
      </c>
      <c r="G161" s="9" t="n">
        <f aca="false">IF(UPPER(F161)="Y",E161,0)</f>
        <v>0</v>
      </c>
    </row>
    <row r="162" customFormat="false" ht="25.5" hidden="false" customHeight="true" outlineLevel="0" collapsed="false">
      <c r="A162" s="9" t="str">
        <f aca="false">'Indicator Master'!A161</f>
        <v>OWN-048</v>
      </c>
      <c r="B162" s="9" t="str">
        <f aca="false">'Indicator Master'!B161</f>
        <v>Ownership, Structure &amp; Governance</v>
      </c>
      <c r="C162" s="10" t="str">
        <f aca="false">'Indicator Master'!D161</f>
        <v>Charge to a non-lender or related party, or out of scale with the asset base</v>
      </c>
      <c r="D162" s="9" t="str">
        <f aca="false">'Indicator Master'!P161</f>
        <v>High</v>
      </c>
      <c r="E162" s="9" t="n">
        <f aca="false">'Indicator Master'!Q161</f>
        <v>7</v>
      </c>
      <c r="F162" s="36" t="s">
        <v>9124</v>
      </c>
      <c r="G162" s="9" t="n">
        <f aca="false">IF(UPPER(F162)="Y",E162,0)</f>
        <v>0</v>
      </c>
    </row>
    <row r="163" customFormat="false" ht="25.5" hidden="false" customHeight="true" outlineLevel="0" collapsed="false">
      <c r="A163" s="9" t="str">
        <f aca="false">'Indicator Master'!A162</f>
        <v>OWN-049</v>
      </c>
      <c r="B163" s="9" t="str">
        <f aca="false">'Indicator Master'!B162</f>
        <v>Ownership, Structure &amp; Governance</v>
      </c>
      <c r="C163" s="10" t="str">
        <f aca="false">'Indicator Master'!D162</f>
        <v>Politically exposed, sanctioned or investigated person in the ownership or control chain</v>
      </c>
      <c r="D163" s="9" t="str">
        <f aca="false">'Indicator Master'!P162</f>
        <v>High</v>
      </c>
      <c r="E163" s="9" t="n">
        <f aca="false">'Indicator Master'!Q162</f>
        <v>8</v>
      </c>
      <c r="F163" s="36" t="s">
        <v>9124</v>
      </c>
      <c r="G163" s="9" t="n">
        <f aca="false">IF(UPPER(F163)="Y",E163,0)</f>
        <v>0</v>
      </c>
    </row>
    <row r="164" customFormat="false" ht="25.5" hidden="false" customHeight="true" outlineLevel="0" collapsed="false">
      <c r="A164" s="9" t="str">
        <f aca="false">'Indicator Master'!A163</f>
        <v>OWN-050</v>
      </c>
      <c r="B164" s="9" t="str">
        <f aca="false">'Indicator Master'!B163</f>
        <v>Ownership, Structure &amp; Governance</v>
      </c>
      <c r="C164" s="10" t="str">
        <f aca="false">'Indicator Master'!D163</f>
        <v>Shared ownership or directors with struck-off, disqualified or wilful-defaulter entities</v>
      </c>
      <c r="D164" s="9" t="str">
        <f aca="false">'Indicator Master'!P163</f>
        <v>Critical</v>
      </c>
      <c r="E164" s="9" t="n">
        <f aca="false">'Indicator Master'!Q163</f>
        <v>10</v>
      </c>
      <c r="F164" s="36" t="s">
        <v>9124</v>
      </c>
      <c r="G164" s="9" t="n">
        <f aca="false">IF(UPPER(F164)="Y",E164,0)</f>
        <v>0</v>
      </c>
    </row>
    <row r="165" customFormat="false" ht="25.5" hidden="false" customHeight="true" outlineLevel="0" collapsed="false">
      <c r="A165" s="9" t="str">
        <f aca="false">'Indicator Master'!A164</f>
        <v>BNK-001</v>
      </c>
      <c r="B165" s="9" t="str">
        <f aca="false">'Indicator Master'!B164</f>
        <v>Banking &amp; Transaction Behaviour</v>
      </c>
      <c r="C165" s="10" t="str">
        <f aca="false">'Indicator Master'!D164</f>
        <v>Credits reversed by near-equal debits within 72 hours (mirror pairs)</v>
      </c>
      <c r="D165" s="9" t="str">
        <f aca="false">'Indicator Master'!P164</f>
        <v>Critical</v>
      </c>
      <c r="E165" s="9" t="n">
        <f aca="false">'Indicator Master'!Q164</f>
        <v>9</v>
      </c>
      <c r="F165" s="36" t="s">
        <v>9124</v>
      </c>
      <c r="G165" s="9" t="n">
        <f aca="false">IF(UPPER(F165)="Y",E165,0)</f>
        <v>0</v>
      </c>
    </row>
    <row r="166" customFormat="false" ht="25.5" hidden="false" customHeight="true" outlineLevel="0" collapsed="false">
      <c r="A166" s="9" t="str">
        <f aca="false">'Indicator Master'!A165</f>
        <v>BNK-002</v>
      </c>
      <c r="B166" s="9" t="str">
        <f aca="false">'Indicator Master'!B165</f>
        <v>Banking &amp; Transaction Behaviour</v>
      </c>
      <c r="C166" s="10" t="str">
        <f aca="false">'Indicator Master'!D165</f>
        <v>End-of-day balance decays to near zero after every credit cycle</v>
      </c>
      <c r="D166" s="9" t="str">
        <f aca="false">'Indicator Master'!P165</f>
        <v>High</v>
      </c>
      <c r="E166" s="9" t="n">
        <f aca="false">'Indicator Master'!Q165</f>
        <v>7</v>
      </c>
      <c r="F166" s="36" t="s">
        <v>9124</v>
      </c>
      <c r="G166" s="9" t="n">
        <f aca="false">IF(UPPER(F166)="Y",E166,0)</f>
        <v>0</v>
      </c>
    </row>
    <row r="167" customFormat="false" ht="25.5" hidden="false" customHeight="true" outlineLevel="0" collapsed="false">
      <c r="A167" s="9" t="str">
        <f aca="false">'Indicator Master'!A166</f>
        <v>BNK-003</v>
      </c>
      <c r="B167" s="9" t="str">
        <f aca="false">'Indicator Master'!B166</f>
        <v>Banking &amp; Transaction Behaviour</v>
      </c>
      <c r="C167" s="10" t="str">
        <f aca="false">'Indicator Master'!D166</f>
        <v>Turnover-to-average-balance velocity above sector 95th percentile</v>
      </c>
      <c r="D167" s="9" t="str">
        <f aca="false">'Indicator Master'!P166</f>
        <v>Medium</v>
      </c>
      <c r="E167" s="9" t="n">
        <f aca="false">'Indicator Master'!Q166</f>
        <v>5</v>
      </c>
      <c r="F167" s="36" t="s">
        <v>9124</v>
      </c>
      <c r="G167" s="9" t="n">
        <f aca="false">IF(UPPER(F167)="Y",E167,0)</f>
        <v>0</v>
      </c>
    </row>
    <row r="168" customFormat="false" ht="25.5" hidden="false" customHeight="true" outlineLevel="0" collapsed="false">
      <c r="A168" s="9" t="str">
        <f aca="false">'Indicator Master'!A167</f>
        <v>BNK-004</v>
      </c>
      <c r="B168" s="9" t="str">
        <f aca="false">'Indicator Master'!B167</f>
        <v>Banking &amp; Transaction Behaviour</v>
      </c>
      <c r="C168" s="10" t="str">
        <f aca="false">'Indicator Master'!D167</f>
        <v>Same-day in and out: funds resident under 24 hours for most credit value</v>
      </c>
      <c r="D168" s="9" t="str">
        <f aca="false">'Indicator Master'!P167</f>
        <v>High</v>
      </c>
      <c r="E168" s="9" t="n">
        <f aca="false">'Indicator Master'!Q167</f>
        <v>8</v>
      </c>
      <c r="F168" s="36" t="s">
        <v>9124</v>
      </c>
      <c r="G168" s="9" t="n">
        <f aca="false">IF(UPPER(F168)="Y",E168,0)</f>
        <v>0</v>
      </c>
    </row>
    <row r="169" customFormat="false" ht="25.5" hidden="false" customHeight="true" outlineLevel="0" collapsed="false">
      <c r="A169" s="9" t="str">
        <f aca="false">'Indicator Master'!A168</f>
        <v>BNK-005</v>
      </c>
      <c r="B169" s="9" t="str">
        <f aca="false">'Indicator Master'!B168</f>
        <v>Banking &amp; Transaction Behaviour</v>
      </c>
      <c r="C169" s="10" t="str">
        <f aca="false">'Indicator Master'!D168</f>
        <v>Constant percentage retained on each pass-through (commission-style skim)</v>
      </c>
      <c r="D169" s="9" t="str">
        <f aca="false">'Indicator Master'!P168</f>
        <v>Critical</v>
      </c>
      <c r="E169" s="9" t="n">
        <f aca="false">'Indicator Master'!Q168</f>
        <v>9</v>
      </c>
      <c r="F169" s="36" t="s">
        <v>9124</v>
      </c>
      <c r="G169" s="9" t="n">
        <f aca="false">IF(UPPER(F169)="Y",E169,0)</f>
        <v>0</v>
      </c>
    </row>
    <row r="170" customFormat="false" ht="25.5" hidden="false" customHeight="true" outlineLevel="0" collapsed="false">
      <c r="A170" s="9" t="str">
        <f aca="false">'Indicator Master'!A169</f>
        <v>BNK-006</v>
      </c>
      <c r="B170" s="9" t="str">
        <f aca="false">'Indicator Master'!B169</f>
        <v>Banking &amp; Transaction Behaviour</v>
      </c>
      <c r="C170" s="10" t="str">
        <f aca="false">'Indicator Master'!D169</f>
        <v>Cash deposits clustered just below the INR 10 lakh CTR reporting threshold</v>
      </c>
      <c r="D170" s="9" t="str">
        <f aca="false">'Indicator Master'!P169</f>
        <v>Critical</v>
      </c>
      <c r="E170" s="9" t="n">
        <f aca="false">'Indicator Master'!Q169</f>
        <v>10</v>
      </c>
      <c r="F170" s="36" t="s">
        <v>9124</v>
      </c>
      <c r="G170" s="9" t="n">
        <f aca="false">IF(UPPER(F170)="Y",E170,0)</f>
        <v>0</v>
      </c>
    </row>
    <row r="171" customFormat="false" ht="25.5" hidden="false" customHeight="true" outlineLevel="0" collapsed="false">
      <c r="A171" s="9" t="str">
        <f aca="false">'Indicator Master'!A170</f>
        <v>BNK-007</v>
      </c>
      <c r="B171" s="9" t="str">
        <f aca="false">'Indicator Master'!B170</f>
        <v>Banking &amp; Transaction Behaviour</v>
      </c>
      <c r="C171" s="10" t="str">
        <f aca="false">'Indicator Master'!D170</f>
        <v>Burst of transfers priced just below an internal approval or rail limit</v>
      </c>
      <c r="D171" s="9" t="str">
        <f aca="false">'Indicator Master'!P170</f>
        <v>Medium</v>
      </c>
      <c r="E171" s="9" t="n">
        <f aca="false">'Indicator Master'!Q170</f>
        <v>5</v>
      </c>
      <c r="F171" s="36" t="s">
        <v>9124</v>
      </c>
      <c r="G171" s="9" t="n">
        <f aca="false">IF(UPPER(F171)="Y",E171,0)</f>
        <v>0</v>
      </c>
    </row>
    <row r="172" customFormat="false" ht="25.5" hidden="false" customHeight="true" outlineLevel="0" collapsed="false">
      <c r="A172" s="9" t="str">
        <f aca="false">'Indicator Master'!A171</f>
        <v>BNK-008</v>
      </c>
      <c r="B172" s="9" t="str">
        <f aca="false">'Indicator Master'!B171</f>
        <v>Banking &amp; Transaction Behaviour</v>
      </c>
      <c r="C172" s="10" t="str">
        <f aca="false">'Indicator Master'!D171</f>
        <v>One invoice or obligation settled across several instruments or dates</v>
      </c>
      <c r="D172" s="9" t="str">
        <f aca="false">'Indicator Master'!P171</f>
        <v>Medium</v>
      </c>
      <c r="E172" s="9" t="n">
        <f aca="false">'Indicator Master'!Q171</f>
        <v>5</v>
      </c>
      <c r="F172" s="36" t="s">
        <v>9124</v>
      </c>
      <c r="G172" s="9" t="n">
        <f aca="false">IF(UPPER(F172)="Y",E172,0)</f>
        <v>0</v>
      </c>
    </row>
    <row r="173" customFormat="false" ht="25.5" hidden="false" customHeight="true" outlineLevel="0" collapsed="false">
      <c r="A173" s="9" t="str">
        <f aca="false">'Indicator Master'!A172</f>
        <v>BNK-009</v>
      </c>
      <c r="B173" s="9" t="str">
        <f aca="false">'Indicator Master'!B172</f>
        <v>Banking &amp; Transaction Behaviour</v>
      </c>
      <c r="C173" s="10" t="str">
        <f aca="false">'Indicator Master'!D172</f>
        <v>Round-figure density and Benford deviation in bank debit amounts</v>
      </c>
      <c r="D173" s="9" t="str">
        <f aca="false">'Indicator Master'!P172</f>
        <v>Low</v>
      </c>
      <c r="E173" s="9" t="n">
        <f aca="false">'Indicator Master'!Q172</f>
        <v>2</v>
      </c>
      <c r="F173" s="36" t="s">
        <v>9124</v>
      </c>
      <c r="G173" s="9" t="n">
        <f aca="false">IF(UPPER(F173)="Y",E173,0)</f>
        <v>0</v>
      </c>
    </row>
    <row r="174" customFormat="false" ht="25.5" hidden="false" customHeight="true" outlineLevel="0" collapsed="false">
      <c r="A174" s="9" t="str">
        <f aca="false">'Indicator Master'!A173</f>
        <v>BNK-010</v>
      </c>
      <c r="B174" s="9" t="str">
        <f aca="false">'Indicator Master'!B173</f>
        <v>Banking &amp; Transaction Behaviour</v>
      </c>
      <c r="C174" s="10" t="str">
        <f aca="false">'Indicator Master'!D173</f>
        <v>Many-to-one funnel: numerous small credits aggregated into one large outflow</v>
      </c>
      <c r="D174" s="9" t="str">
        <f aca="false">'Indicator Master'!P173</f>
        <v>Critical</v>
      </c>
      <c r="E174" s="9" t="n">
        <f aca="false">'Indicator Master'!Q173</f>
        <v>9</v>
      </c>
      <c r="F174" s="36" t="s">
        <v>9124</v>
      </c>
      <c r="G174" s="9" t="n">
        <f aca="false">IF(UPPER(F174)="Y",E174,0)</f>
        <v>0</v>
      </c>
    </row>
    <row r="175" customFormat="false" ht="25.5" hidden="false" customHeight="true" outlineLevel="0" collapsed="false">
      <c r="A175" s="9" t="str">
        <f aca="false">'Indicator Master'!A174</f>
        <v>BNK-011</v>
      </c>
      <c r="B175" s="9" t="str">
        <f aca="false">'Indicator Master'!B174</f>
        <v>Banking &amp; Transaction Behaviour</v>
      </c>
      <c r="C175" s="10" t="str">
        <f aca="false">'Indicator Master'!D174</f>
        <v>One-to-many fan-out: single large credit dispersed to many payees within 48 hours</v>
      </c>
      <c r="D175" s="9" t="str">
        <f aca="false">'Indicator Master'!P174</f>
        <v>High</v>
      </c>
      <c r="E175" s="9" t="n">
        <f aca="false">'Indicator Master'!Q174</f>
        <v>8</v>
      </c>
      <c r="F175" s="36" t="s">
        <v>9124</v>
      </c>
      <c r="G175" s="9" t="n">
        <f aca="false">IF(UPPER(F175)="Y",E175,0)</f>
        <v>0</v>
      </c>
    </row>
    <row r="176" customFormat="false" ht="25.5" hidden="false" customHeight="true" outlineLevel="0" collapsed="false">
      <c r="A176" s="9" t="str">
        <f aca="false">'Indicator Master'!A175</f>
        <v>BNK-012</v>
      </c>
      <c r="B176" s="9" t="str">
        <f aca="false">'Indicator Master'!B175</f>
        <v>Banking &amp; Transaction Behaviour</v>
      </c>
      <c r="C176" s="10" t="str">
        <f aca="false">'Indicator Master'!D175</f>
        <v>Counterparty entropy far outside sector norm (concentration or artificial diversity)</v>
      </c>
      <c r="D176" s="9" t="str">
        <f aca="false">'Indicator Master'!P175</f>
        <v>Medium</v>
      </c>
      <c r="E176" s="9" t="n">
        <f aca="false">'Indicator Master'!Q175</f>
        <v>4</v>
      </c>
      <c r="F176" s="36" t="s">
        <v>9124</v>
      </c>
      <c r="G176" s="9" t="n">
        <f aca="false">IF(UPPER(F176)="Y",E176,0)</f>
        <v>0</v>
      </c>
    </row>
    <row r="177" customFormat="false" ht="25.5" hidden="false" customHeight="true" outlineLevel="0" collapsed="false">
      <c r="A177" s="9" t="str">
        <f aca="false">'Indicator Master'!A176</f>
        <v>BNK-013</v>
      </c>
      <c r="B177" s="9" t="str">
        <f aca="false">'Indicator Master'!B176</f>
        <v>Banking &amp; Transaction Behaviour</v>
      </c>
      <c r="C177" s="10" t="str">
        <f aca="false">'Indicator Master'!D176</f>
        <v>High-value counterparties share address, director, mobile, email or IP with the subject</v>
      </c>
      <c r="D177" s="9" t="str">
        <f aca="false">'Indicator Master'!P176</f>
        <v>High</v>
      </c>
      <c r="E177" s="9" t="n">
        <f aca="false">'Indicator Master'!Q176</f>
        <v>8</v>
      </c>
      <c r="F177" s="36" t="s">
        <v>9124</v>
      </c>
      <c r="G177" s="9" t="n">
        <f aca="false">IF(UPPER(F177)="Y",E177,0)</f>
        <v>0</v>
      </c>
    </row>
    <row r="178" customFormat="false" ht="25.5" hidden="false" customHeight="true" outlineLevel="0" collapsed="false">
      <c r="A178" s="9" t="str">
        <f aca="false">'Indicator Master'!A177</f>
        <v>BNK-014</v>
      </c>
      <c r="B178" s="9" t="str">
        <f aca="false">'Indicator Master'!B177</f>
        <v>Banking &amp; Transaction Behaviour</v>
      </c>
      <c r="C178" s="10" t="str">
        <f aca="false">'Indicator Master'!D177</f>
        <v>Round-trip loop: funds paid out return from the same or linked party in 30 days</v>
      </c>
      <c r="D178" s="9" t="str">
        <f aca="false">'Indicator Master'!P177</f>
        <v>High</v>
      </c>
      <c r="E178" s="9" t="n">
        <f aca="false">'Indicator Master'!Q177</f>
        <v>7</v>
      </c>
      <c r="F178" s="36" t="s">
        <v>9124</v>
      </c>
      <c r="G178" s="9" t="n">
        <f aca="false">IF(UPPER(F178)="Y",E178,0)</f>
        <v>0</v>
      </c>
    </row>
    <row r="179" customFormat="false" ht="25.5" hidden="false" customHeight="true" outlineLevel="0" collapsed="false">
      <c r="A179" s="9" t="str">
        <f aca="false">'Indicator Master'!A178</f>
        <v>BNK-015</v>
      </c>
      <c r="B179" s="9" t="str">
        <f aca="false">'Indicator Master'!B178</f>
        <v>Banking &amp; Transaction Behaviour</v>
      </c>
      <c r="C179" s="10" t="str">
        <f aca="false">'Indicator Master'!D178</f>
        <v>Major bank counterparties absent from the books or settling a third party's obligation</v>
      </c>
      <c r="D179" s="9" t="str">
        <f aca="false">'Indicator Master'!P178</f>
        <v>High</v>
      </c>
      <c r="E179" s="9" t="n">
        <f aca="false">'Indicator Master'!Q178</f>
        <v>7</v>
      </c>
      <c r="F179" s="36" t="s">
        <v>9124</v>
      </c>
      <c r="G179" s="9" t="n">
        <f aca="false">IF(UPPER(F179)="Y",E179,0)</f>
        <v>0</v>
      </c>
    </row>
    <row r="180" customFormat="false" ht="25.5" hidden="false" customHeight="true" outlineLevel="0" collapsed="false">
      <c r="A180" s="9" t="str">
        <f aca="false">'Indicator Master'!A179</f>
        <v>BNK-016</v>
      </c>
      <c r="B180" s="9" t="str">
        <f aca="false">'Indicator Master'!B179</f>
        <v>Banking &amp; Transaction Behaviour</v>
      </c>
      <c r="C180" s="10" t="str">
        <f aca="false">'Indicator Master'!D179</f>
        <v>Cash deposit ratio above sector norm and inconsistent with declared B2B supply mix</v>
      </c>
      <c r="D180" s="9" t="str">
        <f aca="false">'Indicator Master'!P179</f>
        <v>Medium</v>
      </c>
      <c r="E180" s="9" t="n">
        <f aca="false">'Indicator Master'!Q179</f>
        <v>5</v>
      </c>
      <c r="F180" s="36" t="s">
        <v>9124</v>
      </c>
      <c r="G180" s="9" t="n">
        <f aca="false">IF(UPPER(F180)="Y",E180,0)</f>
        <v>0</v>
      </c>
    </row>
    <row r="181" customFormat="false" ht="25.5" hidden="false" customHeight="true" outlineLevel="0" collapsed="false">
      <c r="A181" s="9" t="str">
        <f aca="false">'Indicator Master'!A180</f>
        <v>BNK-017</v>
      </c>
      <c r="B181" s="9" t="str">
        <f aca="false">'Indicator Master'!B180</f>
        <v>Banking &amp; Transaction Behaviour</v>
      </c>
      <c r="C181" s="10" t="str">
        <f aca="false">'Indicator Master'!D180</f>
        <v>Cash deposited at branches far from base or in multiple cities the same day</v>
      </c>
      <c r="D181" s="9" t="str">
        <f aca="false">'Indicator Master'!P180</f>
        <v>High</v>
      </c>
      <c r="E181" s="9" t="n">
        <f aca="false">'Indicator Master'!Q180</f>
        <v>7</v>
      </c>
      <c r="F181" s="36" t="s">
        <v>9124</v>
      </c>
      <c r="G181" s="9" t="n">
        <f aca="false">IF(UPPER(F181)="Y",E181,0)</f>
        <v>0</v>
      </c>
    </row>
    <row r="182" customFormat="false" ht="25.5" hidden="false" customHeight="true" outlineLevel="0" collapsed="false">
      <c r="A182" s="9" t="str">
        <f aca="false">'Indicator Master'!A181</f>
        <v>BNK-018</v>
      </c>
      <c r="B182" s="9" t="str">
        <f aca="false">'Indicator Master'!B181</f>
        <v>Banking &amp; Transaction Behaviour</v>
      </c>
      <c r="C182" s="10" t="str">
        <f aca="false">'Indicator Master'!D181</f>
        <v>Large cash withdrawals within 48 hours of matching non-cash credits</v>
      </c>
      <c r="D182" s="9" t="str">
        <f aca="false">'Indicator Master'!P181</f>
        <v>High</v>
      </c>
      <c r="E182" s="9" t="n">
        <f aca="false">'Indicator Master'!Q181</f>
        <v>8</v>
      </c>
      <c r="F182" s="36" t="s">
        <v>9124</v>
      </c>
      <c r="G182" s="9" t="n">
        <f aca="false">IF(UPPER(F182)="Y",E182,0)</f>
        <v>0</v>
      </c>
    </row>
    <row r="183" customFormat="false" ht="25.5" hidden="false" customHeight="true" outlineLevel="0" collapsed="false">
      <c r="A183" s="9" t="str">
        <f aca="false">'Indicator Master'!A182</f>
        <v>BNK-019</v>
      </c>
      <c r="B183" s="9" t="str">
        <f aca="false">'Indicator Master'!B182</f>
        <v>Banking &amp; Transaction Behaviour</v>
      </c>
      <c r="C183" s="10" t="str">
        <f aca="false">'Indicator Master'!D182</f>
        <v>Transaction value concentrated in the last days of month, quarter or financial year</v>
      </c>
      <c r="D183" s="9" t="str">
        <f aca="false">'Indicator Master'!P182</f>
        <v>Medium</v>
      </c>
      <c r="E183" s="9" t="n">
        <f aca="false">'Indicator Master'!Q182</f>
        <v>4</v>
      </c>
      <c r="F183" s="36" t="s">
        <v>9124</v>
      </c>
      <c r="G183" s="9" t="n">
        <f aca="false">IF(UPPER(F183)="Y",E183,0)</f>
        <v>0</v>
      </c>
    </row>
    <row r="184" customFormat="false" ht="25.5" hidden="false" customHeight="true" outlineLevel="0" collapsed="false">
      <c r="A184" s="9" t="str">
        <f aca="false">'Indicator Master'!A183</f>
        <v>BNK-020</v>
      </c>
      <c r="B184" s="9" t="str">
        <f aca="false">'Indicator Master'!B183</f>
        <v>Banking &amp; Transaction Behaviour</v>
      </c>
      <c r="C184" s="10" t="str">
        <f aca="false">'Indicator Master'!D183</f>
        <v>High share of value moved after hours, on weekends or on public holidays</v>
      </c>
      <c r="D184" s="9" t="str">
        <f aca="false">'Indicator Master'!P183</f>
        <v>Low</v>
      </c>
      <c r="E184" s="9" t="n">
        <f aca="false">'Indicator Master'!Q183</f>
        <v>2</v>
      </c>
      <c r="F184" s="36" t="s">
        <v>9124</v>
      </c>
      <c r="G184" s="9" t="n">
        <f aca="false">IF(UPPER(F184)="Y",E184,0)</f>
        <v>0</v>
      </c>
    </row>
    <row r="185" customFormat="false" ht="25.5" hidden="false" customHeight="true" outlineLevel="0" collapsed="false">
      <c r="A185" s="9" t="str">
        <f aca="false">'Indicator Master'!A184</f>
        <v>BNK-021</v>
      </c>
      <c r="B185" s="9" t="str">
        <f aca="false">'Indicator Master'!B184</f>
        <v>Banking &amp; Transaction Behaviour</v>
      </c>
      <c r="C185" s="10" t="str">
        <f aca="false">'Indicator Master'!D184</f>
        <v>Dormant or inoperative account reactivated with immediate high-value throughput</v>
      </c>
      <c r="D185" s="9" t="str">
        <f aca="false">'Indicator Master'!P184</f>
        <v>High</v>
      </c>
      <c r="E185" s="9" t="n">
        <f aca="false">'Indicator Master'!Q184</f>
        <v>7</v>
      </c>
      <c r="F185" s="36" t="s">
        <v>9124</v>
      </c>
      <c r="G185" s="9" t="n">
        <f aca="false">IF(UPPER(F185)="Y",E185,0)</f>
        <v>0</v>
      </c>
    </row>
    <row r="186" customFormat="false" ht="25.5" hidden="false" customHeight="true" outlineLevel="0" collapsed="false">
      <c r="A186" s="9" t="str">
        <f aca="false">'Indicator Master'!A185</f>
        <v>BNK-022</v>
      </c>
      <c r="B186" s="9" t="str">
        <f aca="false">'Indicator Master'!B185</f>
        <v>Banking &amp; Transaction Behaviour</v>
      </c>
      <c r="C186" s="10" t="str">
        <f aca="false">'Indicator Master'!D185</f>
        <v>Burst-and-die shape: near-total throughput inside a short window of the account's life</v>
      </c>
      <c r="D186" s="9" t="str">
        <f aca="false">'Indicator Master'!P185</f>
        <v>Medium</v>
      </c>
      <c r="E186" s="9" t="n">
        <f aca="false">'Indicator Master'!Q185</f>
        <v>5</v>
      </c>
      <c r="F186" s="36" t="s">
        <v>9124</v>
      </c>
      <c r="G186" s="9" t="n">
        <f aca="false">IF(UPPER(F186)="Y",E186,0)</f>
        <v>0</v>
      </c>
    </row>
    <row r="187" customFormat="false" ht="25.5" hidden="false" customHeight="true" outlineLevel="0" collapsed="false">
      <c r="A187" s="9" t="str">
        <f aca="false">'Indicator Master'!A186</f>
        <v>BNK-023</v>
      </c>
      <c r="B187" s="9" t="str">
        <f aca="false">'Indicator Master'!B186</f>
        <v>Banking &amp; Transaction Behaviour</v>
      </c>
      <c r="C187" s="10" t="str">
        <f aca="false">'Indicator Master'!D186</f>
        <v>Account operated by a person who is not a director, partner or authorised signatory</v>
      </c>
      <c r="D187" s="9" t="str">
        <f aca="false">'Indicator Master'!P186</f>
        <v>Critical</v>
      </c>
      <c r="E187" s="9" t="n">
        <f aca="false">'Indicator Master'!Q186</f>
        <v>9</v>
      </c>
      <c r="F187" s="36" t="s">
        <v>9124</v>
      </c>
      <c r="G187" s="9" t="n">
        <f aca="false">IF(UPPER(F187)="Y",E187,0)</f>
        <v>0</v>
      </c>
    </row>
    <row r="188" customFormat="false" ht="25.5" hidden="false" customHeight="true" outlineLevel="0" collapsed="false">
      <c r="A188" s="9" t="str">
        <f aca="false">'Indicator Master'!A187</f>
        <v>BNK-024</v>
      </c>
      <c r="B188" s="9" t="str">
        <f aca="false">'Indicator Master'!B187</f>
        <v>Banking &amp; Transaction Behaviour</v>
      </c>
      <c r="C188" s="10" t="str">
        <f aca="false">'Indicator Master'!D187</f>
        <v>Signatory, device, IP or beneficiary list shared across unrelated accounts</v>
      </c>
      <c r="D188" s="9" t="str">
        <f aca="false">'Indicator Master'!P187</f>
        <v>High</v>
      </c>
      <c r="E188" s="9" t="n">
        <f aca="false">'Indicator Master'!Q187</f>
        <v>8</v>
      </c>
      <c r="F188" s="36" t="s">
        <v>9124</v>
      </c>
      <c r="G188" s="9" t="n">
        <f aca="false">IF(UPPER(F188)="Y",E188,0)</f>
        <v>0</v>
      </c>
    </row>
    <row r="189" customFormat="false" ht="25.5" hidden="false" customHeight="true" outlineLevel="0" collapsed="false">
      <c r="A189" s="9" t="str">
        <f aca="false">'Indicator Master'!A188</f>
        <v>BNK-025</v>
      </c>
      <c r="B189" s="9" t="str">
        <f aca="false">'Indicator Master'!B188</f>
        <v>Banking &amp; Transaction Behaviour</v>
      </c>
      <c r="C189" s="10" t="str">
        <f aca="false">'Indicator Master'!D188</f>
        <v>Net-banking sessions geolocated where the entity claims no presence</v>
      </c>
      <c r="D189" s="9" t="str">
        <f aca="false">'Indicator Master'!P188</f>
        <v>Medium</v>
      </c>
      <c r="E189" s="9" t="n">
        <f aca="false">'Indicator Master'!Q188</f>
        <v>5</v>
      </c>
      <c r="F189" s="36" t="s">
        <v>9124</v>
      </c>
      <c r="G189" s="9" t="n">
        <f aca="false">IF(UPPER(F189)="Y",E189,0)</f>
        <v>0</v>
      </c>
    </row>
    <row r="190" customFormat="false" ht="25.5" hidden="false" customHeight="true" outlineLevel="0" collapsed="false">
      <c r="A190" s="9" t="str">
        <f aca="false">'Indicator Master'!A189</f>
        <v>BNK-026</v>
      </c>
      <c r="B190" s="9" t="str">
        <f aca="false">'Indicator Master'!B189</f>
        <v>Banking &amp; Transaction Behaviour</v>
      </c>
      <c r="C190" s="10" t="str">
        <f aca="false">'Indicator Master'!D189</f>
        <v>Signatory or operating mandate changed immediately before a throughput surge</v>
      </c>
      <c r="D190" s="9" t="str">
        <f aca="false">'Indicator Master'!P189</f>
        <v>Medium</v>
      </c>
      <c r="E190" s="9" t="n">
        <f aca="false">'Indicator Master'!Q189</f>
        <v>5</v>
      </c>
      <c r="F190" s="36" t="s">
        <v>9124</v>
      </c>
      <c r="G190" s="9" t="n">
        <f aca="false">IF(UPPER(F190)="Y",E190,0)</f>
        <v>0</v>
      </c>
    </row>
    <row r="191" customFormat="false" ht="25.5" hidden="false" customHeight="true" outlineLevel="0" collapsed="false">
      <c r="A191" s="9" t="str">
        <f aca="false">'Indicator Master'!A190</f>
        <v>BNK-027</v>
      </c>
      <c r="B191" s="9" t="str">
        <f aca="false">'Indicator Master'!B190</f>
        <v>Banking &amp; Transaction Behaviour</v>
      </c>
      <c r="C191" s="10" t="str">
        <f aca="false">'Indicator Master'!D190</f>
        <v>Bank credits far exceed declared turnover in GST and income tax returns</v>
      </c>
      <c r="D191" s="9" t="str">
        <f aca="false">'Indicator Master'!P190</f>
        <v>Critical</v>
      </c>
      <c r="E191" s="9" t="n">
        <f aca="false">'Indicator Master'!Q190</f>
        <v>9</v>
      </c>
      <c r="F191" s="36" t="s">
        <v>9124</v>
      </c>
      <c r="G191" s="9" t="n">
        <f aca="false">IF(UPPER(F191)="Y",E191,0)</f>
        <v>0</v>
      </c>
    </row>
    <row r="192" customFormat="false" ht="25.5" hidden="false" customHeight="true" outlineLevel="0" collapsed="false">
      <c r="A192" s="9" t="str">
        <f aca="false">'Indicator Master'!A191</f>
        <v>BNK-028</v>
      </c>
      <c r="B192" s="9" t="str">
        <f aca="false">'Indicator Master'!B191</f>
        <v>Banking &amp; Transaction Behaviour</v>
      </c>
      <c r="C192" s="10" t="str">
        <f aca="false">'Indicator Master'!D191</f>
        <v>Declared turnover with no matching bank inflow (paper sales)</v>
      </c>
      <c r="D192" s="9" t="str">
        <f aca="false">'Indicator Master'!P191</f>
        <v>High</v>
      </c>
      <c r="E192" s="9" t="n">
        <f aca="false">'Indicator Master'!Q191</f>
        <v>7</v>
      </c>
      <c r="F192" s="36" t="s">
        <v>9124</v>
      </c>
      <c r="G192" s="9" t="n">
        <f aca="false">IF(UPPER(F192)="Y",E192,0)</f>
        <v>0</v>
      </c>
    </row>
    <row r="193" customFormat="false" ht="25.5" hidden="false" customHeight="true" outlineLevel="0" collapsed="false">
      <c r="A193" s="9" t="str">
        <f aca="false">'Indicator Master'!A192</f>
        <v>BNK-029</v>
      </c>
      <c r="B193" s="9" t="str">
        <f aca="false">'Indicator Master'!B192</f>
        <v>Banking &amp; Transaction Behaviour</v>
      </c>
      <c r="C193" s="10" t="str">
        <f aca="false">'Indicator Master'!D192</f>
        <v>Bank charges or interest income imply volumes and balances the books do not show</v>
      </c>
      <c r="D193" s="9" t="str">
        <f aca="false">'Indicator Master'!P192</f>
        <v>Medium</v>
      </c>
      <c r="E193" s="9" t="n">
        <f aca="false">'Indicator Master'!Q192</f>
        <v>4</v>
      </c>
      <c r="F193" s="36" t="s">
        <v>9124</v>
      </c>
      <c r="G193" s="9" t="n">
        <f aca="false">IF(UPPER(F193)="Y",E193,0)</f>
        <v>0</v>
      </c>
    </row>
    <row r="194" customFormat="false" ht="25.5" hidden="false" customHeight="true" outlineLevel="0" collapsed="false">
      <c r="A194" s="9" t="str">
        <f aca="false">'Indicator Master'!A193</f>
        <v>BNK-030</v>
      </c>
      <c r="B194" s="9" t="str">
        <f aca="false">'Indicator Master'!B193</f>
        <v>Banking &amp; Transaction Behaviour</v>
      </c>
      <c r="C194" s="10" t="str">
        <f aca="false">'Indicator Master'!D193</f>
        <v>Bank accounts operated but not disclosed in the financial statements or tax returns</v>
      </c>
      <c r="D194" s="9" t="str">
        <f aca="false">'Indicator Master'!P193</f>
        <v>High</v>
      </c>
      <c r="E194" s="9" t="n">
        <f aca="false">'Indicator Master'!Q193</f>
        <v>7</v>
      </c>
      <c r="F194" s="36" t="s">
        <v>9124</v>
      </c>
      <c r="G194" s="9" t="n">
        <f aca="false">IF(UPPER(F194)="Y",E194,0)</f>
        <v>0</v>
      </c>
    </row>
    <row r="195" customFormat="false" ht="25.5" hidden="false" customHeight="true" outlineLevel="0" collapsed="false">
      <c r="A195" s="9" t="str">
        <f aca="false">'Indicator Master'!A194</f>
        <v>BNK-031</v>
      </c>
      <c r="B195" s="9" t="str">
        <f aca="false">'Indicator Master'!B194</f>
        <v>Banking &amp; Transaction Behaviour</v>
      </c>
      <c r="C195" s="10" t="str">
        <f aca="false">'Indicator Master'!D194</f>
        <v>Loan drawdown transferred to related parties within 15 days</v>
      </c>
      <c r="D195" s="9" t="str">
        <f aca="false">'Indicator Master'!P194</f>
        <v>Critical</v>
      </c>
      <c r="E195" s="9" t="n">
        <f aca="false">'Indicator Master'!Q194</f>
        <v>9</v>
      </c>
      <c r="F195" s="36" t="s">
        <v>9124</v>
      </c>
      <c r="G195" s="9" t="n">
        <f aca="false">IF(UPPER(F195)="Y",E195,0)</f>
        <v>0</v>
      </c>
    </row>
    <row r="196" customFormat="false" ht="25.5" hidden="false" customHeight="true" outlineLevel="0" collapsed="false">
      <c r="A196" s="9" t="str">
        <f aca="false">'Indicator Master'!A195</f>
        <v>BNK-032</v>
      </c>
      <c r="B196" s="9" t="str">
        <f aca="false">'Indicator Master'!B195</f>
        <v>Banking &amp; Transaction Behaviour</v>
      </c>
      <c r="C196" s="10" t="str">
        <f aca="false">'Indicator Master'!D195</f>
        <v>Multiple loans from different lenders within 90 days with a credit-enquiry spike</v>
      </c>
      <c r="D196" s="9" t="str">
        <f aca="false">'Indicator Master'!P195</f>
        <v>Medium</v>
      </c>
      <c r="E196" s="9" t="n">
        <f aca="false">'Indicator Master'!Q195</f>
        <v>4</v>
      </c>
      <c r="F196" s="36" t="s">
        <v>9124</v>
      </c>
      <c r="G196" s="9" t="n">
        <f aca="false">IF(UPPER(F196)="Y",E196,0)</f>
        <v>0</v>
      </c>
    </row>
    <row r="197" customFormat="false" ht="25.5" hidden="false" customHeight="true" outlineLevel="0" collapsed="false">
      <c r="A197" s="9" t="str">
        <f aca="false">'Indicator Master'!A196</f>
        <v>BNK-033</v>
      </c>
      <c r="B197" s="9" t="str">
        <f aca="false">'Indicator Master'!B196</f>
        <v>Banking &amp; Transaction Behaviour</v>
      </c>
      <c r="C197" s="10" t="str">
        <f aca="false">'Indicator Master'!D196</f>
        <v>High cheque return or mandate bounce rate on an account showing large throughput</v>
      </c>
      <c r="D197" s="9" t="str">
        <f aca="false">'Indicator Master'!P196</f>
        <v>Medium</v>
      </c>
      <c r="E197" s="9" t="n">
        <f aca="false">'Indicator Master'!Q196</f>
        <v>5</v>
      </c>
      <c r="F197" s="36" t="s">
        <v>9124</v>
      </c>
      <c r="G197" s="9" t="n">
        <f aca="false">IF(UPPER(F197)="Y",E197,0)</f>
        <v>0</v>
      </c>
    </row>
    <row r="198" customFormat="false" ht="25.5" hidden="false" customHeight="true" outlineLevel="0" collapsed="false">
      <c r="A198" s="9" t="str">
        <f aca="false">'Indicator Master'!A197</f>
        <v>BNK-034</v>
      </c>
      <c r="B198" s="9" t="str">
        <f aca="false">'Indicator Master'!B197</f>
        <v>Banking &amp; Transaction Behaviour</v>
      </c>
      <c r="C198" s="10" t="str">
        <f aca="false">'Indicator Master'!D197</f>
        <v>Cash credit or overdraft limit fully drawn and never revolving</v>
      </c>
      <c r="D198" s="9" t="str">
        <f aca="false">'Indicator Master'!P197</f>
        <v>Low</v>
      </c>
      <c r="E198" s="9" t="n">
        <f aca="false">'Indicator Master'!Q197</f>
        <v>2</v>
      </c>
      <c r="F198" s="36" t="s">
        <v>9124</v>
      </c>
      <c r="G198" s="9" t="n">
        <f aca="false">IF(UPPER(F198)="Y",E198,0)</f>
        <v>0</v>
      </c>
    </row>
    <row r="199" customFormat="false" ht="25.5" hidden="false" customHeight="true" outlineLevel="0" collapsed="false">
      <c r="A199" s="9" t="str">
        <f aca="false">'Indicator Master'!A198</f>
        <v>BNK-035</v>
      </c>
      <c r="B199" s="9" t="str">
        <f aca="false">'Indicator Master'!B198</f>
        <v>Banking &amp; Transaction Behaviour</v>
      </c>
      <c r="C199" s="10" t="str">
        <f aca="false">'Indicator Master'!D198</f>
        <v>SMA-2, wilful defaulter, written-off or settled status in credit bureau records</v>
      </c>
      <c r="D199" s="9" t="str">
        <f aca="false">'Indicator Master'!P198</f>
        <v>High</v>
      </c>
      <c r="E199" s="9" t="n">
        <f aca="false">'Indicator Master'!Q198</f>
        <v>7</v>
      </c>
      <c r="F199" s="36" t="s">
        <v>9124</v>
      </c>
      <c r="G199" s="9" t="n">
        <f aca="false">IF(UPPER(F199)="Y",E199,0)</f>
        <v>0</v>
      </c>
    </row>
    <row r="200" customFormat="false" ht="25.5" hidden="false" customHeight="true" outlineLevel="0" collapsed="false">
      <c r="A200" s="9" t="str">
        <f aca="false">'Indicator Master'!A199</f>
        <v>BNK-036</v>
      </c>
      <c r="B200" s="9" t="str">
        <f aca="false">'Indicator Master'!B199</f>
        <v>Banking &amp; Transaction Behaviour</v>
      </c>
      <c r="C200" s="10" t="str">
        <f aca="false">'Indicator Master'!D199</f>
        <v>No banking credit facility ever availed despite large declared turnover</v>
      </c>
      <c r="D200" s="9" t="str">
        <f aca="false">'Indicator Master'!P199</f>
        <v>Low</v>
      </c>
      <c r="E200" s="9" t="n">
        <f aca="false">'Indicator Master'!Q199</f>
        <v>2</v>
      </c>
      <c r="F200" s="36" t="s">
        <v>9124</v>
      </c>
      <c r="G200" s="9" t="n">
        <f aca="false">IF(UPPER(F200)="Y",E200,0)</f>
        <v>0</v>
      </c>
    </row>
    <row r="201" customFormat="false" ht="25.5" hidden="false" customHeight="true" outlineLevel="0" collapsed="false">
      <c r="A201" s="9" t="str">
        <f aca="false">'Indicator Master'!A200</f>
        <v>BNK-037</v>
      </c>
      <c r="B201" s="9" t="str">
        <f aca="false">'Indicator Master'!B200</f>
        <v>Banking &amp; Transaction Behaviour</v>
      </c>
      <c r="C201" s="10" t="str">
        <f aca="false">'Indicator Master'!D200</f>
        <v>Inward remittances from high-risk, grey-listed or secrecy jurisdictions</v>
      </c>
      <c r="D201" s="9" t="str">
        <f aca="false">'Indicator Master'!P200</f>
        <v>Medium</v>
      </c>
      <c r="E201" s="9" t="n">
        <f aca="false">'Indicator Master'!Q200</f>
        <v>5</v>
      </c>
      <c r="F201" s="36" t="s">
        <v>9124</v>
      </c>
      <c r="G201" s="9" t="n">
        <f aca="false">IF(UPPER(F201)="Y",E201,0)</f>
        <v>0</v>
      </c>
    </row>
    <row r="202" customFormat="false" ht="25.5" hidden="false" customHeight="true" outlineLevel="0" collapsed="false">
      <c r="A202" s="9" t="str">
        <f aca="false">'Indicator Master'!A201</f>
        <v>BNK-038</v>
      </c>
      <c r="B202" s="9" t="str">
        <f aca="false">'Indicator Master'!B201</f>
        <v>Banking &amp; Transaction Behaviour</v>
      </c>
      <c r="C202" s="10" t="str">
        <f aca="false">'Indicator Master'!D201</f>
        <v>Outward remittance purpose code inconsistent with the declared line of business</v>
      </c>
      <c r="D202" s="9" t="str">
        <f aca="false">'Indicator Master'!P201</f>
        <v>Medium</v>
      </c>
      <c r="E202" s="9" t="n">
        <f aca="false">'Indicator Master'!Q201</f>
        <v>5</v>
      </c>
      <c r="F202" s="36" t="s">
        <v>9124</v>
      </c>
      <c r="G202" s="9" t="n">
        <f aca="false">IF(UPPER(F202)="Y",E202,0)</f>
        <v>0</v>
      </c>
    </row>
    <row r="203" customFormat="false" ht="25.5" hidden="false" customHeight="true" outlineLevel="0" collapsed="false">
      <c r="A203" s="9" t="str">
        <f aca="false">'Indicator Master'!A202</f>
        <v>BNK-039</v>
      </c>
      <c r="B203" s="9" t="str">
        <f aca="false">'Indicator Master'!B202</f>
        <v>Banking &amp; Transaction Behaviour</v>
      </c>
      <c r="C203" s="10" t="str">
        <f aca="false">'Indicator Master'!D202</f>
        <v>Advance import remittance with no Bill of Entry evidence (IDPMS outstanding)</v>
      </c>
      <c r="D203" s="9" t="str">
        <f aca="false">'Indicator Master'!P202</f>
        <v>High</v>
      </c>
      <c r="E203" s="9" t="n">
        <f aca="false">'Indicator Master'!Q202</f>
        <v>8</v>
      </c>
      <c r="F203" s="36" t="s">
        <v>9124</v>
      </c>
      <c r="G203" s="9" t="n">
        <f aca="false">IF(UPPER(F203)="Y",E203,0)</f>
        <v>0</v>
      </c>
    </row>
    <row r="204" customFormat="false" ht="25.5" hidden="false" customHeight="true" outlineLevel="0" collapsed="false">
      <c r="A204" s="9" t="str">
        <f aca="false">'Indicator Master'!A203</f>
        <v>BNK-040</v>
      </c>
      <c r="B204" s="9" t="str">
        <f aca="false">'Indicator Master'!B203</f>
        <v>Banking &amp; Transaction Behaviour</v>
      </c>
      <c r="C204" s="10" t="str">
        <f aca="false">'Indicator Master'!D203</f>
        <v>Export proceeds not realised within the permitted period (EDPMS outstanding)</v>
      </c>
      <c r="D204" s="9" t="str">
        <f aca="false">'Indicator Master'!P203</f>
        <v>Medium</v>
      </c>
      <c r="E204" s="9" t="n">
        <f aca="false">'Indicator Master'!Q203</f>
        <v>5</v>
      </c>
      <c r="F204" s="36" t="s">
        <v>9124</v>
      </c>
      <c r="G204" s="9" t="n">
        <f aca="false">IF(UPPER(F204)="Y",E204,0)</f>
        <v>0</v>
      </c>
    </row>
    <row r="205" customFormat="false" ht="25.5" hidden="false" customHeight="true" outlineLevel="0" collapsed="false">
      <c r="A205" s="9" t="str">
        <f aca="false">'Indicator Master'!A204</f>
        <v>BNK-041</v>
      </c>
      <c r="B205" s="9" t="str">
        <f aca="false">'Indicator Master'!B204</f>
        <v>Banking &amp; Transaction Behaviour</v>
      </c>
      <c r="C205" s="10" t="str">
        <f aca="false">'Indicator Master'!D204</f>
        <v>Funds traced to or from crypto exchanges, P2P virtual-asset dealers or mixing services</v>
      </c>
      <c r="D205" s="9" t="str">
        <f aca="false">'Indicator Master'!P204</f>
        <v>High</v>
      </c>
      <c r="E205" s="9" t="n">
        <f aca="false">'Indicator Master'!Q204</f>
        <v>8</v>
      </c>
      <c r="F205" s="36" t="s">
        <v>9124</v>
      </c>
      <c r="G205" s="9" t="n">
        <f aca="false">IF(UPPER(F205)="Y",E205,0)</f>
        <v>0</v>
      </c>
    </row>
    <row r="206" customFormat="false" ht="25.5" hidden="false" customHeight="true" outlineLevel="0" collapsed="false">
      <c r="A206" s="9" t="str">
        <f aca="false">'Indicator Master'!A205</f>
        <v>BNK-042</v>
      </c>
      <c r="B206" s="9" t="str">
        <f aca="false">'Indicator Master'!B205</f>
        <v>Banking &amp; Transaction Behaviour</v>
      </c>
      <c r="C206" s="10" t="str">
        <f aca="false">'Indicator Master'!D205</f>
        <v>Receipts routed via aggregators, wallets and instant rails with rapid hops</v>
      </c>
      <c r="D206" s="9" t="str">
        <f aca="false">'Indicator Master'!P205</f>
        <v>Medium</v>
      </c>
      <c r="E206" s="9" t="n">
        <f aca="false">'Indicator Master'!Q205</f>
        <v>5</v>
      </c>
      <c r="F206" s="36" t="s">
        <v>9124</v>
      </c>
      <c r="G206" s="9" t="n">
        <f aca="false">IF(UPPER(F206)="Y",E206,0)</f>
        <v>0</v>
      </c>
    </row>
    <row r="207" customFormat="false" ht="25.5" hidden="false" customHeight="true" outlineLevel="0" collapsed="false">
      <c r="A207" s="9" t="str">
        <f aca="false">'Indicator Master'!A206</f>
        <v>BNK-043</v>
      </c>
      <c r="B207" s="9" t="str">
        <f aca="false">'Indicator Master'!B206</f>
        <v>Banking &amp; Transaction Behaviour</v>
      </c>
      <c r="C207" s="10" t="str">
        <f aca="false">'Indicator Master'!D206</f>
        <v>Long unbroken cheque sequence to one payee or heavy bearer and self-cheque usage</v>
      </c>
      <c r="D207" s="9" t="str">
        <f aca="false">'Indicator Master'!P206</f>
        <v>Low</v>
      </c>
      <c r="E207" s="9" t="n">
        <f aca="false">'Indicator Master'!Q206</f>
        <v>2</v>
      </c>
      <c r="F207" s="36" t="s">
        <v>9124</v>
      </c>
      <c r="G207" s="9" t="n">
        <f aca="false">IF(UPPER(F207)="Y",E207,0)</f>
        <v>0</v>
      </c>
    </row>
    <row r="208" customFormat="false" ht="25.5" hidden="false" customHeight="true" outlineLevel="0" collapsed="false">
      <c r="A208" s="9" t="str">
        <f aca="false">'Indicator Master'!A207</f>
        <v>BNK-044</v>
      </c>
      <c r="B208" s="9" t="str">
        <f aca="false">'Indicator Master'!B207</f>
        <v>Banking &amp; Transaction Behaviour</v>
      </c>
      <c r="C208" s="10" t="str">
        <f aca="false">'Indicator Master'!D207</f>
        <v>Blank, generic or copy-pasted narration on a high share of high-value transfers</v>
      </c>
      <c r="D208" s="9" t="str">
        <f aca="false">'Indicator Master'!P207</f>
        <v>Low</v>
      </c>
      <c r="E208" s="9" t="n">
        <f aca="false">'Indicator Master'!Q207</f>
        <v>2</v>
      </c>
      <c r="F208" s="36" t="s">
        <v>9124</v>
      </c>
      <c r="G208" s="9" t="n">
        <f aca="false">IF(UPPER(F208)="Y",E208,0)</f>
        <v>0</v>
      </c>
    </row>
    <row r="209" customFormat="false" ht="25.5" hidden="false" customHeight="true" outlineLevel="0" collapsed="false">
      <c r="A209" s="9" t="str">
        <f aca="false">'Indicator Master'!A208</f>
        <v>BNK-045</v>
      </c>
      <c r="B209" s="9" t="str">
        <f aca="false">'Indicator Master'!B208</f>
        <v>Banking &amp; Transaction Behaviour</v>
      </c>
      <c r="C209" s="10" t="str">
        <f aca="false">'Indicator Master'!D208</f>
        <v>Identical narration text or reused UTR references across supposedly unrelated payers</v>
      </c>
      <c r="D209" s="9" t="str">
        <f aca="false">'Indicator Master'!P208</f>
        <v>High</v>
      </c>
      <c r="E209" s="9" t="n">
        <f aca="false">'Indicator Master'!Q208</f>
        <v>7</v>
      </c>
      <c r="F209" s="36" t="s">
        <v>9124</v>
      </c>
      <c r="G209" s="9" t="n">
        <f aca="false">IF(UPPER(F209)="Y",E209,0)</f>
        <v>0</v>
      </c>
    </row>
    <row r="210" customFormat="false" ht="25.5" hidden="false" customHeight="true" outlineLevel="0" collapsed="false">
      <c r="A210" s="9" t="str">
        <f aca="false">'Indicator Master'!A209</f>
        <v>TAX-001</v>
      </c>
      <c r="B210" s="9" t="str">
        <f aca="false">'Indicator Master'!B209</f>
        <v>Tax &amp; GST Data Forensics</v>
      </c>
      <c r="C210" s="10" t="str">
        <f aca="false">'Indicator Master'!D209</f>
        <v>Input tax credit far outweighs output tax against sector peers</v>
      </c>
      <c r="D210" s="9" t="str">
        <f aca="false">'Indicator Master'!P209</f>
        <v>High</v>
      </c>
      <c r="E210" s="9" t="n">
        <f aca="false">'Indicator Master'!Q209</f>
        <v>7</v>
      </c>
      <c r="F210" s="36" t="s">
        <v>9124</v>
      </c>
      <c r="G210" s="9" t="n">
        <f aca="false">IF(UPPER(F210)="Y",E210,0)</f>
        <v>0</v>
      </c>
    </row>
    <row r="211" customFormat="false" ht="25.5" hidden="false" customHeight="true" outlineLevel="0" collapsed="false">
      <c r="A211" s="9" t="str">
        <f aca="false">'Indicator Master'!A210</f>
        <v>TAX-002</v>
      </c>
      <c r="B211" s="9" t="str">
        <f aca="false">'Indicator Master'!B210</f>
        <v>Tax &amp; GST Data Forensics</v>
      </c>
      <c r="C211" s="10" t="str">
        <f aca="false">'Indicator Master'!D210</f>
        <v>ITC claimed in GSTR-3B exceeds eligible credit auto-populated in GSTR-2B</v>
      </c>
      <c r="D211" s="9" t="str">
        <f aca="false">'Indicator Master'!P210</f>
        <v>Critical</v>
      </c>
      <c r="E211" s="9" t="n">
        <f aca="false">'Indicator Master'!Q210</f>
        <v>9</v>
      </c>
      <c r="F211" s="36" t="s">
        <v>9124</v>
      </c>
      <c r="G211" s="9" t="n">
        <f aca="false">IF(UPPER(F211)="Y",E211,0)</f>
        <v>0</v>
      </c>
    </row>
    <row r="212" customFormat="false" ht="25.5" hidden="false" customHeight="true" outlineLevel="0" collapsed="false">
      <c r="A212" s="9" t="str">
        <f aca="false">'Indicator Master'!A211</f>
        <v>TAX-003</v>
      </c>
      <c r="B212" s="9" t="str">
        <f aca="false">'Indicator Master'!B211</f>
        <v>Tax &amp; GST Data Forensics</v>
      </c>
      <c r="C212" s="10" t="str">
        <f aca="false">'Indicator Master'!D211</f>
        <v>Credit availed from suppliers later cancelled retrospectively or who never paid the tax</v>
      </c>
      <c r="D212" s="9" t="str">
        <f aca="false">'Indicator Master'!P211</f>
        <v>Critical</v>
      </c>
      <c r="E212" s="9" t="n">
        <f aca="false">'Indicator Master'!Q211</f>
        <v>9</v>
      </c>
      <c r="F212" s="36" t="s">
        <v>9124</v>
      </c>
      <c r="G212" s="9" t="n">
        <f aca="false">IF(UPPER(F212)="Y",E212,0)</f>
        <v>0</v>
      </c>
    </row>
    <row r="213" customFormat="false" ht="25.5" hidden="false" customHeight="true" outlineLevel="0" collapsed="false">
      <c r="A213" s="9" t="str">
        <f aca="false">'Indicator Master'!A212</f>
        <v>TAX-004</v>
      </c>
      <c r="B213" s="9" t="str">
        <f aca="false">'Indicator Master'!B212</f>
        <v>Tax &amp; GST Data Forensics</v>
      </c>
      <c r="C213" s="10" t="str">
        <f aca="false">'Indicator Master'!D212</f>
        <v>Output liability discharged almost wholly from credit with a near-nil cash ledger</v>
      </c>
      <c r="D213" s="9" t="str">
        <f aca="false">'Indicator Master'!P212</f>
        <v>High</v>
      </c>
      <c r="E213" s="9" t="n">
        <f aca="false">'Indicator Master'!Q212</f>
        <v>7</v>
      </c>
      <c r="F213" s="36" t="s">
        <v>9124</v>
      </c>
      <c r="G213" s="9" t="n">
        <f aca="false">IF(UPPER(F213)="Y",E213,0)</f>
        <v>0</v>
      </c>
    </row>
    <row r="214" customFormat="false" ht="25.5" hidden="false" customHeight="true" outlineLevel="0" collapsed="false">
      <c r="A214" s="9" t="str">
        <f aca="false">'Indicator Master'!A213</f>
        <v>TAX-005</v>
      </c>
      <c r="B214" s="9" t="str">
        <f aca="false">'Indicator Master'!B213</f>
        <v>Tax &amp; GST Data Forensics</v>
      </c>
      <c r="C214" s="10" t="str">
        <f aca="false">'Indicator Master'!D213</f>
        <v>Credit ledger balance builds up for years with no refund application filed</v>
      </c>
      <c r="D214" s="9" t="str">
        <f aca="false">'Indicator Master'!P213</f>
        <v>Low</v>
      </c>
      <c r="E214" s="9" t="n">
        <f aca="false">'Indicator Master'!Q213</f>
        <v>2</v>
      </c>
      <c r="F214" s="36" t="s">
        <v>9124</v>
      </c>
      <c r="G214" s="9" t="n">
        <f aca="false">IF(UPPER(F214)="Y",E214,0)</f>
        <v>0</v>
      </c>
    </row>
    <row r="215" customFormat="false" ht="25.5" hidden="false" customHeight="true" outlineLevel="0" collapsed="false">
      <c r="A215" s="9" t="str">
        <f aca="false">'Indicator Master'!A214</f>
        <v>TAX-006</v>
      </c>
      <c r="B215" s="9" t="str">
        <f aca="false">'Indicator Master'!B214</f>
        <v>Tax &amp; GST Data Forensics</v>
      </c>
      <c r="C215" s="10" t="str">
        <f aca="false">'Indicator Master'!D214</f>
        <v>No ITC reversal under Rules 37, 42 or 43 where the accounts demand it</v>
      </c>
      <c r="D215" s="9" t="str">
        <f aca="false">'Indicator Master'!P214</f>
        <v>Medium</v>
      </c>
      <c r="E215" s="9" t="n">
        <f aca="false">'Indicator Master'!Q214</f>
        <v>4</v>
      </c>
      <c r="F215" s="36" t="s">
        <v>9124</v>
      </c>
      <c r="G215" s="9" t="n">
        <f aca="false">IF(UPPER(F215)="Y",E215,0)</f>
        <v>0</v>
      </c>
    </row>
    <row r="216" customFormat="false" ht="25.5" hidden="false" customHeight="true" outlineLevel="0" collapsed="false">
      <c r="A216" s="9" t="str">
        <f aca="false">'Indicator Master'!A215</f>
        <v>TAX-007</v>
      </c>
      <c r="B216" s="9" t="str">
        <f aca="false">'Indicator Master'!B215</f>
        <v>Tax &amp; GST Data Forensics</v>
      </c>
      <c r="C216" s="10" t="str">
        <f aca="false">'Indicator Master'!D215</f>
        <v>Credit claimed on blocked categories under section 17(5)</v>
      </c>
      <c r="D216" s="9" t="str">
        <f aca="false">'Indicator Master'!P215</f>
        <v>Low</v>
      </c>
      <c r="E216" s="9" t="n">
        <f aca="false">'Indicator Master'!Q215</f>
        <v>2</v>
      </c>
      <c r="F216" s="36" t="s">
        <v>9124</v>
      </c>
      <c r="G216" s="9" t="n">
        <f aca="false">IF(UPPER(F216)="Y",E216,0)</f>
        <v>0</v>
      </c>
    </row>
    <row r="217" customFormat="false" ht="25.5" hidden="false" customHeight="true" outlineLevel="0" collapsed="false">
      <c r="A217" s="9" t="str">
        <f aca="false">'Indicator Master'!A216</f>
        <v>TAX-008</v>
      </c>
      <c r="B217" s="9" t="str">
        <f aca="false">'Indicator Master'!B216</f>
        <v>Tax &amp; GST Data Forensics</v>
      </c>
      <c r="C217" s="10" t="str">
        <f aca="false">'Indicator Master'!D216</f>
        <v>Goods of the same HSN return to the originating GSTIN through a short supply loop</v>
      </c>
      <c r="D217" s="9" t="str">
        <f aca="false">'Indicator Master'!P216</f>
        <v>Critical</v>
      </c>
      <c r="E217" s="9" t="n">
        <f aca="false">'Indicator Master'!Q216</f>
        <v>10</v>
      </c>
      <c r="F217" s="36" t="s">
        <v>9124</v>
      </c>
      <c r="G217" s="9" t="n">
        <f aca="false">IF(UPPER(F217)="Y",E217,0)</f>
        <v>0</v>
      </c>
    </row>
    <row r="218" customFormat="false" ht="25.5" hidden="false" customHeight="true" outlineLevel="0" collapsed="false">
      <c r="A218" s="9" t="str">
        <f aca="false">'Indicator Master'!A217</f>
        <v>TAX-009</v>
      </c>
      <c r="B218" s="9" t="str">
        <f aca="false">'Indicator Master'!B217</f>
        <v>Tax &amp; GST Data Forensics</v>
      </c>
      <c r="C218" s="10" t="str">
        <f aca="false">'Indicator Master'!D217</f>
        <v>Supplier and recipient share a PAN, address, phone, email or bank account</v>
      </c>
      <c r="D218" s="9" t="str">
        <f aca="false">'Indicator Master'!P217</f>
        <v>Critical</v>
      </c>
      <c r="E218" s="9" t="n">
        <f aca="false">'Indicator Master'!Q217</f>
        <v>9</v>
      </c>
      <c r="F218" s="36" t="s">
        <v>9124</v>
      </c>
      <c r="G218" s="9" t="n">
        <f aca="false">IF(UPPER(F218)="Y",E218,0)</f>
        <v>0</v>
      </c>
    </row>
    <row r="219" customFormat="false" ht="25.5" hidden="false" customHeight="true" outlineLevel="0" collapsed="false">
      <c r="A219" s="9" t="str">
        <f aca="false">'Indicator Master'!A218</f>
        <v>TAX-010</v>
      </c>
      <c r="B219" s="9" t="str">
        <f aca="false">'Indicator Master'!B218</f>
        <v>Tax &amp; GST Data Forensics</v>
      </c>
      <c r="C219" s="10" t="str">
        <f aca="false">'Indicator Master'!D218</f>
        <v>Outward supply of goods the entity never purchased inward</v>
      </c>
      <c r="D219" s="9" t="str">
        <f aca="false">'Indicator Master'!P218</f>
        <v>High</v>
      </c>
      <c r="E219" s="9" t="n">
        <f aca="false">'Indicator Master'!Q218</f>
        <v>8</v>
      </c>
      <c r="F219" s="36" t="s">
        <v>9124</v>
      </c>
      <c r="G219" s="9" t="n">
        <f aca="false">IF(UPPER(F219)="Y",E219,0)</f>
        <v>0</v>
      </c>
    </row>
    <row r="220" customFormat="false" ht="25.5" hidden="false" customHeight="true" outlineLevel="0" collapsed="false">
      <c r="A220" s="9" t="str">
        <f aca="false">'Indicator Master'!A219</f>
        <v>TAX-011</v>
      </c>
      <c r="B220" s="9" t="str">
        <f aca="false">'Indicator Master'!B219</f>
        <v>Tax &amp; GST Data Forensics</v>
      </c>
      <c r="C220" s="10" t="str">
        <f aca="false">'Indicator Master'!D219</f>
        <v>Declared supply of goods with no credible movement — missing or hollow e-way bill</v>
      </c>
      <c r="D220" s="9" t="str">
        <f aca="false">'Indicator Master'!P219</f>
        <v>High</v>
      </c>
      <c r="E220" s="9" t="n">
        <f aca="false">'Indicator Master'!Q219</f>
        <v>7</v>
      </c>
      <c r="F220" s="36" t="s">
        <v>9124</v>
      </c>
      <c r="G220" s="9" t="n">
        <f aca="false">IF(UPPER(F220)="Y",E220,0)</f>
        <v>0</v>
      </c>
    </row>
    <row r="221" customFormat="false" ht="25.5" hidden="false" customHeight="true" outlineLevel="0" collapsed="false">
      <c r="A221" s="9" t="str">
        <f aca="false">'Indicator Master'!A220</f>
        <v>TAX-012</v>
      </c>
      <c r="B221" s="9" t="str">
        <f aca="false">'Indicator Master'!B220</f>
        <v>Tax &amp; GST Data Forensics</v>
      </c>
      <c r="C221" s="10" t="str">
        <f aca="false">'Indicator Master'!D220</f>
        <v>Invoices cancelled by credit notes within days of issue</v>
      </c>
      <c r="D221" s="9" t="str">
        <f aca="false">'Indicator Master'!P220</f>
        <v>Medium</v>
      </c>
      <c r="E221" s="9" t="n">
        <f aca="false">'Indicator Master'!Q220</f>
        <v>5</v>
      </c>
      <c r="F221" s="36" t="s">
        <v>9124</v>
      </c>
      <c r="G221" s="9" t="n">
        <f aca="false">IF(UPPER(F221)="Y",E221,0)</f>
        <v>0</v>
      </c>
    </row>
    <row r="222" customFormat="false" ht="25.5" hidden="false" customHeight="true" outlineLevel="0" collapsed="false">
      <c r="A222" s="9" t="str">
        <f aca="false">'Indicator Master'!A221</f>
        <v>TAX-013</v>
      </c>
      <c r="B222" s="9" t="str">
        <f aca="false">'Indicator Master'!B221</f>
        <v>Tax &amp; GST Data Forensics</v>
      </c>
      <c r="C222" s="10" t="str">
        <f aca="false">'Indicator Master'!D221</f>
        <v>Dormant GSTIN suddenly reports turnover matching one buyer's credit requirement</v>
      </c>
      <c r="D222" s="9" t="str">
        <f aca="false">'Indicator Master'!P221</f>
        <v>High</v>
      </c>
      <c r="E222" s="9" t="n">
        <f aca="false">'Indicator Master'!Q221</f>
        <v>8</v>
      </c>
      <c r="F222" s="36" t="s">
        <v>9124</v>
      </c>
      <c r="G222" s="9" t="n">
        <f aca="false">IF(UPPER(F222)="Y",E222,0)</f>
        <v>0</v>
      </c>
    </row>
    <row r="223" customFormat="false" ht="25.5" hidden="false" customHeight="true" outlineLevel="0" collapsed="false">
      <c r="A223" s="9" t="str">
        <f aca="false">'Indicator Master'!A222</f>
        <v>TAX-014</v>
      </c>
      <c r="B223" s="9" t="str">
        <f aca="false">'Indicator Master'!B222</f>
        <v>Tax &amp; GST Data Forensics</v>
      </c>
      <c r="C223" s="10" t="str">
        <f aca="false">'Indicator Master'!D222</f>
        <v>Outward supply in GSTR-1 does not agree with tax declared in GSTR-3B</v>
      </c>
      <c r="D223" s="9" t="str">
        <f aca="false">'Indicator Master'!P222</f>
        <v>Medium</v>
      </c>
      <c r="E223" s="9" t="n">
        <f aca="false">'Indicator Master'!Q222</f>
        <v>5</v>
      </c>
      <c r="F223" s="36" t="s">
        <v>9124</v>
      </c>
      <c r="G223" s="9" t="n">
        <f aca="false">IF(UPPER(F223)="Y",E223,0)</f>
        <v>0</v>
      </c>
    </row>
    <row r="224" customFormat="false" ht="25.5" hidden="false" customHeight="true" outlineLevel="0" collapsed="false">
      <c r="A224" s="9" t="str">
        <f aca="false">'Indicator Master'!A223</f>
        <v>TAX-015</v>
      </c>
      <c r="B224" s="9" t="str">
        <f aca="false">'Indicator Master'!B223</f>
        <v>Tax &amp; GST Data Forensics</v>
      </c>
      <c r="C224" s="10" t="str">
        <f aca="false">'Indicator Master'!D223</f>
        <v>Monthly GSTR-3B totals do not tie to GSTR-9 and the 9C difference is left unexplained</v>
      </c>
      <c r="D224" s="9" t="str">
        <f aca="false">'Indicator Master'!P223</f>
        <v>Low</v>
      </c>
      <c r="E224" s="9" t="n">
        <f aca="false">'Indicator Master'!Q223</f>
        <v>2</v>
      </c>
      <c r="F224" s="36" t="s">
        <v>9124</v>
      </c>
      <c r="G224" s="9" t="n">
        <f aca="false">IF(UPPER(F224)="Y",E224,0)</f>
        <v>0</v>
      </c>
    </row>
    <row r="225" customFormat="false" ht="25.5" hidden="false" customHeight="true" outlineLevel="0" collapsed="false">
      <c r="A225" s="9" t="str">
        <f aca="false">'Indicator Master'!A224</f>
        <v>TAX-016</v>
      </c>
      <c r="B225" s="9" t="str">
        <f aca="false">'Indicator Master'!B224</f>
        <v>Tax &amp; GST Data Forensics</v>
      </c>
      <c r="C225" s="10" t="str">
        <f aca="false">'Indicator Master'!D224</f>
        <v>B2B invoices in GSTR-1 with no matching e-invoice IRN</v>
      </c>
      <c r="D225" s="9" t="str">
        <f aca="false">'Indicator Master'!P224</f>
        <v>Low</v>
      </c>
      <c r="E225" s="9" t="n">
        <f aca="false">'Indicator Master'!Q224</f>
        <v>2</v>
      </c>
      <c r="F225" s="36" t="s">
        <v>9124</v>
      </c>
      <c r="G225" s="9" t="n">
        <f aca="false">IF(UPPER(F225)="Y",E225,0)</f>
        <v>0</v>
      </c>
    </row>
    <row r="226" customFormat="false" ht="25.5" hidden="false" customHeight="true" outlineLevel="0" collapsed="false">
      <c r="A226" s="9" t="str">
        <f aca="false">'Indicator Master'!A225</f>
        <v>TAX-017</v>
      </c>
      <c r="B226" s="9" t="str">
        <f aca="false">'Indicator Master'!B225</f>
        <v>Tax &amp; GST Data Forensics</v>
      </c>
      <c r="C226" s="10" t="str">
        <f aca="false">'Indicator Master'!D225</f>
        <v>Purchase register carries invoices that never appear in GSTR-2A or 2B</v>
      </c>
      <c r="D226" s="9" t="str">
        <f aca="false">'Indicator Master'!P225</f>
        <v>High</v>
      </c>
      <c r="E226" s="9" t="n">
        <f aca="false">'Indicator Master'!Q225</f>
        <v>7</v>
      </c>
      <c r="F226" s="36" t="s">
        <v>9124</v>
      </c>
      <c r="G226" s="9" t="n">
        <f aca="false">IF(UPPER(F226)="Y",E226,0)</f>
        <v>0</v>
      </c>
    </row>
    <row r="227" customFormat="false" ht="25.5" hidden="false" customHeight="true" outlineLevel="0" collapsed="false">
      <c r="A227" s="9" t="str">
        <f aca="false">'Indicator Master'!A226</f>
        <v>TAX-018</v>
      </c>
      <c r="B227" s="9" t="str">
        <f aca="false">'Indicator Master'!B226</f>
        <v>Tax &amp; GST Data Forensics</v>
      </c>
      <c r="C227" s="10" t="str">
        <f aca="false">'Indicator Master'!D226</f>
        <v>Identical or near-identical figures repeated across consecutive monthly returns</v>
      </c>
      <c r="D227" s="9" t="str">
        <f aca="false">'Indicator Master'!P226</f>
        <v>Medium</v>
      </c>
      <c r="E227" s="9" t="n">
        <f aca="false">'Indicator Master'!Q226</f>
        <v>4</v>
      </c>
      <c r="F227" s="36" t="s">
        <v>9124</v>
      </c>
      <c r="G227" s="9" t="n">
        <f aca="false">IF(UPPER(F227)="Y",E227,0)</f>
        <v>0</v>
      </c>
    </row>
    <row r="228" customFormat="false" ht="25.5" hidden="false" customHeight="true" outlineLevel="0" collapsed="false">
      <c r="A228" s="9" t="str">
        <f aca="false">'Indicator Master'!A227</f>
        <v>TAX-019</v>
      </c>
      <c r="B228" s="9" t="str">
        <f aca="false">'Indicator Master'!B227</f>
        <v>Tax &amp; GST Data Forensics</v>
      </c>
      <c r="C228" s="10" t="str">
        <f aca="false">'Indicator Master'!D227</f>
        <v>GST turnover diverges from turnover declared in the income tax return and AOC-4 accounts</v>
      </c>
      <c r="D228" s="9" t="str">
        <f aca="false">'Indicator Master'!P227</f>
        <v>Medium</v>
      </c>
      <c r="E228" s="9" t="n">
        <f aca="false">'Indicator Master'!Q227</f>
        <v>5</v>
      </c>
      <c r="F228" s="36" t="s">
        <v>9124</v>
      </c>
      <c r="G228" s="9" t="n">
        <f aca="false">IF(UPPER(F228)="Y",E228,0)</f>
        <v>0</v>
      </c>
    </row>
    <row r="229" customFormat="false" ht="25.5" hidden="false" customHeight="true" outlineLevel="0" collapsed="false">
      <c r="A229" s="9" t="str">
        <f aca="false">'Indicator Master'!A228</f>
        <v>TAX-020</v>
      </c>
      <c r="B229" s="9" t="str">
        <f aca="false">'Indicator Master'!B228</f>
        <v>Tax &amp; GST Data Forensics</v>
      </c>
      <c r="C229" s="10" t="str">
        <f aca="false">'Indicator Master'!D228</f>
        <v>Receipts in Form 26AS and TDS-implied turnover exceed declared GST turnover</v>
      </c>
      <c r="D229" s="9" t="str">
        <f aca="false">'Indicator Master'!P228</f>
        <v>Medium</v>
      </c>
      <c r="E229" s="9" t="n">
        <f aca="false">'Indicator Master'!Q228</f>
        <v>4</v>
      </c>
      <c r="F229" s="36" t="s">
        <v>9124</v>
      </c>
      <c r="G229" s="9" t="n">
        <f aca="false">IF(UPPER(F229)="Y",E229,0)</f>
        <v>0</v>
      </c>
    </row>
    <row r="230" customFormat="false" ht="25.5" hidden="false" customHeight="true" outlineLevel="0" collapsed="false">
      <c r="A230" s="9" t="str">
        <f aca="false">'Indicator Master'!A229</f>
        <v>TAX-021</v>
      </c>
      <c r="B230" s="9" t="str">
        <f aca="false">'Indicator Master'!B229</f>
        <v>Tax &amp; GST Data Forensics</v>
      </c>
      <c r="C230" s="10" t="str">
        <f aca="false">'Indicator Master'!D229</f>
        <v>Bank credits far exceed declared GST turnover</v>
      </c>
      <c r="D230" s="9" t="str">
        <f aca="false">'Indicator Master'!P229</f>
        <v>High</v>
      </c>
      <c r="E230" s="9" t="n">
        <f aca="false">'Indicator Master'!Q229</f>
        <v>7</v>
      </c>
      <c r="F230" s="36" t="s">
        <v>9124</v>
      </c>
      <c r="G230" s="9" t="n">
        <f aca="false">IF(UPPER(F230)="Y",E230,0)</f>
        <v>0</v>
      </c>
    </row>
    <row r="231" customFormat="false" ht="25.5" hidden="false" customHeight="true" outlineLevel="0" collapsed="false">
      <c r="A231" s="9" t="str">
        <f aca="false">'Indicator Master'!A230</f>
        <v>TAX-022</v>
      </c>
      <c r="B231" s="9" t="str">
        <f aca="false">'Indicator Master'!B230</f>
        <v>Tax &amp; GST Data Forensics</v>
      </c>
      <c r="C231" s="10" t="str">
        <f aca="false">'Indicator Master'!D230</f>
        <v>Aggregate e-way bill consignment value out of line with declared outward supply</v>
      </c>
      <c r="D231" s="9" t="str">
        <f aca="false">'Indicator Master'!P230</f>
        <v>Medium</v>
      </c>
      <c r="E231" s="9" t="n">
        <f aca="false">'Indicator Master'!Q230</f>
        <v>5</v>
      </c>
      <c r="F231" s="36" t="s">
        <v>9124</v>
      </c>
      <c r="G231" s="9" t="n">
        <f aca="false">IF(UPPER(F231)="Y",E231,0)</f>
        <v>0</v>
      </c>
    </row>
    <row r="232" customFormat="false" ht="25.5" hidden="false" customHeight="true" outlineLevel="0" collapsed="false">
      <c r="A232" s="9" t="str">
        <f aca="false">'Indicator Master'!A231</f>
        <v>TAX-023</v>
      </c>
      <c r="B232" s="9" t="str">
        <f aca="false">'Indicator Master'!B231</f>
        <v>Tax &amp; GST Data Forensics</v>
      </c>
      <c r="C232" s="10" t="str">
        <f aca="false">'Indicator Master'!D231</f>
        <v>Registrations in several states with no premises, payroll or utility footprint there</v>
      </c>
      <c r="D232" s="9" t="str">
        <f aca="false">'Indicator Master'!P231</f>
        <v>High</v>
      </c>
      <c r="E232" s="9" t="n">
        <f aca="false">'Indicator Master'!Q231</f>
        <v>7</v>
      </c>
      <c r="F232" s="36" t="s">
        <v>9124</v>
      </c>
      <c r="G232" s="9" t="n">
        <f aca="false">IF(UPPER(F232)="Y",E232,0)</f>
        <v>0</v>
      </c>
    </row>
    <row r="233" customFormat="false" ht="25.5" hidden="false" customHeight="true" outlineLevel="0" collapsed="false">
      <c r="A233" s="9" t="str">
        <f aca="false">'Indicator Master'!A232</f>
        <v>TAX-024</v>
      </c>
      <c r="B233" s="9" t="str">
        <f aca="false">'Indicator Master'!B232</f>
        <v>Tax &amp; GST Data Forensics</v>
      </c>
      <c r="C233" s="10" t="str">
        <f aca="false">'Indicator Master'!D232</f>
        <v>Principal place of business shared by an improbable number of unrelated GSTINs</v>
      </c>
      <c r="D233" s="9" t="str">
        <f aca="false">'Indicator Master'!P232</f>
        <v>High</v>
      </c>
      <c r="E233" s="9" t="n">
        <f aca="false">'Indicator Master'!Q232</f>
        <v>7</v>
      </c>
      <c r="F233" s="36" t="s">
        <v>9124</v>
      </c>
      <c r="G233" s="9" t="n">
        <f aca="false">IF(UPPER(F233)="Y",E233,0)</f>
        <v>0</v>
      </c>
    </row>
    <row r="234" customFormat="false" ht="25.5" hidden="false" customHeight="true" outlineLevel="0" collapsed="false">
      <c r="A234" s="9" t="str">
        <f aca="false">'Indicator Master'!A233</f>
        <v>TAX-025</v>
      </c>
      <c r="B234" s="9" t="str">
        <f aca="false">'Indicator Master'!B233</f>
        <v>Tax &amp; GST Data Forensics</v>
      </c>
      <c r="C234" s="10" t="str">
        <f aca="false">'Indicator Master'!D233</f>
        <v>HSN profile inconsistent with the entity's declared line of business</v>
      </c>
      <c r="D234" s="9" t="str">
        <f aca="false">'Indicator Master'!P233</f>
        <v>Medium</v>
      </c>
      <c r="E234" s="9" t="n">
        <f aca="false">'Indicator Master'!Q233</f>
        <v>4</v>
      </c>
      <c r="F234" s="36" t="s">
        <v>9124</v>
      </c>
      <c r="G234" s="9" t="n">
        <f aca="false">IF(UPPER(F234)="Y",E234,0)</f>
        <v>0</v>
      </c>
    </row>
    <row r="235" customFormat="false" ht="25.5" hidden="false" customHeight="true" outlineLevel="0" collapsed="false">
      <c r="A235" s="9" t="str">
        <f aca="false">'Indicator Master'!A234</f>
        <v>TAX-026</v>
      </c>
      <c r="B235" s="9" t="str">
        <f aca="false">'Indicator Master'!B234</f>
        <v>Tax &amp; GST Data Forensics</v>
      </c>
      <c r="C235" s="10" t="str">
        <f aca="false">'Indicator Master'!D234</f>
        <v>Commodity codes switch frequently and core registration fields are amended repeatedly</v>
      </c>
      <c r="D235" s="9" t="str">
        <f aca="false">'Indicator Master'!P234</f>
        <v>Low</v>
      </c>
      <c r="E235" s="9" t="n">
        <f aca="false">'Indicator Master'!Q234</f>
        <v>2</v>
      </c>
      <c r="F235" s="36" t="s">
        <v>9124</v>
      </c>
      <c r="G235" s="9" t="n">
        <f aca="false">IF(UPPER(F235)="Y",E235,0)</f>
        <v>0</v>
      </c>
    </row>
    <row r="236" customFormat="false" ht="25.5" hidden="false" customHeight="true" outlineLevel="0" collapsed="false">
      <c r="A236" s="9" t="str">
        <f aca="false">'Indicator Master'!A235</f>
        <v>TAX-027</v>
      </c>
      <c r="B236" s="9" t="str">
        <f aca="false">'Indicator Master'!B235</f>
        <v>Tax &amp; GST Data Forensics</v>
      </c>
      <c r="C236" s="10" t="str">
        <f aca="false">'Indicator Master'!D235</f>
        <v>Same vehicle number appears on e-way bills covering physically impossible journeys</v>
      </c>
      <c r="D236" s="9" t="str">
        <f aca="false">'Indicator Master'!P235</f>
        <v>High</v>
      </c>
      <c r="E236" s="9" t="n">
        <f aca="false">'Indicator Master'!Q235</f>
        <v>7</v>
      </c>
      <c r="F236" s="36" t="s">
        <v>9124</v>
      </c>
      <c r="G236" s="9" t="n">
        <f aca="false">IF(UPPER(F236)="Y",E236,0)</f>
        <v>0</v>
      </c>
    </row>
    <row r="237" customFormat="false" ht="25.5" hidden="false" customHeight="true" outlineLevel="0" collapsed="false">
      <c r="A237" s="9" t="str">
        <f aca="false">'Indicator Master'!A236</f>
        <v>TAX-028</v>
      </c>
      <c r="B237" s="9" t="str">
        <f aca="false">'Indicator Master'!B236</f>
        <v>Tax &amp; GST Data Forensics</v>
      </c>
      <c r="C237" s="10" t="str">
        <f aca="false">'Indicator Master'!D236</f>
        <v>Vehicle class registered in VAHAN cannot carry the load declared on the e-way bill</v>
      </c>
      <c r="D237" s="9" t="str">
        <f aca="false">'Indicator Master'!P236</f>
        <v>Medium</v>
      </c>
      <c r="E237" s="9" t="n">
        <f aca="false">'Indicator Master'!Q236</f>
        <v>5</v>
      </c>
      <c r="F237" s="36" t="s">
        <v>9124</v>
      </c>
      <c r="G237" s="9" t="n">
        <f aca="false">IF(UPPER(F237)="Y",E237,0)</f>
        <v>0</v>
      </c>
    </row>
    <row r="238" customFormat="false" ht="25.5" hidden="false" customHeight="true" outlineLevel="0" collapsed="false">
      <c r="A238" s="9" t="str">
        <f aca="false">'Indicator Master'!A237</f>
        <v>TAX-029</v>
      </c>
      <c r="B238" s="9" t="str">
        <f aca="false">'Indicator Master'!B237</f>
        <v>Tax &amp; GST Data Forensics</v>
      </c>
      <c r="C238" s="10" t="str">
        <f aca="false">'Indicator Master'!D237</f>
        <v>Declared route distance and validity period on the e-way bill do not fit each other</v>
      </c>
      <c r="D238" s="9" t="str">
        <f aca="false">'Indicator Master'!P237</f>
        <v>Low</v>
      </c>
      <c r="E238" s="9" t="n">
        <f aca="false">'Indicator Master'!Q237</f>
        <v>2</v>
      </c>
      <c r="F238" s="36" t="s">
        <v>9124</v>
      </c>
      <c r="G238" s="9" t="n">
        <f aca="false">IF(UPPER(F238)="Y",E238,0)</f>
        <v>0</v>
      </c>
    </row>
    <row r="239" customFormat="false" ht="25.5" hidden="false" customHeight="true" outlineLevel="0" collapsed="false">
      <c r="A239" s="9" t="str">
        <f aca="false">'Indicator Master'!A238</f>
        <v>TAX-030</v>
      </c>
      <c r="B239" s="9" t="str">
        <f aca="false">'Indicator Master'!B238</f>
        <v>Tax &amp; GST Data Forensics</v>
      </c>
      <c r="C239" s="10" t="str">
        <f aca="false">'Indicator Master'!D238</f>
        <v>E-way bills generated in one timestamp burst covering many older invoice dates</v>
      </c>
      <c r="D239" s="9" t="str">
        <f aca="false">'Indicator Master'!P238</f>
        <v>Medium</v>
      </c>
      <c r="E239" s="9" t="n">
        <f aca="false">'Indicator Master'!Q238</f>
        <v>5</v>
      </c>
      <c r="F239" s="36" t="s">
        <v>9124</v>
      </c>
      <c r="G239" s="9" t="n">
        <f aca="false">IF(UPPER(F239)="Y",E239,0)</f>
        <v>0</v>
      </c>
    </row>
    <row r="240" customFormat="false" ht="25.5" hidden="false" customHeight="true" outlineLevel="0" collapsed="false">
      <c r="A240" s="9" t="str">
        <f aca="false">'Indicator Master'!A239</f>
        <v>TAX-031</v>
      </c>
      <c r="B240" s="9" t="str">
        <f aca="false">'Indicator Master'!B239</f>
        <v>Tax &amp; GST Data Forensics</v>
      </c>
      <c r="C240" s="10" t="str">
        <f aca="false">'Indicator Master'!D239</f>
        <v>One transporter ID carries goods for many unconnected suppliers on almost no fleet</v>
      </c>
      <c r="D240" s="9" t="str">
        <f aca="false">'Indicator Master'!P239</f>
        <v>Medium</v>
      </c>
      <c r="E240" s="9" t="n">
        <f aca="false">'Indicator Master'!Q239</f>
        <v>4</v>
      </c>
      <c r="F240" s="36" t="s">
        <v>9124</v>
      </c>
      <c r="G240" s="9" t="n">
        <f aca="false">IF(UPPER(F240)="Y",E240,0)</f>
        <v>0</v>
      </c>
    </row>
    <row r="241" customFormat="false" ht="25.5" hidden="false" customHeight="true" outlineLevel="0" collapsed="false">
      <c r="A241" s="9" t="str">
        <f aca="false">'Indicator Master'!A240</f>
        <v>TAX-032</v>
      </c>
      <c r="B241" s="9" t="str">
        <f aca="false">'Indicator Master'!B240</f>
        <v>Tax &amp; GST Data Forensics</v>
      </c>
      <c r="C241" s="10" t="str">
        <f aca="false">'Indicator Master'!D240</f>
        <v>Consignment values bunched just under the e-way bill threshold</v>
      </c>
      <c r="D241" s="9" t="str">
        <f aca="false">'Indicator Master'!P240</f>
        <v>High</v>
      </c>
      <c r="E241" s="9" t="n">
        <f aca="false">'Indicator Master'!Q240</f>
        <v>6</v>
      </c>
      <c r="F241" s="36" t="s">
        <v>9124</v>
      </c>
      <c r="G241" s="9" t="n">
        <f aca="false">IF(UPPER(F241)="Y",E241,0)</f>
        <v>0</v>
      </c>
    </row>
    <row r="242" customFormat="false" ht="25.5" hidden="false" customHeight="true" outlineLevel="0" collapsed="false">
      <c r="A242" s="9" t="str">
        <f aca="false">'Indicator Master'!A241</f>
        <v>TAX-033</v>
      </c>
      <c r="B242" s="9" t="str">
        <f aca="false">'Indicator Master'!B241</f>
        <v>Tax &amp; GST Data Forensics</v>
      </c>
      <c r="C242" s="10" t="str">
        <f aca="false">'Indicator Master'!D241</f>
        <v>Income declared in the ITR is implausible against Form 26AS and AIS receipts</v>
      </c>
      <c r="D242" s="9" t="str">
        <f aca="false">'Indicator Master'!P241</f>
        <v>High</v>
      </c>
      <c r="E242" s="9" t="n">
        <f aca="false">'Indicator Master'!Q241</f>
        <v>7</v>
      </c>
      <c r="F242" s="36" t="s">
        <v>9124</v>
      </c>
      <c r="G242" s="9" t="n">
        <f aca="false">IF(UPPER(F242)="Y",E242,0)</f>
        <v>0</v>
      </c>
    </row>
    <row r="243" customFormat="false" ht="25.5" hidden="false" customHeight="true" outlineLevel="0" collapsed="false">
      <c r="A243" s="9" t="str">
        <f aca="false">'Indicator Master'!A242</f>
        <v>TAX-034</v>
      </c>
      <c r="B243" s="9" t="str">
        <f aca="false">'Indicator Master'!B242</f>
        <v>Tax &amp; GST Data Forensics</v>
      </c>
      <c r="C243" s="10" t="str">
        <f aca="false">'Indicator Master'!D242</f>
        <v>Multiple adverse disallowance clauses populated in the tax audit report year after year</v>
      </c>
      <c r="D243" s="9" t="str">
        <f aca="false">'Indicator Master'!P242</f>
        <v>Low</v>
      </c>
      <c r="E243" s="9" t="n">
        <f aca="false">'Indicator Master'!Q242</f>
        <v>2</v>
      </c>
      <c r="F243" s="36" t="s">
        <v>9124</v>
      </c>
      <c r="G243" s="9" t="n">
        <f aca="false">IF(UPPER(F243)="Y",E243,0)</f>
        <v>0</v>
      </c>
    </row>
    <row r="244" customFormat="false" ht="25.5" hidden="false" customHeight="true" outlineLevel="0" collapsed="false">
      <c r="A244" s="9" t="str">
        <f aca="false">'Indicator Master'!A243</f>
        <v>TAX-035</v>
      </c>
      <c r="B244" s="9" t="str">
        <f aca="false">'Indicator Master'!B243</f>
        <v>Tax &amp; GST Data Forensics</v>
      </c>
      <c r="C244" s="10" t="str">
        <f aca="false">'Indicator Master'!D243</f>
        <v>Cash payments above the section 40A(3) ceiling or bunched just below it</v>
      </c>
      <c r="D244" s="9" t="str">
        <f aca="false">'Indicator Master'!P243</f>
        <v>Medium</v>
      </c>
      <c r="E244" s="9" t="n">
        <f aca="false">'Indicator Master'!Q243</f>
        <v>4</v>
      </c>
      <c r="F244" s="36" t="s">
        <v>9124</v>
      </c>
      <c r="G244" s="9" t="n">
        <f aca="false">IF(UPPER(F244)="Y",E244,0)</f>
        <v>0</v>
      </c>
    </row>
    <row r="245" customFormat="false" ht="25.5" hidden="false" customHeight="true" outlineLevel="0" collapsed="false">
      <c r="A245" s="9" t="str">
        <f aca="false">'Indicator Master'!A244</f>
        <v>TAX-036</v>
      </c>
      <c r="B245" s="9" t="str">
        <f aca="false">'Indicator Master'!B244</f>
        <v>Tax &amp; GST Data Forensics</v>
      </c>
      <c r="C245" s="10" t="str">
        <f aca="false">'Indicator Master'!D244</f>
        <v>Loans or deposits accepted or repaid outside banking channels (s.269SS / s.269T)</v>
      </c>
      <c r="D245" s="9" t="str">
        <f aca="false">'Indicator Master'!P244</f>
        <v>Medium</v>
      </c>
      <c r="E245" s="9" t="n">
        <f aca="false">'Indicator Master'!Q244</f>
        <v>5</v>
      </c>
      <c r="F245" s="36" t="s">
        <v>9124</v>
      </c>
      <c r="G245" s="9" t="n">
        <f aca="false">IF(UPPER(F245)="Y",E245,0)</f>
        <v>0</v>
      </c>
    </row>
    <row r="246" customFormat="false" ht="25.5" hidden="false" customHeight="true" outlineLevel="0" collapsed="false">
      <c r="A246" s="9" t="str">
        <f aca="false">'Indicator Master'!A245</f>
        <v>TAX-037</v>
      </c>
      <c r="B246" s="9" t="str">
        <f aca="false">'Indicator Master'!B245</f>
        <v>Tax &amp; GST Data Forensics</v>
      </c>
      <c r="C246" s="10" t="str">
        <f aca="false">'Indicator Master'!D245</f>
        <v>Fresh capital or loans from investors whose own filings cannot support the amount (s.68)</v>
      </c>
      <c r="D246" s="9" t="str">
        <f aca="false">'Indicator Master'!P245</f>
        <v>Critical</v>
      </c>
      <c r="E246" s="9" t="n">
        <f aca="false">'Indicator Master'!Q245</f>
        <v>9</v>
      </c>
      <c r="F246" s="36" t="s">
        <v>9124</v>
      </c>
      <c r="G246" s="9" t="n">
        <f aca="false">IF(UPPER(F246)="Y",E246,0)</f>
        <v>0</v>
      </c>
    </row>
    <row r="247" customFormat="false" ht="25.5" hidden="false" customHeight="true" outlineLevel="0" collapsed="false">
      <c r="A247" s="9" t="str">
        <f aca="false">'Indicator Master'!A246</f>
        <v>TAX-038</v>
      </c>
      <c r="B247" s="9" t="str">
        <f aca="false">'Indicator Master'!B246</f>
        <v>Tax &amp; GST Data Forensics</v>
      </c>
      <c r="C247" s="10" t="str">
        <f aca="false">'Indicator Master'!D246</f>
        <v>Shares issued at a premium far above defensible fair value (s.56(2)(viib))</v>
      </c>
      <c r="D247" s="9" t="str">
        <f aca="false">'Indicator Master'!P246</f>
        <v>High</v>
      </c>
      <c r="E247" s="9" t="n">
        <f aca="false">'Indicator Master'!Q246</f>
        <v>7</v>
      </c>
      <c r="F247" s="36" t="s">
        <v>9124</v>
      </c>
      <c r="G247" s="9" t="n">
        <f aca="false">IF(UPPER(F247)="Y",E247,0)</f>
        <v>0</v>
      </c>
    </row>
    <row r="248" customFormat="false" ht="25.5" hidden="false" customHeight="true" outlineLevel="0" collapsed="false">
      <c r="A248" s="9" t="str">
        <f aca="false">'Indicator Master'!A247</f>
        <v>TAX-039</v>
      </c>
      <c r="B248" s="9" t="str">
        <f aca="false">'Indicator Master'!B247</f>
        <v>Tax &amp; GST Data Forensics</v>
      </c>
      <c r="C248" s="10" t="str">
        <f aca="false">'Indicator Master'!D247</f>
        <v>Purchases concentrated in suppliers with the signature of accommodation billing</v>
      </c>
      <c r="D248" s="9" t="str">
        <f aca="false">'Indicator Master'!P247</f>
        <v>Critical</v>
      </c>
      <c r="E248" s="9" t="n">
        <f aca="false">'Indicator Master'!Q247</f>
        <v>9</v>
      </c>
      <c r="F248" s="36" t="s">
        <v>9124</v>
      </c>
      <c r="G248" s="9" t="n">
        <f aca="false">IF(UPPER(F248)="Y",E248,0)</f>
        <v>0</v>
      </c>
    </row>
    <row r="249" customFormat="false" ht="25.5" hidden="false" customHeight="true" outlineLevel="0" collapsed="false">
      <c r="A249" s="9" t="str">
        <f aca="false">'Indicator Master'!A248</f>
        <v>TAX-040</v>
      </c>
      <c r="B249" s="9" t="str">
        <f aca="false">'Indicator Master'!B248</f>
        <v>Tax &amp; GST Data Forensics</v>
      </c>
      <c r="C249" s="10" t="str">
        <f aca="false">'Indicator Master'!D248</f>
        <v>Carried-forward losses set off right after a change in shareholding (s.79)</v>
      </c>
      <c r="D249" s="9" t="str">
        <f aca="false">'Indicator Master'!P248</f>
        <v>High</v>
      </c>
      <c r="E249" s="9" t="n">
        <f aca="false">'Indicator Master'!Q248</f>
        <v>7</v>
      </c>
      <c r="F249" s="36" t="s">
        <v>9124</v>
      </c>
      <c r="G249" s="9" t="n">
        <f aca="false">IF(UPPER(F249)="Y",E249,0)</f>
        <v>0</v>
      </c>
    </row>
    <row r="250" customFormat="false" ht="25.5" hidden="false" customHeight="true" outlineLevel="0" collapsed="false">
      <c r="A250" s="9" t="str">
        <f aca="false">'Indicator Master'!A249</f>
        <v>TAX-041</v>
      </c>
      <c r="B250" s="9" t="str">
        <f aca="false">'Indicator Master'!B249</f>
        <v>Tax &amp; GST Data Forensics</v>
      </c>
      <c r="C250" s="10" t="str">
        <f aca="false">'Indicator Master'!D249</f>
        <v>Form 3CEB international related-party turnover with no operating substance behind it</v>
      </c>
      <c r="D250" s="9" t="str">
        <f aca="false">'Indicator Master'!P249</f>
        <v>High</v>
      </c>
      <c r="E250" s="9" t="n">
        <f aca="false">'Indicator Master'!Q249</f>
        <v>6</v>
      </c>
      <c r="F250" s="36" t="s">
        <v>9124</v>
      </c>
      <c r="G250" s="9" t="n">
        <f aca="false">IF(UPPER(F250)="Y",E250,0)</f>
        <v>0</v>
      </c>
    </row>
    <row r="251" customFormat="false" ht="25.5" hidden="false" customHeight="true" outlineLevel="0" collapsed="false">
      <c r="A251" s="9" t="str">
        <f aca="false">'Indicator Master'!A250</f>
        <v>TAX-042</v>
      </c>
      <c r="B251" s="9" t="str">
        <f aca="false">'Indicator Master'!B250</f>
        <v>Tax &amp; GST Data Forensics</v>
      </c>
      <c r="C251" s="10" t="str">
        <f aca="false">'Indicator Master'!D250</f>
        <v>Management or royalty fees to a low-tax jurisdiction affiliate absorb most of the profit</v>
      </c>
      <c r="D251" s="9" t="str">
        <f aca="false">'Indicator Master'!P250</f>
        <v>High</v>
      </c>
      <c r="E251" s="9" t="n">
        <f aca="false">'Indicator Master'!Q250</f>
        <v>7</v>
      </c>
      <c r="F251" s="36" t="s">
        <v>9124</v>
      </c>
      <c r="G251" s="9" t="n">
        <f aca="false">IF(UPPER(F251)="Y",E251,0)</f>
        <v>0</v>
      </c>
    </row>
    <row r="252" customFormat="false" ht="25.5" hidden="false" customHeight="true" outlineLevel="0" collapsed="false">
      <c r="A252" s="9" t="str">
        <f aca="false">'Indicator Master'!A251</f>
        <v>TAX-043</v>
      </c>
      <c r="B252" s="9" t="str">
        <f aca="false">'Indicator Master'!B251</f>
        <v>Tax &amp; GST Data Forensics</v>
      </c>
      <c r="C252" s="10" t="str">
        <f aca="false">'Indicator Master'!D251</f>
        <v>Interest paid to associated enterprises above arm's length or the section 94B cap</v>
      </c>
      <c r="D252" s="9" t="str">
        <f aca="false">'Indicator Master'!P251</f>
        <v>Low</v>
      </c>
      <c r="E252" s="9" t="n">
        <f aca="false">'Indicator Master'!Q251</f>
        <v>2</v>
      </c>
      <c r="F252" s="36" t="s">
        <v>9124</v>
      </c>
      <c r="G252" s="9" t="n">
        <f aca="false">IF(UPPER(F252)="Y",E252,0)</f>
        <v>0</v>
      </c>
    </row>
    <row r="253" customFormat="false" ht="25.5" hidden="false" customHeight="true" outlineLevel="0" collapsed="false">
      <c r="A253" s="9" t="str">
        <f aca="false">'Indicator Master'!A252</f>
        <v>TAX-044</v>
      </c>
      <c r="B253" s="9" t="str">
        <f aca="false">'Indicator Master'!B252</f>
        <v>Tax &amp; GST Data Forensics</v>
      </c>
      <c r="C253" s="10" t="str">
        <f aca="false">'Indicator Master'!D252</f>
        <v>Inverted duty refund claimed out of proportion to the rate structure of the goods traded</v>
      </c>
      <c r="D253" s="9" t="str">
        <f aca="false">'Indicator Master'!P252</f>
        <v>High</v>
      </c>
      <c r="E253" s="9" t="n">
        <f aca="false">'Indicator Master'!Q252</f>
        <v>7</v>
      </c>
      <c r="F253" s="36" t="s">
        <v>9124</v>
      </c>
      <c r="G253" s="9" t="n">
        <f aca="false">IF(UPPER(F253)="Y",E253,0)</f>
        <v>0</v>
      </c>
    </row>
    <row r="254" customFormat="false" ht="25.5" hidden="false" customHeight="true" outlineLevel="0" collapsed="false">
      <c r="A254" s="9" t="str">
        <f aca="false">'Indicator Master'!A253</f>
        <v>TAX-045</v>
      </c>
      <c r="B254" s="9" t="str">
        <f aca="false">'Indicator Master'!B253</f>
        <v>Tax &amp; GST Data Forensics</v>
      </c>
      <c r="C254" s="10" t="str">
        <f aca="false">'Indicator Master'!D253</f>
        <v>Export refunds claimed against exports with no matching shipping bill or EGM</v>
      </c>
      <c r="D254" s="9" t="str">
        <f aca="false">'Indicator Master'!P253</f>
        <v>Critical</v>
      </c>
      <c r="E254" s="9" t="n">
        <f aca="false">'Indicator Master'!Q253</f>
        <v>9</v>
      </c>
      <c r="F254" s="36" t="s">
        <v>9124</v>
      </c>
      <c r="G254" s="9" t="n">
        <f aca="false">IF(UPPER(F254)="Y",E254,0)</f>
        <v>0</v>
      </c>
    </row>
    <row r="255" customFormat="false" ht="25.5" hidden="false" customHeight="true" outlineLevel="0" collapsed="false">
      <c r="A255" s="9" t="str">
        <f aca="false">'Indicator Master'!A254</f>
        <v>TAX-046</v>
      </c>
      <c r="B255" s="9" t="str">
        <f aca="false">'Indicator Master'!B254</f>
        <v>Tax &amp; GST Data Forensics</v>
      </c>
      <c r="C255" s="10" t="str">
        <f aca="false">'Indicator Master'!D254</f>
        <v>Zero-rated supply under LUT with export proceeds never realised</v>
      </c>
      <c r="D255" s="9" t="str">
        <f aca="false">'Indicator Master'!P254</f>
        <v>High</v>
      </c>
      <c r="E255" s="9" t="n">
        <f aca="false">'Indicator Master'!Q254</f>
        <v>6</v>
      </c>
      <c r="F255" s="36" t="s">
        <v>9124</v>
      </c>
      <c r="G255" s="9" t="n">
        <f aca="false">IF(UPPER(F255)="Y",E255,0)</f>
        <v>0</v>
      </c>
    </row>
    <row r="256" customFormat="false" ht="25.5" hidden="false" customHeight="true" outlineLevel="0" collapsed="false">
      <c r="A256" s="9" t="str">
        <f aca="false">'Indicator Master'!A255</f>
        <v>TAX-047</v>
      </c>
      <c r="B256" s="9" t="str">
        <f aca="false">'Indicator Master'!B255</f>
        <v>Tax &amp; GST Data Forensics</v>
      </c>
      <c r="C256" s="10" t="str">
        <f aca="false">'Indicator Master'!D255</f>
        <v>Effective tax rate near zero across years despite reported book profits</v>
      </c>
      <c r="D256" s="9" t="str">
        <f aca="false">'Indicator Master'!P255</f>
        <v>Medium</v>
      </c>
      <c r="E256" s="9" t="n">
        <f aca="false">'Indicator Master'!Q255</f>
        <v>3</v>
      </c>
      <c r="F256" s="36" t="s">
        <v>9124</v>
      </c>
      <c r="G256" s="9" t="n">
        <f aca="false">IF(UPPER(F256)="Y",E256,0)</f>
        <v>0</v>
      </c>
    </row>
    <row r="257" customFormat="false" ht="25.5" hidden="false" customHeight="true" outlineLevel="0" collapsed="false">
      <c r="A257" s="9" t="str">
        <f aca="false">'Indicator Master'!A256</f>
        <v>TAX-048</v>
      </c>
      <c r="B257" s="9" t="str">
        <f aca="false">'Indicator Master'!B256</f>
        <v>Tax &amp; GST Data Forensics</v>
      </c>
      <c r="C257" s="10" t="str">
        <f aca="false">'Indicator Master'!D256</f>
        <v>Turnover parked just below the audit, e-invoice or registration threshold</v>
      </c>
      <c r="D257" s="9" t="str">
        <f aca="false">'Indicator Master'!P256</f>
        <v>Medium</v>
      </c>
      <c r="E257" s="9" t="n">
        <f aca="false">'Indicator Master'!Q256</f>
        <v>5</v>
      </c>
      <c r="F257" s="36" t="s">
        <v>9124</v>
      </c>
      <c r="G257" s="9" t="n">
        <f aca="false">IF(UPPER(F257)="Y",E257,0)</f>
        <v>0</v>
      </c>
    </row>
    <row r="258" customFormat="false" ht="25.5" hidden="false" customHeight="true" outlineLevel="0" collapsed="false">
      <c r="A258" s="9" t="str">
        <f aca="false">'Indicator Master'!A257</f>
        <v>OPS-001</v>
      </c>
      <c r="B258" s="9" t="str">
        <f aca="false">'Indicator Master'!B257</f>
        <v>Operational Reality &amp; Physical Substance</v>
      </c>
      <c r="C258" s="10" t="str">
        <f aca="false">'Indicator Master'!D257</f>
        <v>Registered office is a mass address hosting an improbable number of active entities</v>
      </c>
      <c r="D258" s="9" t="str">
        <f aca="false">'Indicator Master'!P257</f>
        <v>High</v>
      </c>
      <c r="E258" s="9" t="n">
        <f aca="false">'Indicator Master'!Q257</f>
        <v>7</v>
      </c>
      <c r="F258" s="36" t="s">
        <v>9124</v>
      </c>
      <c r="G258" s="9" t="n">
        <f aca="false">IF(UPPER(F258)="Y",E258,0)</f>
        <v>0</v>
      </c>
    </row>
    <row r="259" customFormat="false" ht="25.5" hidden="false" customHeight="true" outlineLevel="0" collapsed="false">
      <c r="A259" s="9" t="str">
        <f aca="false">'Indicator Master'!A258</f>
        <v>OPS-002</v>
      </c>
      <c r="B259" s="9" t="str">
        <f aca="false">'Indicator Master'!B258</f>
        <v>Operational Reality &amp; Physical Substance</v>
      </c>
      <c r="C259" s="10" t="str">
        <f aca="false">'Indicator Master'!D258</f>
        <v>Registered office is a virtual office, mailbox service or single co-working desk</v>
      </c>
      <c r="D259" s="9" t="str">
        <f aca="false">'Indicator Master'!P258</f>
        <v>Medium</v>
      </c>
      <c r="E259" s="9" t="n">
        <f aca="false">'Indicator Master'!Q258</f>
        <v>5</v>
      </c>
      <c r="F259" s="36" t="s">
        <v>9124</v>
      </c>
      <c r="G259" s="9" t="n">
        <f aca="false">IF(UPPER(F259)="Y",E259,0)</f>
        <v>0</v>
      </c>
    </row>
    <row r="260" customFormat="false" ht="25.5" hidden="false" customHeight="true" outlineLevel="0" collapsed="false">
      <c r="A260" s="9" t="str">
        <f aca="false">'Indicator Master'!A259</f>
        <v>OPS-003</v>
      </c>
      <c r="B260" s="9" t="str">
        <f aca="false">'Indicator Master'!B259</f>
        <v>Operational Reality &amp; Physical Substance</v>
      </c>
      <c r="C260" s="10" t="str">
        <f aca="false">'Indicator Master'!D259</f>
        <v>Registered office is a residential flat inconsistent with declared turnover and headcount</v>
      </c>
      <c r="D260" s="9" t="str">
        <f aca="false">'Indicator Master'!P259</f>
        <v>High</v>
      </c>
      <c r="E260" s="9" t="n">
        <f aca="false">'Indicator Master'!Q259</f>
        <v>6</v>
      </c>
      <c r="F260" s="36" t="s">
        <v>9124</v>
      </c>
      <c r="G260" s="9" t="n">
        <f aca="false">IF(UPPER(F260)="Y",E260,0)</f>
        <v>0</v>
      </c>
    </row>
    <row r="261" customFormat="false" ht="25.5" hidden="false" customHeight="true" outlineLevel="0" collapsed="false">
      <c r="A261" s="9" t="str">
        <f aca="false">'Indicator Master'!A260</f>
        <v>OPS-004</v>
      </c>
      <c r="B261" s="9" t="str">
        <f aca="false">'Indicator Master'!B260</f>
        <v>Operational Reality &amp; Physical Substance</v>
      </c>
      <c r="C261" s="10" t="str">
        <f aca="false">'Indicator Master'!D260</f>
        <v>Registered office is the premises of its own auditor or formation agent</v>
      </c>
      <c r="D261" s="9" t="str">
        <f aca="false">'Indicator Master'!P260</f>
        <v>High</v>
      </c>
      <c r="E261" s="9" t="n">
        <f aca="false">'Indicator Master'!Q260</f>
        <v>7</v>
      </c>
      <c r="F261" s="36" t="s">
        <v>9124</v>
      </c>
      <c r="G261" s="9" t="n">
        <f aca="false">IF(UPPER(F261)="Y",E261,0)</f>
        <v>0</v>
      </c>
    </row>
    <row r="262" customFormat="false" ht="25.5" hidden="false" customHeight="true" outlineLevel="0" collapsed="false">
      <c r="A262" s="9" t="str">
        <f aca="false">'Indicator Master'!A261</f>
        <v>OPS-005</v>
      </c>
      <c r="B262" s="9" t="str">
        <f aca="false">'Indicator Master'!B261</f>
        <v>Operational Reality &amp; Physical Substance</v>
      </c>
      <c r="C262" s="10" t="str">
        <f aca="false">'Indicator Master'!D261</f>
        <v>Registered office shifted three or more times within a short period</v>
      </c>
      <c r="D262" s="9" t="str">
        <f aca="false">'Indicator Master'!P261</f>
        <v>Medium</v>
      </c>
      <c r="E262" s="9" t="n">
        <f aca="false">'Indicator Master'!Q261</f>
        <v>5</v>
      </c>
      <c r="F262" s="36" t="s">
        <v>9124</v>
      </c>
      <c r="G262" s="9" t="n">
        <f aca="false">IF(UPPER(F262)="Y",E262,0)</f>
        <v>0</v>
      </c>
    </row>
    <row r="263" customFormat="false" ht="25.5" hidden="false" customHeight="true" outlineLevel="0" collapsed="false">
      <c r="A263" s="9" t="str">
        <f aca="false">'Indicator Master'!A262</f>
        <v>OPS-006</v>
      </c>
      <c r="B263" s="9" t="str">
        <f aca="false">'Indicator Master'!B262</f>
        <v>Operational Reality &amp; Physical Substance</v>
      </c>
      <c r="C263" s="10" t="str">
        <f aca="false">'Indicator Master'!D262</f>
        <v>INC-22A ACTIVE photo missing, interior-only, or geotag off the declared address</v>
      </c>
      <c r="D263" s="9" t="str">
        <f aca="false">'Indicator Master'!P262</f>
        <v>High</v>
      </c>
      <c r="E263" s="9" t="n">
        <f aca="false">'Indicator Master'!Q262</f>
        <v>6</v>
      </c>
      <c r="F263" s="36" t="s">
        <v>9124</v>
      </c>
      <c r="G263" s="9" t="n">
        <f aca="false">IF(UPPER(F263)="Y",E263,0)</f>
        <v>0</v>
      </c>
    </row>
    <row r="264" customFormat="false" ht="25.5" hidden="false" customHeight="true" outlineLevel="0" collapsed="false">
      <c r="A264" s="9" t="str">
        <f aca="false">'Indicator Master'!A263</f>
        <v>OPS-007</v>
      </c>
      <c r="B264" s="9" t="str">
        <f aca="false">'Indicator Master'!B263</f>
        <v>Operational Reality &amp; Physical Substance</v>
      </c>
      <c r="C264" s="10" t="str">
        <f aca="false">'Indicator Master'!D263</f>
        <v>Registered address unverifiable — incomplete, PIN mismatched or landmark-free</v>
      </c>
      <c r="D264" s="9" t="str">
        <f aca="false">'Indicator Master'!P263</f>
        <v>Medium</v>
      </c>
      <c r="E264" s="9" t="n">
        <f aca="false">'Indicator Master'!Q263</f>
        <v>4</v>
      </c>
      <c r="F264" s="36" t="s">
        <v>9124</v>
      </c>
      <c r="G264" s="9" t="n">
        <f aca="false">IF(UPPER(F264)="Y",E264,0)</f>
        <v>0</v>
      </c>
    </row>
    <row r="265" customFormat="false" ht="25.5" hidden="false" customHeight="true" outlineLevel="0" collapsed="false">
      <c r="A265" s="9" t="str">
        <f aca="false">'Indicator Master'!A264</f>
        <v>OPS-008</v>
      </c>
      <c r="B265" s="9" t="str">
        <f aca="false">'Indicator Master'!B264</f>
        <v>Operational Reality &amp; Physical Substance</v>
      </c>
      <c r="C265" s="10" t="str">
        <f aca="false">'Indicator Master'!D264</f>
        <v>Site visit finds no signage, nameboard or company presence at the registered office</v>
      </c>
      <c r="D265" s="9" t="str">
        <f aca="false">'Indicator Master'!P264</f>
        <v>Medium</v>
      </c>
      <c r="E265" s="9" t="n">
        <f aca="false">'Indicator Master'!Q264</f>
        <v>5</v>
      </c>
      <c r="F265" s="36" t="s">
        <v>9124</v>
      </c>
      <c r="G265" s="9" t="n">
        <f aca="false">IF(UPPER(F265)="Y",E265,0)</f>
        <v>0</v>
      </c>
    </row>
    <row r="266" customFormat="false" ht="25.5" hidden="false" customHeight="true" outlineLevel="0" collapsed="false">
      <c r="A266" s="9" t="str">
        <f aca="false">'Indicator Master'!A265</f>
        <v>OPS-009</v>
      </c>
      <c r="B266" s="9" t="str">
        <f aca="false">'Indicator Master'!B265</f>
        <v>Operational Reality &amp; Physical Substance</v>
      </c>
      <c r="C266" s="10" t="str">
        <f aca="false">'Indicator Master'!D265</f>
        <v>Registered office reuses an address previously used by a struck-off or defaulting entity</v>
      </c>
      <c r="D266" s="9" t="str">
        <f aca="false">'Indicator Master'!P265</f>
        <v>High</v>
      </c>
      <c r="E266" s="9" t="n">
        <f aca="false">'Indicator Master'!Q265</f>
        <v>7</v>
      </c>
      <c r="F266" s="36" t="s">
        <v>9124</v>
      </c>
      <c r="G266" s="9" t="n">
        <f aca="false">IF(UPPER(F266)="Y",E266,0)</f>
        <v>0</v>
      </c>
    </row>
    <row r="267" customFormat="false" ht="25.5" hidden="false" customHeight="true" outlineLevel="0" collapsed="false">
      <c r="A267" s="9" t="str">
        <f aca="false">'Indicator Master'!A266</f>
        <v>OPS-010</v>
      </c>
      <c r="B267" s="9" t="str">
        <f aca="false">'Indicator Master'!B266</f>
        <v>Operational Reality &amp; Physical Substance</v>
      </c>
      <c r="C267" s="10" t="str">
        <f aca="false">'Indicator Master'!D266</f>
        <v>No rent agreement, lease deed or ownership proof on record for the occupied premises</v>
      </c>
      <c r="D267" s="9" t="str">
        <f aca="false">'Indicator Master'!P266</f>
        <v>Low</v>
      </c>
      <c r="E267" s="9" t="n">
        <f aca="false">'Indicator Master'!Q266</f>
        <v>2</v>
      </c>
      <c r="F267" s="36" t="s">
        <v>9124</v>
      </c>
      <c r="G267" s="9" t="n">
        <f aca="false">IF(UPPER(F267)="Y",E267,0)</f>
        <v>0</v>
      </c>
    </row>
    <row r="268" customFormat="false" ht="25.5" hidden="false" customHeight="true" outlineLevel="0" collapsed="false">
      <c r="A268" s="9" t="str">
        <f aca="false">'Indicator Master'!A267</f>
        <v>OPS-011</v>
      </c>
      <c r="B268" s="9" t="str">
        <f aca="false">'Indicator Master'!B267</f>
        <v>Operational Reality &amp; Physical Substance</v>
      </c>
      <c r="C268" s="10" t="str">
        <f aca="false">'Indicator Master'!D267</f>
        <v>Rent paid to a related party at a rate far away from local market value</v>
      </c>
      <c r="D268" s="9" t="str">
        <f aca="false">'Indicator Master'!P267</f>
        <v>Medium</v>
      </c>
      <c r="E268" s="9" t="n">
        <f aca="false">'Indicator Master'!Q267</f>
        <v>5</v>
      </c>
      <c r="F268" s="36" t="s">
        <v>9124</v>
      </c>
      <c r="G268" s="9" t="n">
        <f aca="false">IF(UPPER(F268)="Y",E268,0)</f>
        <v>0</v>
      </c>
    </row>
    <row r="269" customFormat="false" ht="25.5" hidden="false" customHeight="true" outlineLevel="0" collapsed="false">
      <c r="A269" s="9" t="str">
        <f aca="false">'Indicator Master'!A268</f>
        <v>OPS-012</v>
      </c>
      <c r="B269" s="9" t="str">
        <f aca="false">'Indicator Master'!B268</f>
        <v>Operational Reality &amp; Physical Substance</v>
      </c>
      <c r="C269" s="10" t="str">
        <f aca="false">'Indicator Master'!D268</f>
        <v>Property tax or municipal record shows no commercial occupancy at the declared premises</v>
      </c>
      <c r="D269" s="9" t="str">
        <f aca="false">'Indicator Master'!P268</f>
        <v>Medium</v>
      </c>
      <c r="E269" s="9" t="n">
        <f aca="false">'Indicator Master'!Q268</f>
        <v>4</v>
      </c>
      <c r="F269" s="36" t="s">
        <v>9124</v>
      </c>
      <c r="G269" s="9" t="n">
        <f aca="false">IF(UPPER(F269)="Y",E269,0)</f>
        <v>0</v>
      </c>
    </row>
    <row r="270" customFormat="false" ht="25.5" hidden="false" customHeight="true" outlineLevel="0" collapsed="false">
      <c r="A270" s="9" t="str">
        <f aca="false">'Indicator Master'!A269</f>
        <v>OPS-013</v>
      </c>
      <c r="B270" s="9" t="str">
        <f aca="false">'Indicator Master'!B269</f>
        <v>Operational Reality &amp; Physical Substance</v>
      </c>
      <c r="C270" s="10" t="str">
        <f aca="false">'Indicator Master'!D269</f>
        <v>Electricity absent, domestic-tariff only, or near-zero units vs claimed output</v>
      </c>
      <c r="D270" s="9" t="str">
        <f aca="false">'Indicator Master'!P269</f>
        <v>Critical</v>
      </c>
      <c r="E270" s="9" t="n">
        <f aca="false">'Indicator Master'!Q269</f>
        <v>9</v>
      </c>
      <c r="F270" s="36" t="s">
        <v>9124</v>
      </c>
      <c r="G270" s="9" t="n">
        <f aca="false">IF(UPPER(F270)="Y",E270,0)</f>
        <v>0</v>
      </c>
    </row>
    <row r="271" customFormat="false" ht="25.5" hidden="false" customHeight="true" outlineLevel="0" collapsed="false">
      <c r="A271" s="9" t="str">
        <f aca="false">'Indicator Master'!A270</f>
        <v>OPS-014</v>
      </c>
      <c r="B271" s="9" t="str">
        <f aca="false">'Indicator Master'!B270</f>
        <v>Operational Reality &amp; Physical Substance</v>
      </c>
      <c r="C271" s="10" t="str">
        <f aca="false">'Indicator Master'!D270</f>
        <v>Warehouse or factory declared but no evidence of storage capacity for the goods handled</v>
      </c>
      <c r="D271" s="9" t="str">
        <f aca="false">'Indicator Master'!P270</f>
        <v>High</v>
      </c>
      <c r="E271" s="9" t="n">
        <f aca="false">'Indicator Master'!Q270</f>
        <v>6</v>
      </c>
      <c r="F271" s="36" t="s">
        <v>9124</v>
      </c>
      <c r="G271" s="9" t="n">
        <f aca="false">IF(UPPER(F271)="Y",E271,0)</f>
        <v>0</v>
      </c>
    </row>
    <row r="272" customFormat="false" ht="25.5" hidden="false" customHeight="true" outlineLevel="0" collapsed="false">
      <c r="A272" s="9" t="str">
        <f aca="false">'Indicator Master'!A271</f>
        <v>OPS-015</v>
      </c>
      <c r="B272" s="9" t="str">
        <f aca="false">'Indicator Master'!B271</f>
        <v>Operational Reality &amp; Physical Substance</v>
      </c>
      <c r="C272" s="10" t="str">
        <f aca="false">'Indicator Master'!D271</f>
        <v>Street or satellite imagery shows vacant land or an unrelated occupant at the address</v>
      </c>
      <c r="D272" s="9" t="str">
        <f aca="false">'Indicator Master'!P271</f>
        <v>Critical</v>
      </c>
      <c r="E272" s="9" t="n">
        <f aca="false">'Indicator Master'!Q271</f>
        <v>9</v>
      </c>
      <c r="F272" s="36" t="s">
        <v>9124</v>
      </c>
      <c r="G272" s="9" t="n">
        <f aca="false">IF(UPPER(F272)="Y",E272,0)</f>
        <v>0</v>
      </c>
    </row>
    <row r="273" customFormat="false" ht="25.5" hidden="false" customHeight="true" outlineLevel="0" collapsed="false">
      <c r="A273" s="9" t="str">
        <f aca="false">'Indicator Master'!A272</f>
        <v>OPS-016</v>
      </c>
      <c r="B273" s="9" t="str">
        <f aca="false">'Indicator Master'!B272</f>
        <v>Operational Reality &amp; Physical Substance</v>
      </c>
      <c r="C273" s="10" t="str">
        <f aca="false">'Indicator Master'!D272</f>
        <v>No EPFO registration despite a workforce claimed in filings</v>
      </c>
      <c r="D273" s="9" t="str">
        <f aca="false">'Indicator Master'!P272</f>
        <v>High</v>
      </c>
      <c r="E273" s="9" t="n">
        <f aca="false">'Indicator Master'!Q272</f>
        <v>7</v>
      </c>
      <c r="F273" s="36" t="s">
        <v>9124</v>
      </c>
      <c r="G273" s="9" t="n">
        <f aca="false">IF(UPPER(F273)="Y",E273,0)</f>
        <v>0</v>
      </c>
    </row>
    <row r="274" customFormat="false" ht="25.5" hidden="false" customHeight="true" outlineLevel="0" collapsed="false">
      <c r="A274" s="9" t="str">
        <f aca="false">'Indicator Master'!A273</f>
        <v>OPS-017</v>
      </c>
      <c r="B274" s="9" t="str">
        <f aca="false">'Indicator Master'!B273</f>
        <v>Operational Reality &amp; Physical Substance</v>
      </c>
      <c r="C274" s="10" t="str">
        <f aca="false">'Indicator Master'!D273</f>
        <v>EPFO ECR filed with zero or token member count against material turnover</v>
      </c>
      <c r="D274" s="9" t="str">
        <f aca="false">'Indicator Master'!P273</f>
        <v>High</v>
      </c>
      <c r="E274" s="9" t="n">
        <f aca="false">'Indicator Master'!Q273</f>
        <v>7</v>
      </c>
      <c r="F274" s="36" t="s">
        <v>9124</v>
      </c>
      <c r="G274" s="9" t="n">
        <f aca="false">IF(UPPER(F274)="Y",E274,0)</f>
        <v>0</v>
      </c>
    </row>
    <row r="275" customFormat="false" ht="25.5" hidden="false" customHeight="true" outlineLevel="0" collapsed="false">
      <c r="A275" s="9" t="str">
        <f aca="false">'Indicator Master'!A274</f>
        <v>OPS-018</v>
      </c>
      <c r="B275" s="9" t="str">
        <f aca="false">'Indicator Master'!B274</f>
        <v>Operational Reality &amp; Physical Substance</v>
      </c>
      <c r="C275" s="10" t="str">
        <f aca="false">'Indicator Master'!D274</f>
        <v>Revenue per EPFO member is a sector outlier by several standard deviations</v>
      </c>
      <c r="D275" s="9" t="str">
        <f aca="false">'Indicator Master'!P274</f>
        <v>High</v>
      </c>
      <c r="E275" s="9" t="n">
        <f aca="false">'Indicator Master'!Q274</f>
        <v>6</v>
      </c>
      <c r="F275" s="36" t="s">
        <v>9124</v>
      </c>
      <c r="G275" s="9" t="n">
        <f aca="false">IF(UPPER(F275)="Y",E275,0)</f>
        <v>0</v>
      </c>
    </row>
    <row r="276" customFormat="false" ht="25.5" hidden="false" customHeight="true" outlineLevel="0" collapsed="false">
      <c r="A276" s="9" t="str">
        <f aca="false">'Indicator Master'!A275</f>
        <v>OPS-019</v>
      </c>
      <c r="B276" s="9" t="str">
        <f aca="false">'Indicator Master'!B275</f>
        <v>Operational Reality &amp; Physical Substance</v>
      </c>
      <c r="C276" s="10" t="str">
        <f aca="false">'Indicator Master'!D275</f>
        <v>No ESIC contributions for a declared labour-intensive activity</v>
      </c>
      <c r="D276" s="9" t="str">
        <f aca="false">'Indicator Master'!P275</f>
        <v>Medium</v>
      </c>
      <c r="E276" s="9" t="n">
        <f aca="false">'Indicator Master'!Q275</f>
        <v>5</v>
      </c>
      <c r="F276" s="36" t="s">
        <v>9124</v>
      </c>
      <c r="G276" s="9" t="n">
        <f aca="false">IF(UPPER(F276)="Y",E276,0)</f>
        <v>0</v>
      </c>
    </row>
    <row r="277" customFormat="false" ht="25.5" hidden="false" customHeight="true" outlineLevel="0" collapsed="false">
      <c r="A277" s="9" t="str">
        <f aca="false">'Indicator Master'!A276</f>
        <v>OPS-020</v>
      </c>
      <c r="B277" s="9" t="str">
        <f aca="false">'Indicator Master'!B276</f>
        <v>Operational Reality &amp; Physical Substance</v>
      </c>
      <c r="C277" s="10" t="str">
        <f aca="false">'Indicator Master'!D276</f>
        <v>No professional tax registration or remittance in a state that levies it</v>
      </c>
      <c r="D277" s="9" t="str">
        <f aca="false">'Indicator Master'!P276</f>
        <v>Low</v>
      </c>
      <c r="E277" s="9" t="n">
        <f aca="false">'Indicator Master'!Q276</f>
        <v>2</v>
      </c>
      <c r="F277" s="36" t="s">
        <v>9124</v>
      </c>
      <c r="G277" s="9" t="n">
        <f aca="false">IF(UPPER(F277)="Y",E277,0)</f>
        <v>0</v>
      </c>
    </row>
    <row r="278" customFormat="false" ht="25.5" hidden="false" customHeight="true" outlineLevel="0" collapsed="false">
      <c r="A278" s="9" t="str">
        <f aca="false">'Indicator Master'!A277</f>
        <v>OPS-021</v>
      </c>
      <c r="B278" s="9" t="str">
        <f aca="false">'Indicator Master'!B277</f>
        <v>Operational Reality &amp; Physical Substance</v>
      </c>
      <c r="C278" s="10" t="str">
        <f aca="false">'Indicator Master'!D277</f>
        <v>Payroll register shows few employees on identical round salaries</v>
      </c>
      <c r="D278" s="9" t="str">
        <f aca="false">'Indicator Master'!P277</f>
        <v>High</v>
      </c>
      <c r="E278" s="9" t="n">
        <f aca="false">'Indicator Master'!Q277</f>
        <v>6</v>
      </c>
      <c r="F278" s="36" t="s">
        <v>9124</v>
      </c>
      <c r="G278" s="9" t="n">
        <f aca="false">IF(UPPER(F278)="Y",E278,0)</f>
        <v>0</v>
      </c>
    </row>
    <row r="279" customFormat="false" ht="25.5" hidden="false" customHeight="true" outlineLevel="0" collapsed="false">
      <c r="A279" s="9" t="str">
        <f aca="false">'Indicator Master'!A278</f>
        <v>OPS-022</v>
      </c>
      <c r="B279" s="9" t="str">
        <f aca="false">'Indicator Master'!B278</f>
        <v>Operational Reality &amp; Physical Substance</v>
      </c>
      <c r="C279" s="10" t="str">
        <f aca="false">'Indicator Master'!D278</f>
        <v>Salaries paid entirely in cash with no bank salary transfers</v>
      </c>
      <c r="D279" s="9" t="str">
        <f aca="false">'Indicator Master'!P278</f>
        <v>High</v>
      </c>
      <c r="E279" s="9" t="n">
        <f aca="false">'Indicator Master'!Q278</f>
        <v>6</v>
      </c>
      <c r="F279" s="36" t="s">
        <v>9124</v>
      </c>
      <c r="G279" s="9" t="n">
        <f aca="false">IF(UPPER(F279)="Y",E279,0)</f>
        <v>0</v>
      </c>
    </row>
    <row r="280" customFormat="false" ht="25.5" hidden="false" customHeight="true" outlineLevel="0" collapsed="false">
      <c r="A280" s="9" t="str">
        <f aca="false">'Indicator Master'!A279</f>
        <v>OPS-023</v>
      </c>
      <c r="B280" s="9" t="str">
        <f aca="false">'Indicator Master'!B279</f>
        <v>Operational Reality &amp; Physical Substance</v>
      </c>
      <c r="C280" s="10" t="str">
        <f aca="false">'Indicator Master'!D279</f>
        <v>Sampled employees have no independent verifiable footprint</v>
      </c>
      <c r="D280" s="9" t="str">
        <f aca="false">'Indicator Master'!P279</f>
        <v>Medium</v>
      </c>
      <c r="E280" s="9" t="n">
        <f aca="false">'Indicator Master'!Q279</f>
        <v>5</v>
      </c>
      <c r="F280" s="36" t="s">
        <v>9124</v>
      </c>
      <c r="G280" s="9" t="n">
        <f aca="false">IF(UPPER(F280)="Y",E280,0)</f>
        <v>0</v>
      </c>
    </row>
    <row r="281" customFormat="false" ht="25.5" hidden="false" customHeight="true" outlineLevel="0" collapsed="false">
      <c r="A281" s="9" t="str">
        <f aca="false">'Indicator Master'!A280</f>
        <v>OPS-024</v>
      </c>
      <c r="B281" s="9" t="str">
        <f aca="false">'Indicator Master'!B280</f>
        <v>Operational Reality &amp; Physical Substance</v>
      </c>
      <c r="C281" s="10" t="str">
        <f aca="false">'Indicator Master'!D280</f>
        <v>Provident fund deducted from wages but not deposited with EPFO</v>
      </c>
      <c r="D281" s="9" t="str">
        <f aca="false">'Indicator Master'!P280</f>
        <v>High</v>
      </c>
      <c r="E281" s="9" t="n">
        <f aca="false">'Indicator Master'!Q280</f>
        <v>7</v>
      </c>
      <c r="F281" s="36" t="s">
        <v>9124</v>
      </c>
      <c r="G281" s="9" t="n">
        <f aca="false">IF(UPPER(F281)="Y",E281,0)</f>
        <v>0</v>
      </c>
    </row>
    <row r="282" customFormat="false" ht="25.5" hidden="false" customHeight="true" outlineLevel="0" collapsed="false">
      <c r="A282" s="9" t="str">
        <f aca="false">'Indicator Master'!A281</f>
        <v>OPS-025</v>
      </c>
      <c r="B282" s="9" t="str">
        <f aca="false">'Indicator Master'!B281</f>
        <v>Operational Reality &amp; Physical Substance</v>
      </c>
      <c r="C282" s="10" t="str">
        <f aca="false">'Indicator Master'!D281</f>
        <v>No Shops and Establishment registration or municipal trade licence</v>
      </c>
      <c r="D282" s="9" t="str">
        <f aca="false">'Indicator Master'!P281</f>
        <v>Medium</v>
      </c>
      <c r="E282" s="9" t="n">
        <f aca="false">'Indicator Master'!Q281</f>
        <v>3</v>
      </c>
      <c r="F282" s="36" t="s">
        <v>9124</v>
      </c>
      <c r="G282" s="9" t="n">
        <f aca="false">IF(UPPER(F282)="Y",E282,0)</f>
        <v>0</v>
      </c>
    </row>
    <row r="283" customFormat="false" ht="25.5" hidden="false" customHeight="true" outlineLevel="0" collapsed="false">
      <c r="A283" s="9" t="str">
        <f aca="false">'Indicator Master'!A282</f>
        <v>OPS-026</v>
      </c>
      <c r="B283" s="9" t="str">
        <f aca="false">'Indicator Master'!B282</f>
        <v>Operational Reality &amp; Physical Substance</v>
      </c>
      <c r="C283" s="10" t="str">
        <f aca="false">'Indicator Master'!D282</f>
        <v>Sector licence absent for a regulated activity such as drugs, food or pollution consent</v>
      </c>
      <c r="D283" s="9" t="str">
        <f aca="false">'Indicator Master'!P282</f>
        <v>Critical</v>
      </c>
      <c r="E283" s="9" t="n">
        <f aca="false">'Indicator Master'!Q282</f>
        <v>9</v>
      </c>
      <c r="F283" s="36" t="s">
        <v>9124</v>
      </c>
      <c r="G283" s="9" t="n">
        <f aca="false">IF(UPPER(F283)="Y",E283,0)</f>
        <v>0</v>
      </c>
    </row>
    <row r="284" customFormat="false" ht="25.5" hidden="false" customHeight="true" outlineLevel="0" collapsed="false">
      <c r="A284" s="9" t="str">
        <f aca="false">'Indicator Master'!A283</f>
        <v>OPS-027</v>
      </c>
      <c r="B284" s="9" t="str">
        <f aca="false">'Indicator Master'!B283</f>
        <v>Operational Reality &amp; Physical Substance</v>
      </c>
      <c r="C284" s="10" t="str">
        <f aca="false">'Indicator Master'!D283</f>
        <v>No plant and machinery on the balance sheet for a declared manufacturing activity</v>
      </c>
      <c r="D284" s="9" t="str">
        <f aca="false">'Indicator Master'!P283</f>
        <v>Critical</v>
      </c>
      <c r="E284" s="9" t="n">
        <f aca="false">'Indicator Master'!Q283</f>
        <v>9</v>
      </c>
      <c r="F284" s="36" t="s">
        <v>9124</v>
      </c>
      <c r="G284" s="9" t="n">
        <f aca="false">IF(UPPER(F284)="Y",E284,0)</f>
        <v>0</v>
      </c>
    </row>
    <row r="285" customFormat="false" ht="25.5" hidden="false" customHeight="true" outlineLevel="0" collapsed="false">
      <c r="A285" s="9" t="str">
        <f aca="false">'Indicator Master'!A284</f>
        <v>OPS-028</v>
      </c>
      <c r="B285" s="9" t="str">
        <f aca="false">'Indicator Master'!B284</f>
        <v>Operational Reality &amp; Physical Substance</v>
      </c>
      <c r="C285" s="10" t="str">
        <f aca="false">'Indicator Master'!D284</f>
        <v>No owned vehicles or transport contracts for a declared logistics business</v>
      </c>
      <c r="D285" s="9" t="str">
        <f aca="false">'Indicator Master'!P284</f>
        <v>Medium</v>
      </c>
      <c r="E285" s="9" t="n">
        <f aca="false">'Indicator Master'!Q284</f>
        <v>5</v>
      </c>
      <c r="F285" s="36" t="s">
        <v>9124</v>
      </c>
      <c r="G285" s="9" t="n">
        <f aca="false">IF(UPPER(F285)="Y",E285,0)</f>
        <v>0</v>
      </c>
    </row>
    <row r="286" customFormat="false" ht="25.5" hidden="false" customHeight="true" outlineLevel="0" collapsed="false">
      <c r="A286" s="9" t="str">
        <f aca="false">'Indicator Master'!A285</f>
        <v>OPS-029</v>
      </c>
      <c r="B286" s="9" t="str">
        <f aca="false">'Indicator Master'!B285</f>
        <v>Operational Reality &amp; Physical Substance</v>
      </c>
      <c r="C286" s="10" t="str">
        <f aca="false">'Indicator Master'!D285</f>
        <v>No insurance on stock, plant or liability despite material assets at risk</v>
      </c>
      <c r="D286" s="9" t="str">
        <f aca="false">'Indicator Master'!P285</f>
        <v>Medium</v>
      </c>
      <c r="E286" s="9" t="n">
        <f aca="false">'Indicator Master'!Q285</f>
        <v>4</v>
      </c>
      <c r="F286" s="36" t="s">
        <v>9124</v>
      </c>
      <c r="G286" s="9" t="n">
        <f aca="false">IF(UPPER(F286)="Y",E286,0)</f>
        <v>0</v>
      </c>
    </row>
    <row r="287" customFormat="false" ht="25.5" hidden="false" customHeight="true" outlineLevel="0" collapsed="false">
      <c r="A287" s="9" t="str">
        <f aca="false">'Indicator Master'!A286</f>
        <v>OPS-030</v>
      </c>
      <c r="B287" s="9" t="str">
        <f aca="false">'Indicator Master'!B286</f>
        <v>Operational Reality &amp; Physical Substance</v>
      </c>
      <c r="C287" s="10" t="str">
        <f aca="false">'Indicator Master'!D286</f>
        <v>No software, cloud or IT spend for a declared technology business</v>
      </c>
      <c r="D287" s="9" t="str">
        <f aca="false">'Indicator Master'!P286</f>
        <v>Medium</v>
      </c>
      <c r="E287" s="9" t="n">
        <f aca="false">'Indicator Master'!Q286</f>
        <v>5</v>
      </c>
      <c r="F287" s="36" t="s">
        <v>9124</v>
      </c>
      <c r="G287" s="9" t="n">
        <f aca="false">IF(UPPER(F287)="Y",E287,0)</f>
        <v>0</v>
      </c>
    </row>
    <row r="288" customFormat="false" ht="25.5" hidden="false" customHeight="true" outlineLevel="0" collapsed="false">
      <c r="A288" s="9" t="str">
        <f aca="false">'Indicator Master'!A287</f>
        <v>OPS-031</v>
      </c>
      <c r="B288" s="9" t="str">
        <f aca="false">'Indicator Master'!B287</f>
        <v>Operational Reality &amp; Physical Substance</v>
      </c>
      <c r="C288" s="10" t="str">
        <f aca="false">'Indicator Master'!D287</f>
        <v>No website, or domain registered after the first large invoice was raised</v>
      </c>
      <c r="D288" s="9" t="str">
        <f aca="false">'Indicator Master'!P287</f>
        <v>High</v>
      </c>
      <c r="E288" s="9" t="n">
        <f aca="false">'Indicator Master'!Q287</f>
        <v>6</v>
      </c>
      <c r="F288" s="36" t="s">
        <v>9124</v>
      </c>
      <c r="G288" s="9" t="n">
        <f aca="false">IF(UPPER(F288)="Y",E288,0)</f>
        <v>0</v>
      </c>
    </row>
    <row r="289" customFormat="false" ht="25.5" hidden="false" customHeight="true" outlineLevel="0" collapsed="false">
      <c r="A289" s="9" t="str">
        <f aca="false">'Indicator Master'!A288</f>
        <v>OPS-032</v>
      </c>
      <c r="B289" s="9" t="str">
        <f aca="false">'Indicator Master'!B288</f>
        <v>Operational Reality &amp; Physical Substance</v>
      </c>
      <c r="C289" s="10" t="str">
        <f aca="false">'Indicator Master'!D288</f>
        <v>Website content copied from another site or built entirely from stock imagery</v>
      </c>
      <c r="D289" s="9" t="str">
        <f aca="false">'Indicator Master'!P288</f>
        <v>Medium</v>
      </c>
      <c r="E289" s="9" t="n">
        <f aca="false">'Indicator Master'!Q288</f>
        <v>4</v>
      </c>
      <c r="F289" s="36" t="s">
        <v>9124</v>
      </c>
      <c r="G289" s="9" t="n">
        <f aca="false">IF(UPPER(F289)="Y",E289,0)</f>
        <v>0</v>
      </c>
    </row>
    <row r="290" customFormat="false" ht="25.5" hidden="false" customHeight="true" outlineLevel="0" collapsed="false">
      <c r="A290" s="9" t="str">
        <f aca="false">'Indicator Master'!A289</f>
        <v>OPS-033</v>
      </c>
      <c r="B290" s="9" t="str">
        <f aca="false">'Indicator Master'!B289</f>
        <v>Operational Reality &amp; Physical Substance</v>
      </c>
      <c r="C290" s="10" t="str">
        <f aca="false">'Indicator Master'!D289</f>
        <v>No listed landline or a contact number that is VoIP or virtual only</v>
      </c>
      <c r="D290" s="9" t="str">
        <f aca="false">'Indicator Master'!P289</f>
        <v>Low</v>
      </c>
      <c r="E290" s="9" t="n">
        <f aca="false">'Indicator Master'!Q289</f>
        <v>2</v>
      </c>
      <c r="F290" s="36" t="s">
        <v>9124</v>
      </c>
      <c r="G290" s="9" t="n">
        <f aca="false">IF(UPPER(F290)="Y",E290,0)</f>
        <v>0</v>
      </c>
    </row>
    <row r="291" customFormat="false" ht="25.5" hidden="false" customHeight="true" outlineLevel="0" collapsed="false">
      <c r="A291" s="9" t="str">
        <f aca="false">'Indicator Master'!A290</f>
        <v>OPS-034</v>
      </c>
      <c r="B291" s="9" t="str">
        <f aca="false">'Indicator Master'!B290</f>
        <v>Operational Reality &amp; Physical Substance</v>
      </c>
      <c r="C291" s="10" t="str">
        <f aca="false">'Indicator Master'!D290</f>
        <v>Business correspondence on free webmail despite large turnover</v>
      </c>
      <c r="D291" s="9" t="str">
        <f aca="false">'Indicator Master'!P290</f>
        <v>Medium</v>
      </c>
      <c r="E291" s="9" t="n">
        <f aca="false">'Indicator Master'!Q290</f>
        <v>3</v>
      </c>
      <c r="F291" s="36" t="s">
        <v>9124</v>
      </c>
      <c r="G291" s="9" t="n">
        <f aca="false">IF(UPPER(F291)="Y",E291,0)</f>
        <v>0</v>
      </c>
    </row>
    <row r="292" customFormat="false" ht="25.5" hidden="false" customHeight="true" outlineLevel="0" collapsed="false">
      <c r="A292" s="9" t="str">
        <f aca="false">'Indicator Master'!A291</f>
        <v>OPS-035</v>
      </c>
      <c r="B292" s="9" t="str">
        <f aca="false">'Indicator Master'!B291</f>
        <v>Operational Reality &amp; Physical Substance</v>
      </c>
      <c r="C292" s="10" t="str">
        <f aca="false">'Indicator Master'!D291</f>
        <v>No trademark, patent or design registration for a claimed brand business</v>
      </c>
      <c r="D292" s="9" t="str">
        <f aca="false">'Indicator Master'!P291</f>
        <v>Low</v>
      </c>
      <c r="E292" s="9" t="n">
        <f aca="false">'Indicator Master'!Q291</f>
        <v>2</v>
      </c>
      <c r="F292" s="36" t="s">
        <v>9124</v>
      </c>
      <c r="G292" s="9" t="n">
        <f aca="false">IF(UPPER(F292)="Y",E292,0)</f>
        <v>0</v>
      </c>
    </row>
    <row r="293" customFormat="false" ht="25.5" hidden="false" customHeight="true" outlineLevel="0" collapsed="false">
      <c r="A293" s="9" t="str">
        <f aca="false">'Indicator Master'!A292</f>
        <v>OPS-036</v>
      </c>
      <c r="B293" s="9" t="str">
        <f aca="false">'Indicator Master'!B292</f>
        <v>Operational Reality &amp; Physical Substance</v>
      </c>
      <c r="C293" s="10" t="str">
        <f aca="false">'Indicator Master'!D292</f>
        <v>No presence on trade, procurement or industry portals despite claimed market activity</v>
      </c>
      <c r="D293" s="9" t="str">
        <f aca="false">'Indicator Master'!P292</f>
        <v>Low</v>
      </c>
      <c r="E293" s="9" t="n">
        <f aca="false">'Indicator Master'!Q292</f>
        <v>2</v>
      </c>
      <c r="F293" s="36" t="s">
        <v>9124</v>
      </c>
      <c r="G293" s="9" t="n">
        <f aca="false">IF(UPPER(F293)="Y",E293,0)</f>
        <v>0</v>
      </c>
    </row>
    <row r="294" customFormat="false" ht="25.5" hidden="false" customHeight="true" outlineLevel="0" collapsed="false">
      <c r="A294" s="9" t="str">
        <f aca="false">'Indicator Master'!A293</f>
        <v>OPS-037</v>
      </c>
      <c r="B294" s="9" t="str">
        <f aca="false">'Indicator Master'!B293</f>
        <v>Operational Reality &amp; Physical Substance</v>
      </c>
      <c r="C294" s="10" t="str">
        <f aca="false">'Indicator Master'!D293</f>
        <v>Almost no employee profiles online against a large claimed white-collar headcount</v>
      </c>
      <c r="D294" s="9" t="str">
        <f aca="false">'Indicator Master'!P293</f>
        <v>Medium</v>
      </c>
      <c r="E294" s="9" t="n">
        <f aca="false">'Indicator Master'!Q293</f>
        <v>4</v>
      </c>
      <c r="F294" s="36" t="s">
        <v>9124</v>
      </c>
      <c r="G294" s="9" t="n">
        <f aca="false">IF(UPPER(F294)="Y",E294,0)</f>
        <v>0</v>
      </c>
    </row>
    <row r="295" customFormat="false" ht="25.5" hidden="false" customHeight="true" outlineLevel="0" collapsed="false">
      <c r="A295" s="9" t="str">
        <f aca="false">'Indicator Master'!A294</f>
        <v>OPS-038</v>
      </c>
      <c r="B295" s="9" t="str">
        <f aca="false">'Indicator Master'!B294</f>
        <v>Operational Reality &amp; Physical Substance</v>
      </c>
      <c r="C295" s="10" t="str">
        <f aca="false">'Indicator Master'!D294</f>
        <v>Udyam MSME size band contradicts turnover and investment in filings</v>
      </c>
      <c r="D295" s="9" t="str">
        <f aca="false">'Indicator Master'!P294</f>
        <v>Medium</v>
      </c>
      <c r="E295" s="9" t="n">
        <f aca="false">'Indicator Master'!Q294</f>
        <v>5</v>
      </c>
      <c r="F295" s="36" t="s">
        <v>9124</v>
      </c>
      <c r="G295" s="9" t="n">
        <f aca="false">IF(UPPER(F295)="Y",E295,0)</f>
        <v>0</v>
      </c>
    </row>
    <row r="296" customFormat="false" ht="25.5" hidden="false" customHeight="true" outlineLevel="0" collapsed="false">
      <c r="A296" s="9" t="str">
        <f aca="false">'Indicator Master'!A295</f>
        <v>OPS-039</v>
      </c>
      <c r="B296" s="9" t="str">
        <f aca="false">'Indicator Master'!B295</f>
        <v>Operational Reality &amp; Physical Substance</v>
      </c>
      <c r="C296" s="10" t="str">
        <f aca="false">'Indicator Master'!D295</f>
        <v>Entity incorporated shortly before the tender or allotment it went on to win</v>
      </c>
      <c r="D296" s="9" t="str">
        <f aca="false">'Indicator Master'!P295</f>
        <v>Critical</v>
      </c>
      <c r="E296" s="9" t="n">
        <f aca="false">'Indicator Master'!Q295</f>
        <v>9</v>
      </c>
      <c r="F296" s="36" t="s">
        <v>9124</v>
      </c>
      <c r="G296" s="9" t="n">
        <f aca="false">IF(UPPER(F296)="Y",E296,0)</f>
        <v>0</v>
      </c>
    </row>
    <row r="297" customFormat="false" ht="25.5" hidden="false" customHeight="true" outlineLevel="0" collapsed="false">
      <c r="A297" s="9" t="str">
        <f aca="false">'Indicator Master'!A296</f>
        <v>OPS-040</v>
      </c>
      <c r="B297" s="9" t="str">
        <f aca="false">'Indicator Master'!B296</f>
        <v>Operational Reality &amp; Physical Substance</v>
      </c>
      <c r="C297" s="10" t="str">
        <f aca="false">'Indicator Master'!D296</f>
        <v>Turnover concentrated in a 6 to 18 month burst followed by dormancy</v>
      </c>
      <c r="D297" s="9" t="str">
        <f aca="false">'Indicator Master'!P296</f>
        <v>Critical</v>
      </c>
      <c r="E297" s="9" t="n">
        <f aca="false">'Indicator Master'!Q296</f>
        <v>9</v>
      </c>
      <c r="F297" s="36" t="s">
        <v>9124</v>
      </c>
      <c r="G297" s="9" t="n">
        <f aca="false">IF(UPPER(F297)="Y",E297,0)</f>
        <v>0</v>
      </c>
    </row>
    <row r="298" customFormat="false" ht="25.5" hidden="false" customHeight="true" outlineLevel="0" collapsed="false">
      <c r="A298" s="9" t="str">
        <f aca="false">'Indicator Master'!A297</f>
        <v>OPS-041</v>
      </c>
      <c r="B298" s="9" t="str">
        <f aca="false">'Indicator Master'!B297</f>
        <v>Operational Reality &amp; Physical Substance</v>
      </c>
      <c r="C298" s="10" t="str">
        <f aca="false">'Indicator Master'!D297</f>
        <v>Three or more dormant years followed by a sudden large turnover surge</v>
      </c>
      <c r="D298" s="9" t="str">
        <f aca="false">'Indicator Master'!P297</f>
        <v>High</v>
      </c>
      <c r="E298" s="9" t="n">
        <f aca="false">'Indicator Master'!Q297</f>
        <v>8</v>
      </c>
      <c r="F298" s="36" t="s">
        <v>9124</v>
      </c>
      <c r="G298" s="9" t="n">
        <f aca="false">IF(UPPER(F298)="Y",E298,0)</f>
        <v>0</v>
      </c>
    </row>
    <row r="299" customFormat="false" ht="25.5" hidden="false" customHeight="true" outlineLevel="0" collapsed="false">
      <c r="A299" s="9" t="str">
        <f aca="false">'Indicator Master'!A298</f>
        <v>OPS-042</v>
      </c>
      <c r="B299" s="9" t="str">
        <f aca="false">'Indicator Master'!B298</f>
        <v>Operational Reality &amp; Physical Substance</v>
      </c>
      <c r="C299" s="10" t="str">
        <f aca="false">'Indicator Master'!D298</f>
        <v>Heavy trading followed by a strike-off application within three years</v>
      </c>
      <c r="D299" s="9" t="str">
        <f aca="false">'Indicator Master'!P298</f>
        <v>High</v>
      </c>
      <c r="E299" s="9" t="n">
        <f aca="false">'Indicator Master'!Q298</f>
        <v>8</v>
      </c>
      <c r="F299" s="36" t="s">
        <v>9124</v>
      </c>
      <c r="G299" s="9" t="n">
        <f aca="false">IF(UPPER(F299)="Y",E299,0)</f>
        <v>0</v>
      </c>
    </row>
    <row r="300" customFormat="false" ht="25.5" hidden="false" customHeight="true" outlineLevel="0" collapsed="false">
      <c r="A300" s="9" t="str">
        <f aca="false">'Indicator Master'!A299</f>
        <v>TRD-001</v>
      </c>
      <c r="B300" s="9" t="str">
        <f aca="false">'Indicator Master'!B299</f>
        <v>Trade, Customs &amp; Cross-Border</v>
      </c>
      <c r="C300" s="10" t="str">
        <f aca="false">'Indicator Master'!D299</f>
        <v>Import unit price far above the customs reference price for the same tariff heading</v>
      </c>
      <c r="D300" s="9" t="str">
        <f aca="false">'Indicator Master'!P299</f>
        <v>High</v>
      </c>
      <c r="E300" s="9" t="n">
        <f aca="false">'Indicator Master'!Q299</f>
        <v>7</v>
      </c>
      <c r="F300" s="36" t="s">
        <v>9124</v>
      </c>
      <c r="G300" s="9" t="n">
        <f aca="false">IF(UPPER(F300)="Y",E300,0)</f>
        <v>0</v>
      </c>
    </row>
    <row r="301" customFormat="false" ht="25.5" hidden="false" customHeight="true" outlineLevel="0" collapsed="false">
      <c r="A301" s="9" t="str">
        <f aca="false">'Indicator Master'!A300</f>
        <v>TRD-002</v>
      </c>
      <c r="B301" s="9" t="str">
        <f aca="false">'Indicator Master'!B300</f>
        <v>Trade, Customs &amp; Cross-Border</v>
      </c>
      <c r="C301" s="10" t="str">
        <f aca="false">'Indicator Master'!D300</f>
        <v>Declared unit price far below the customs reference or market price for the goods</v>
      </c>
      <c r="D301" s="9" t="str">
        <f aca="false">'Indicator Master'!P300</f>
        <v>High</v>
      </c>
      <c r="E301" s="9" t="n">
        <f aca="false">'Indicator Master'!Q300</f>
        <v>7</v>
      </c>
      <c r="F301" s="36" t="s">
        <v>9124</v>
      </c>
      <c r="G301" s="9" t="n">
        <f aca="false">IF(UPPER(F301)="Y",E301,0)</f>
        <v>0</v>
      </c>
    </row>
    <row r="302" customFormat="false" ht="25.5" hidden="false" customHeight="true" outlineLevel="0" collapsed="false">
      <c r="A302" s="9" t="str">
        <f aca="false">'Indicator Master'!A301</f>
        <v>TRD-003</v>
      </c>
      <c r="B302" s="9" t="str">
        <f aca="false">'Indicator Master'!B301</f>
        <v>Trade, Customs &amp; Cross-Border</v>
      </c>
      <c r="C302" s="10" t="str">
        <f aca="false">'Indicator Master'!D301</f>
        <v>Weight-to-value ratio implausible for the declared commodity</v>
      </c>
      <c r="D302" s="9" t="str">
        <f aca="false">'Indicator Master'!P301</f>
        <v>Medium</v>
      </c>
      <c r="E302" s="9" t="n">
        <f aca="false">'Indicator Master'!Q301</f>
        <v>5</v>
      </c>
      <c r="F302" s="36" t="s">
        <v>9124</v>
      </c>
      <c r="G302" s="9" t="n">
        <f aca="false">IF(UPPER(F302)="Y",E302,0)</f>
        <v>0</v>
      </c>
    </row>
    <row r="303" customFormat="false" ht="25.5" hidden="false" customHeight="true" outlineLevel="0" collapsed="false">
      <c r="A303" s="9" t="str">
        <f aca="false">'Indicator Master'!A302</f>
        <v>TRD-004</v>
      </c>
      <c r="B303" s="9" t="str">
        <f aca="false">'Indicator Master'!B302</f>
        <v>Trade, Customs &amp; Cross-Border</v>
      </c>
      <c r="C303" s="10" t="str">
        <f aca="false">'Indicator Master'!D302</f>
        <v>HS or RITC code declared does not match the written goods description</v>
      </c>
      <c r="D303" s="9" t="str">
        <f aca="false">'Indicator Master'!P302</f>
        <v>Medium</v>
      </c>
      <c r="E303" s="9" t="n">
        <f aca="false">'Indicator Master'!Q302</f>
        <v>4</v>
      </c>
      <c r="F303" s="36" t="s">
        <v>9124</v>
      </c>
      <c r="G303" s="9" t="n">
        <f aca="false">IF(UPPER(F303)="Y",E303,0)</f>
        <v>0</v>
      </c>
    </row>
    <row r="304" customFormat="false" ht="25.5" hidden="false" customHeight="true" outlineLevel="0" collapsed="false">
      <c r="A304" s="9" t="str">
        <f aca="false">'Indicator Master'!A303</f>
        <v>TRD-005</v>
      </c>
      <c r="B304" s="9" t="str">
        <f aca="false">'Indicator Master'!B303</f>
        <v>Trade, Customs &amp; Cross-Border</v>
      </c>
      <c r="C304" s="10" t="str">
        <f aca="false">'Indicator Master'!D303</f>
        <v>Goods description differs across the shipping bill, bill of lading and commercial invoice</v>
      </c>
      <c r="D304" s="9" t="str">
        <f aca="false">'Indicator Master'!P303</f>
        <v>High</v>
      </c>
      <c r="E304" s="9" t="n">
        <f aca="false">'Indicator Master'!Q303</f>
        <v>6</v>
      </c>
      <c r="F304" s="36" t="s">
        <v>9124</v>
      </c>
      <c r="G304" s="9" t="n">
        <f aca="false">IF(UPPER(F304)="Y",E304,0)</f>
        <v>0</v>
      </c>
    </row>
    <row r="305" customFormat="false" ht="25.5" hidden="false" customHeight="true" outlineLevel="0" collapsed="false">
      <c r="A305" s="9" t="str">
        <f aca="false">'Indicator Master'!A304</f>
        <v>TRD-006</v>
      </c>
      <c r="B305" s="9" t="str">
        <f aca="false">'Indicator Master'!B304</f>
        <v>Trade, Customs &amp; Cross-Border</v>
      </c>
      <c r="C305" s="10" t="str">
        <f aca="false">'Indicator Master'!D304</f>
        <v>Declared quantity or volume exceeds the capacity of the containers or vessel booked</v>
      </c>
      <c r="D305" s="9" t="str">
        <f aca="false">'Indicator Master'!P304</f>
        <v>Critical</v>
      </c>
      <c r="E305" s="9" t="n">
        <f aca="false">'Indicator Master'!Q304</f>
        <v>9</v>
      </c>
      <c r="F305" s="36" t="s">
        <v>9124</v>
      </c>
      <c r="G305" s="9" t="n">
        <f aca="false">IF(UPPER(F305)="Y",E305,0)</f>
        <v>0</v>
      </c>
    </row>
    <row r="306" customFormat="false" ht="25.5" hidden="false" customHeight="true" outlineLevel="0" collapsed="false">
      <c r="A306" s="9" t="str">
        <f aca="false">'Indicator Master'!A305</f>
        <v>TRD-007</v>
      </c>
      <c r="B306" s="9" t="str">
        <f aca="false">'Indicator Master'!B305</f>
        <v>Trade, Customs &amp; Cross-Border</v>
      </c>
      <c r="C306" s="10" t="str">
        <f aca="false">'Indicator Master'!D305</f>
        <v>Goods exported to a destination with no realistic market or consumption for them</v>
      </c>
      <c r="D306" s="9" t="str">
        <f aca="false">'Indicator Master'!P305</f>
        <v>Medium</v>
      </c>
      <c r="E306" s="9" t="n">
        <f aca="false">'Indicator Master'!Q305</f>
        <v>4</v>
      </c>
      <c r="F306" s="36" t="s">
        <v>9124</v>
      </c>
      <c r="G306" s="9" t="n">
        <f aca="false">IF(UPPER(F306)="Y",E306,0)</f>
        <v>0</v>
      </c>
    </row>
    <row r="307" customFormat="false" ht="25.5" hidden="false" customHeight="true" outlineLevel="0" collapsed="false">
      <c r="A307" s="9" t="str">
        <f aca="false">'Indicator Master'!A306</f>
        <v>TRD-008</v>
      </c>
      <c r="B307" s="9" t="str">
        <f aca="false">'Indicator Master'!B306</f>
        <v>Trade, Customs &amp; Cross-Border</v>
      </c>
      <c r="C307" s="10" t="str">
        <f aca="false">'Indicator Master'!D306</f>
        <v>Letter of credit amended repeatedly, especially in beneficiary or amount</v>
      </c>
      <c r="D307" s="9" t="str">
        <f aca="false">'Indicator Master'!P306</f>
        <v>Medium</v>
      </c>
      <c r="E307" s="9" t="n">
        <f aca="false">'Indicator Master'!Q306</f>
        <v>5</v>
      </c>
      <c r="F307" s="36" t="s">
        <v>9124</v>
      </c>
      <c r="G307" s="9" t="n">
        <f aca="false">IF(UPPER(F307)="Y",E307,0)</f>
        <v>0</v>
      </c>
    </row>
    <row r="308" customFormat="false" ht="25.5" hidden="false" customHeight="true" outlineLevel="0" collapsed="false">
      <c r="A308" s="9" t="str">
        <f aca="false">'Indicator Master'!A307</f>
        <v>TRD-009</v>
      </c>
      <c r="B308" s="9" t="str">
        <f aca="false">'Indicator Master'!B307</f>
        <v>Trade, Customs &amp; Cross-Border</v>
      </c>
      <c r="C308" s="10" t="str">
        <f aca="false">'Indicator Master'!D307</f>
        <v>Same shipment documents financed at two or more banks (double financing)</v>
      </c>
      <c r="D308" s="9" t="str">
        <f aca="false">'Indicator Master'!P307</f>
        <v>Critical</v>
      </c>
      <c r="E308" s="9" t="n">
        <f aca="false">'Indicator Master'!Q307</f>
        <v>9</v>
      </c>
      <c r="F308" s="36" t="s">
        <v>9124</v>
      </c>
      <c r="G308" s="9" t="n">
        <f aca="false">IF(UPPER(F308)="Y",E308,0)</f>
        <v>0</v>
      </c>
    </row>
    <row r="309" customFormat="false" ht="25.5" hidden="false" customHeight="true" outlineLevel="0" collapsed="false">
      <c r="A309" s="9" t="str">
        <f aca="false">'Indicator Master'!A308</f>
        <v>TRD-010</v>
      </c>
      <c r="B309" s="9" t="str">
        <f aca="false">'Indicator Master'!B308</f>
        <v>Trade, Customs &amp; Cross-Border</v>
      </c>
      <c r="C309" s="10" t="str">
        <f aca="false">'Indicator Master'!D308</f>
        <v>Invoice, packing list and bill of lading issued by parties sharing an address or director</v>
      </c>
      <c r="D309" s="9" t="str">
        <f aca="false">'Indicator Master'!P308</f>
        <v>High</v>
      </c>
      <c r="E309" s="9" t="n">
        <f aca="false">'Indicator Master'!Q308</f>
        <v>7</v>
      </c>
      <c r="F309" s="36" t="s">
        <v>9124</v>
      </c>
      <c r="G309" s="9" t="n">
        <f aca="false">IF(UPPER(F309)="Y",E309,0)</f>
        <v>0</v>
      </c>
    </row>
    <row r="310" customFormat="false" ht="25.5" hidden="false" customHeight="true" outlineLevel="0" collapsed="false">
      <c r="A310" s="9" t="str">
        <f aca="false">'Indicator Master'!A309</f>
        <v>TRD-011</v>
      </c>
      <c r="B310" s="9" t="str">
        <f aca="false">'Indicator Master'!B309</f>
        <v>Trade, Customs &amp; Cross-Border</v>
      </c>
      <c r="C310" s="10" t="str">
        <f aca="false">'Indicator Master'!D309</f>
        <v>Trade settled by third-party payment from an unrelated entity in a third country</v>
      </c>
      <c r="D310" s="9" t="str">
        <f aca="false">'Indicator Master'!P309</f>
        <v>High</v>
      </c>
      <c r="E310" s="9" t="n">
        <f aca="false">'Indicator Master'!Q309</f>
        <v>7</v>
      </c>
      <c r="F310" s="36" t="s">
        <v>9124</v>
      </c>
      <c r="G310" s="9" t="n">
        <f aca="false">IF(UPPER(F310)="Y",E310,0)</f>
        <v>0</v>
      </c>
    </row>
    <row r="311" customFormat="false" ht="25.5" hidden="false" customHeight="true" outlineLevel="0" collapsed="false">
      <c r="A311" s="9" t="str">
        <f aca="false">'Indicator Master'!A310</f>
        <v>TRD-012</v>
      </c>
      <c r="B311" s="9" t="str">
        <f aca="false">'Indicator Master'!B310</f>
        <v>Trade, Customs &amp; Cross-Border</v>
      </c>
      <c r="C311" s="10" t="str">
        <f aca="false">'Indicator Master'!D310</f>
        <v>High-value trade in TBML-prone commodities by an entity with no operating substance</v>
      </c>
      <c r="D311" s="9" t="str">
        <f aca="false">'Indicator Master'!P310</f>
        <v>Medium</v>
      </c>
      <c r="E311" s="9" t="n">
        <f aca="false">'Indicator Master'!Q310</f>
        <v>5</v>
      </c>
      <c r="F311" s="36" t="s">
        <v>9124</v>
      </c>
      <c r="G311" s="9" t="n">
        <f aca="false">IF(UPPER(F311)="Y",E311,0)</f>
        <v>0</v>
      </c>
    </row>
    <row r="312" customFormat="false" ht="25.5" hidden="false" customHeight="true" outlineLevel="0" collapsed="false">
      <c r="A312" s="9" t="str">
        <f aca="false">'Indicator Master'!A311</f>
        <v>TRD-013</v>
      </c>
      <c r="B312" s="9" t="str">
        <f aca="false">'Indicator Master'!B311</f>
        <v>Trade, Customs &amp; Cross-Border</v>
      </c>
      <c r="C312" s="10" t="str">
        <f aca="false">'Indicator Master'!D311</f>
        <v>Vessel tracking shows the named vessel was not at the declared port on the declared date</v>
      </c>
      <c r="D312" s="9" t="str">
        <f aca="false">'Indicator Master'!P311</f>
        <v>Critical</v>
      </c>
      <c r="E312" s="9" t="n">
        <f aca="false">'Indicator Master'!Q311</f>
        <v>10</v>
      </c>
      <c r="F312" s="36" t="s">
        <v>9124</v>
      </c>
      <c r="G312" s="9" t="n">
        <f aca="false">IF(UPPER(F312)="Y",E312,0)</f>
        <v>0</v>
      </c>
    </row>
    <row r="313" customFormat="false" ht="25.5" hidden="false" customHeight="true" outlineLevel="0" collapsed="false">
      <c r="A313" s="9" t="str">
        <f aca="false">'Indicator Master'!A312</f>
        <v>TRD-014</v>
      </c>
      <c r="B313" s="9" t="str">
        <f aca="false">'Indicator Master'!B312</f>
        <v>Trade, Customs &amp; Cross-Border</v>
      </c>
      <c r="C313" s="10" t="str">
        <f aca="false">'Indicator Master'!D312</f>
        <v>Bill of lading number invalid, unverifiable with the carrier, or reused</v>
      </c>
      <c r="D313" s="9" t="str">
        <f aca="false">'Indicator Master'!P312</f>
        <v>High</v>
      </c>
      <c r="E313" s="9" t="n">
        <f aca="false">'Indicator Master'!Q312</f>
        <v>8</v>
      </c>
      <c r="F313" s="36" t="s">
        <v>9124</v>
      </c>
      <c r="G313" s="9" t="n">
        <f aca="false">IF(UPPER(F313)="Y",E313,0)</f>
        <v>0</v>
      </c>
    </row>
    <row r="314" customFormat="false" ht="25.5" hidden="false" customHeight="true" outlineLevel="0" collapsed="false">
      <c r="A314" s="9" t="str">
        <f aca="false">'Indicator Master'!A313</f>
        <v>TRD-015</v>
      </c>
      <c r="B314" s="9" t="str">
        <f aca="false">'Indicator Master'!B313</f>
        <v>Trade, Customs &amp; Cross-Border</v>
      </c>
      <c r="C314" s="10" t="str">
        <f aca="false">'Indicator Master'!D313</f>
        <v>Freight and insurance out of proportion to the declared cargo value</v>
      </c>
      <c r="D314" s="9" t="str">
        <f aca="false">'Indicator Master'!P313</f>
        <v>Low</v>
      </c>
      <c r="E314" s="9" t="n">
        <f aca="false">'Indicator Master'!Q313</f>
        <v>2</v>
      </c>
      <c r="F314" s="36" t="s">
        <v>9124</v>
      </c>
      <c r="G314" s="9" t="n">
        <f aca="false">IF(UPPER(F314)="Y",E314,0)</f>
        <v>0</v>
      </c>
    </row>
    <row r="315" customFormat="false" ht="25.5" hidden="false" customHeight="true" outlineLevel="0" collapsed="false">
      <c r="A315" s="9" t="str">
        <f aca="false">'Indicator Master'!A314</f>
        <v>TRD-016</v>
      </c>
      <c r="B315" s="9" t="str">
        <f aca="false">'Indicator Master'!B314</f>
        <v>Trade, Customs &amp; Cross-Border</v>
      </c>
      <c r="C315" s="10" t="str">
        <f aca="false">'Indicator Master'!D314</f>
        <v>Trade counterparty registered in a secrecy or FATF-listed high-risk jurisdiction</v>
      </c>
      <c r="D315" s="9" t="str">
        <f aca="false">'Indicator Master'!P314</f>
        <v>Low</v>
      </c>
      <c r="E315" s="9" t="n">
        <f aca="false">'Indicator Master'!Q314</f>
        <v>2</v>
      </c>
      <c r="F315" s="36" t="s">
        <v>9124</v>
      </c>
      <c r="G315" s="9" t="n">
        <f aca="false">IF(UPPER(F315)="Y",E315,0)</f>
        <v>0</v>
      </c>
    </row>
    <row r="316" customFormat="false" ht="25.5" hidden="false" customHeight="true" outlineLevel="0" collapsed="false">
      <c r="A316" s="9" t="str">
        <f aca="false">'Indicator Master'!A315</f>
        <v>TRD-017</v>
      </c>
      <c r="B316" s="9" t="str">
        <f aca="false">'Indicator Master'!B315</f>
        <v>Trade, Customs &amp; Cross-Border</v>
      </c>
      <c r="C316" s="10" t="str">
        <f aca="false">'Indicator Master'!D315</f>
        <v>Shipment routed through a country with no commercial logic or no seaport</v>
      </c>
      <c r="D316" s="9" t="str">
        <f aca="false">'Indicator Master'!P315</f>
        <v>Medium</v>
      </c>
      <c r="E316" s="9" t="n">
        <f aca="false">'Indicator Master'!Q315</f>
        <v>4</v>
      </c>
      <c r="F316" s="36" t="s">
        <v>9124</v>
      </c>
      <c r="G316" s="9" t="n">
        <f aca="false">IF(UPPER(F316)="Y",E316,0)</f>
        <v>0</v>
      </c>
    </row>
    <row r="317" customFormat="false" ht="25.5" hidden="false" customHeight="true" outlineLevel="0" collapsed="false">
      <c r="A317" s="9" t="str">
        <f aca="false">'Indicator Master'!A316</f>
        <v>TRD-018</v>
      </c>
      <c r="B317" s="9" t="str">
        <f aca="false">'Indicator Master'!B316</f>
        <v>Trade, Customs &amp; Cross-Border</v>
      </c>
      <c r="C317" s="10" t="str">
        <f aca="false">'Indicator Master'!D316</f>
        <v>Transhipment or re-invoicing cost exceeds the trading margin on the cargo</v>
      </c>
      <c r="D317" s="9" t="str">
        <f aca="false">'Indicator Master'!P316</f>
        <v>Low</v>
      </c>
      <c r="E317" s="9" t="n">
        <f aca="false">'Indicator Master'!Q316</f>
        <v>2</v>
      </c>
      <c r="F317" s="36" t="s">
        <v>9124</v>
      </c>
      <c r="G317" s="9" t="n">
        <f aca="false">IF(UPPER(F317)="Y",E317,0)</f>
        <v>0</v>
      </c>
    </row>
    <row r="318" customFormat="false" ht="25.5" hidden="false" customHeight="true" outlineLevel="0" collapsed="false">
      <c r="A318" s="9" t="str">
        <f aca="false">'Indicator Master'!A317</f>
        <v>TRD-019</v>
      </c>
      <c r="B318" s="9" t="str">
        <f aca="false">'Indicator Master'!B317</f>
        <v>Trade, Customs &amp; Cross-Border</v>
      </c>
      <c r="C318" s="10" t="str">
        <f aca="false">'Indicator Master'!D317</f>
        <v>Import from a related party priced well above comparable third-party imports</v>
      </c>
      <c r="D318" s="9" t="str">
        <f aca="false">'Indicator Master'!P317</f>
        <v>High</v>
      </c>
      <c r="E318" s="9" t="n">
        <f aca="false">'Indicator Master'!Q317</f>
        <v>7</v>
      </c>
      <c r="F318" s="36" t="s">
        <v>9124</v>
      </c>
      <c r="G318" s="9" t="n">
        <f aca="false">IF(UPPER(F318)="Y",E318,0)</f>
        <v>0</v>
      </c>
    </row>
    <row r="319" customFormat="false" ht="25.5" hidden="false" customHeight="true" outlineLevel="0" collapsed="false">
      <c r="A319" s="9" t="str">
        <f aca="false">'Indicator Master'!A318</f>
        <v>TRD-020</v>
      </c>
      <c r="B319" s="9" t="str">
        <f aca="false">'Indicator Master'!B318</f>
        <v>Trade, Customs &amp; Cross-Border</v>
      </c>
      <c r="C319" s="10" t="str">
        <f aca="false">'Indicator Master'!D318</f>
        <v>Export to a related party priced well below comparable third-party exports</v>
      </c>
      <c r="D319" s="9" t="str">
        <f aca="false">'Indicator Master'!P318</f>
        <v>High</v>
      </c>
      <c r="E319" s="9" t="n">
        <f aca="false">'Indicator Master'!Q318</f>
        <v>7</v>
      </c>
      <c r="F319" s="36" t="s">
        <v>9124</v>
      </c>
      <c r="G319" s="9" t="n">
        <f aca="false">IF(UPPER(F319)="Y",E319,0)</f>
        <v>0</v>
      </c>
    </row>
    <row r="320" customFormat="false" ht="25.5" hidden="false" customHeight="true" outlineLevel="0" collapsed="false">
      <c r="A320" s="9" t="str">
        <f aca="false">'Indicator Master'!A319</f>
        <v>TRD-021</v>
      </c>
      <c r="B320" s="9" t="str">
        <f aca="false">'Indicator Master'!B319</f>
        <v>Trade, Customs &amp; Cross-Border</v>
      </c>
      <c r="C320" s="10" t="str">
        <f aca="false">'Indicator Master'!D319</f>
        <v>Export proceeds not realised within the FEMA period and outstanding in EDPMS</v>
      </c>
      <c r="D320" s="9" t="str">
        <f aca="false">'Indicator Master'!P319</f>
        <v>Medium</v>
      </c>
      <c r="E320" s="9" t="n">
        <f aca="false">'Indicator Master'!Q319</f>
        <v>5</v>
      </c>
      <c r="F320" s="36" t="s">
        <v>9124</v>
      </c>
      <c r="G320" s="9" t="n">
        <f aca="false">IF(UPPER(F320)="Y",E320,0)</f>
        <v>0</v>
      </c>
    </row>
    <row r="321" customFormat="false" ht="25.5" hidden="false" customHeight="true" outlineLevel="0" collapsed="false">
      <c r="A321" s="9" t="str">
        <f aca="false">'Indicator Master'!A320</f>
        <v>TRD-022</v>
      </c>
      <c r="B321" s="9" t="str">
        <f aca="false">'Indicator Master'!B320</f>
        <v>Trade, Customs &amp; Cross-Border</v>
      </c>
      <c r="C321" s="10" t="str">
        <f aca="false">'Indicator Master'!D320</f>
        <v>Advance import remittance with no matching bill of entry in IDPMS</v>
      </c>
      <c r="D321" s="9" t="str">
        <f aca="false">'Indicator Master'!P320</f>
        <v>Critical</v>
      </c>
      <c r="E321" s="9" t="n">
        <f aca="false">'Indicator Master'!Q320</f>
        <v>9</v>
      </c>
      <c r="F321" s="36" t="s">
        <v>9124</v>
      </c>
      <c r="G321" s="9" t="n">
        <f aca="false">IF(UPPER(F321)="Y",E321,0)</f>
        <v>0</v>
      </c>
    </row>
    <row r="322" customFormat="false" ht="25.5" hidden="false" customHeight="true" outlineLevel="0" collapsed="false">
      <c r="A322" s="9" t="str">
        <f aca="false">'Indicator Master'!A321</f>
        <v>TRD-023</v>
      </c>
      <c r="B322" s="9" t="str">
        <f aca="false">'Indicator Master'!B321</f>
        <v>Trade, Customs &amp; Cross-Border</v>
      </c>
      <c r="C322" s="10" t="str">
        <f aca="false">'Indicator Master'!D321</f>
        <v>Recently issued IEC used immediately for high-value trade</v>
      </c>
      <c r="D322" s="9" t="str">
        <f aca="false">'Indicator Master'!P321</f>
        <v>Medium</v>
      </c>
      <c r="E322" s="9" t="n">
        <f aca="false">'Indicator Master'!Q321</f>
        <v>5</v>
      </c>
      <c r="F322" s="36" t="s">
        <v>9124</v>
      </c>
      <c r="G322" s="9" t="n">
        <f aca="false">IF(UPPER(F322)="Y",E322,0)</f>
        <v>0</v>
      </c>
    </row>
    <row r="323" customFormat="false" ht="25.5" hidden="false" customHeight="true" outlineLevel="0" collapsed="false">
      <c r="A323" s="9" t="str">
        <f aca="false">'Indicator Master'!A322</f>
        <v>TRD-024</v>
      </c>
      <c r="B323" s="9" t="str">
        <f aca="false">'Indicator Master'!B322</f>
        <v>Trade, Customs &amp; Cross-Border</v>
      </c>
      <c r="C323" s="10" t="str">
        <f aca="false">'Indicator Master'!D322</f>
        <v>IEC cancelled, suspended, de-activated or listed in the DGFT denied entity list</v>
      </c>
      <c r="D323" s="9" t="str">
        <f aca="false">'Indicator Master'!P322</f>
        <v>High</v>
      </c>
      <c r="E323" s="9" t="n">
        <f aca="false">'Indicator Master'!Q322</f>
        <v>8</v>
      </c>
      <c r="F323" s="36" t="s">
        <v>9124</v>
      </c>
      <c r="G323" s="9" t="n">
        <f aca="false">IF(UPPER(F323)="Y",E323,0)</f>
        <v>0</v>
      </c>
    </row>
    <row r="324" customFormat="false" ht="25.5" hidden="false" customHeight="true" outlineLevel="0" collapsed="false">
      <c r="A324" s="9" t="str">
        <f aca="false">'Indicator Master'!A323</f>
        <v>TRD-025</v>
      </c>
      <c r="B324" s="9" t="str">
        <f aca="false">'Indicator Master'!B323</f>
        <v>Trade, Customs &amp; Cross-Border</v>
      </c>
      <c r="C324" s="10" t="str">
        <f aca="false">'Indicator Master'!D323</f>
        <v>Drawback, RoDTEP or IGST refund claimed out of proportion to the export profile</v>
      </c>
      <c r="D324" s="9" t="str">
        <f aca="false">'Indicator Master'!P323</f>
        <v>Medium</v>
      </c>
      <c r="E324" s="9" t="n">
        <f aca="false">'Indicator Master'!Q323</f>
        <v>5</v>
      </c>
      <c r="F324" s="36" t="s">
        <v>9124</v>
      </c>
      <c r="G324" s="9" t="n">
        <f aca="false">IF(UPPER(F324)="Y",E324,0)</f>
        <v>0</v>
      </c>
    </row>
    <row r="325" customFormat="false" ht="25.5" hidden="false" customHeight="true" outlineLevel="0" collapsed="false">
      <c r="A325" s="9" t="str">
        <f aca="false">'Indicator Master'!A324</f>
        <v>TRD-026</v>
      </c>
      <c r="B325" s="9" t="str">
        <f aca="false">'Indicator Master'!B324</f>
        <v>Trade, Customs &amp; Cross-Border</v>
      </c>
      <c r="C325" s="10" t="str">
        <f aca="false">'Indicator Master'!D324</f>
        <v>Imports cleared at customs with no matching GST credit or inventory entry in the books</v>
      </c>
      <c r="D325" s="9" t="str">
        <f aca="false">'Indicator Master'!P324</f>
        <v>Medium</v>
      </c>
      <c r="E325" s="9" t="n">
        <f aca="false">'Indicator Master'!Q324</f>
        <v>5</v>
      </c>
      <c r="F325" s="36" t="s">
        <v>9124</v>
      </c>
      <c r="G325" s="9" t="n">
        <f aca="false">IF(UPPER(F325)="Y",E325,0)</f>
        <v>0</v>
      </c>
    </row>
    <row r="326" customFormat="false" ht="25.5" hidden="false" customHeight="true" outlineLevel="0" collapsed="false">
      <c r="A326" s="9" t="str">
        <f aca="false">'Indicator Master'!A325</f>
        <v>TRD-027</v>
      </c>
      <c r="B326" s="9" t="str">
        <f aca="false">'Indicator Master'!B325</f>
        <v>Trade, Customs &amp; Cross-Border</v>
      </c>
      <c r="C326" s="10" t="str">
        <f aca="false">'Indicator Master'!D325</f>
        <v>A single overseas counterparty accounts for nearly all cross-border trade</v>
      </c>
      <c r="D326" s="9" t="str">
        <f aca="false">'Indicator Master'!P325</f>
        <v>Low</v>
      </c>
      <c r="E326" s="9" t="n">
        <f aca="false">'Indicator Master'!Q325</f>
        <v>2</v>
      </c>
      <c r="F326" s="36" t="s">
        <v>9124</v>
      </c>
      <c r="G326" s="9" t="n">
        <f aca="false">IF(UPPER(F326)="Y",E326,0)</f>
        <v>0</v>
      </c>
    </row>
    <row r="327" customFormat="false" ht="25.5" hidden="false" customHeight="true" outlineLevel="0" collapsed="false">
      <c r="A327" s="9" t="str">
        <f aca="false">'Indicator Master'!A326</f>
        <v>TRD-028</v>
      </c>
      <c r="B327" s="9" t="str">
        <f aca="false">'Indicator Master'!B326</f>
        <v>Trade, Customs &amp; Cross-Border</v>
      </c>
      <c r="C327" s="10" t="str">
        <f aca="false">'Indicator Master'!D326</f>
        <v>Goods exported and re-imported back to the origin entity or its group (circular trade)</v>
      </c>
      <c r="D327" s="9" t="str">
        <f aca="false">'Indicator Master'!P326</f>
        <v>High</v>
      </c>
      <c r="E327" s="9" t="n">
        <f aca="false">'Indicator Master'!Q326</f>
        <v>7</v>
      </c>
      <c r="F327" s="36" t="s">
        <v>9124</v>
      </c>
      <c r="G327" s="9" t="n">
        <f aca="false">IF(UPPER(F327)="Y",E327,0)</f>
        <v>0</v>
      </c>
    </row>
    <row r="328" customFormat="false" ht="25.5" hidden="false" customHeight="true" outlineLevel="0" collapsed="false">
      <c r="A328" s="9" t="str">
        <f aca="false">'Indicator Master'!A327</f>
        <v>DIG-001</v>
      </c>
      <c r="B328" s="9" t="str">
        <f aca="false">'Indicator Master'!B327</f>
        <v>Document &amp; Digital Forensics</v>
      </c>
      <c r="C328" s="10" t="str">
        <f aca="false">'Indicator Master'!D327</f>
        <v>Independent counterparties' files share one metadata author, company or licence</v>
      </c>
      <c r="D328" s="9" t="str">
        <f aca="false">'Indicator Master'!P327</f>
        <v>Critical</v>
      </c>
      <c r="E328" s="9" t="n">
        <f aca="false">'Indicator Master'!Q327</f>
        <v>9</v>
      </c>
      <c r="F328" s="36" t="s">
        <v>9124</v>
      </c>
      <c r="G328" s="9" t="n">
        <f aca="false">IF(UPPER(F328)="Y",E328,0)</f>
        <v>0</v>
      </c>
    </row>
    <row r="329" customFormat="false" ht="25.5" hidden="false" customHeight="true" outlineLevel="0" collapsed="false">
      <c r="A329" s="9" t="str">
        <f aca="false">'Indicator Master'!A328</f>
        <v>DIG-002</v>
      </c>
      <c r="B329" s="9" t="str">
        <f aca="false">'Indicator Master'!B328</f>
        <v>Document &amp; Digital Forensics</v>
      </c>
      <c r="C329" s="10" t="str">
        <f aca="false">'Indicator Master'!D328</f>
        <v>Document creation timestamp precedes the transaction or event it records</v>
      </c>
      <c r="D329" s="9" t="str">
        <f aca="false">'Indicator Master'!P328</f>
        <v>High</v>
      </c>
      <c r="E329" s="9" t="n">
        <f aca="false">'Indicator Master'!Q328</f>
        <v>7</v>
      </c>
      <c r="F329" s="36" t="s">
        <v>9124</v>
      </c>
      <c r="G329" s="9" t="n">
        <f aca="false">IF(UPPER(F329)="Y",E329,0)</f>
        <v>0</v>
      </c>
    </row>
    <row r="330" customFormat="false" ht="25.5" hidden="false" customHeight="true" outlineLevel="0" collapsed="false">
      <c r="A330" s="9" t="str">
        <f aca="false">'Indicator Master'!A329</f>
        <v>DIG-003</v>
      </c>
      <c r="B330" s="9" t="str">
        <f aca="false">'Indicator Master'!B329</f>
        <v>Document &amp; Digital Forensics</v>
      </c>
      <c r="C330" s="10" t="str">
        <f aca="false">'Indicator Master'!D329</f>
        <v>Documents dated across months were all created in one short authoring session</v>
      </c>
      <c r="D330" s="9" t="str">
        <f aca="false">'Indicator Master'!P329</f>
        <v>High</v>
      </c>
      <c r="E330" s="9" t="n">
        <f aca="false">'Indicator Master'!Q329</f>
        <v>6</v>
      </c>
      <c r="F330" s="36" t="s">
        <v>9124</v>
      </c>
      <c r="G330" s="9" t="n">
        <f aca="false">IF(UPPER(F330)="Y",E330,0)</f>
        <v>0</v>
      </c>
    </row>
    <row r="331" customFormat="false" ht="25.5" hidden="false" customHeight="true" outlineLevel="0" collapsed="false">
      <c r="A331" s="9" t="str">
        <f aca="false">'Indicator Master'!A330</f>
        <v>DIG-004</v>
      </c>
      <c r="B331" s="9" t="str">
        <f aca="false">'Indicator Master'!B330</f>
        <v>Document &amp; Digital Forensics</v>
      </c>
      <c r="C331" s="10" t="str">
        <f aca="false">'Indicator Master'!D330</f>
        <v>Document modification date precedes its creation date</v>
      </c>
      <c r="D331" s="9" t="str">
        <f aca="false">'Indicator Master'!P330</f>
        <v>Medium</v>
      </c>
      <c r="E331" s="9" t="n">
        <f aca="false">'Indicator Master'!Q330</f>
        <v>3</v>
      </c>
      <c r="F331" s="36" t="s">
        <v>9124</v>
      </c>
      <c r="G331" s="9" t="n">
        <f aca="false">IF(UPPER(F331)="Y",E331,0)</f>
        <v>0</v>
      </c>
    </row>
    <row r="332" customFormat="false" ht="25.5" hidden="false" customHeight="true" outlineLevel="0" collapsed="false">
      <c r="A332" s="9" t="str">
        <f aca="false">'Indicator Master'!A331</f>
        <v>DIG-005</v>
      </c>
      <c r="B332" s="9" t="str">
        <f aca="false">'Indicator Master'!B331</f>
        <v>Document &amp; Digital Forensics</v>
      </c>
      <c r="C332" s="10" t="str">
        <f aca="false">'Indicator Master'!D331</f>
        <v>Different vendors' invoices share identical template geometry, fonts and logo</v>
      </c>
      <c r="D332" s="9" t="str">
        <f aca="false">'Indicator Master'!P331</f>
        <v>Medium</v>
      </c>
      <c r="E332" s="9" t="n">
        <f aca="false">'Indicator Master'!Q331</f>
        <v>5</v>
      </c>
      <c r="F332" s="36" t="s">
        <v>9124</v>
      </c>
      <c r="G332" s="9" t="n">
        <f aca="false">IF(UPPER(F332)="Y",E332,0)</f>
        <v>0</v>
      </c>
    </row>
    <row r="333" customFormat="false" ht="25.5" hidden="false" customHeight="true" outlineLevel="0" collapsed="false">
      <c r="A333" s="9" t="str">
        <f aca="false">'Indicator Master'!A332</f>
        <v>DIG-006</v>
      </c>
      <c r="B333" s="9" t="str">
        <f aca="false">'Indicator Master'!B332</f>
        <v>Document &amp; Digital Forensics</v>
      </c>
      <c r="C333" s="10" t="str">
        <f aca="false">'Indicator Master'!D332</f>
        <v>Vendor invoice serials run near-sequentially to one buyer across long time gaps</v>
      </c>
      <c r="D333" s="9" t="str">
        <f aca="false">'Indicator Master'!P332</f>
        <v>High</v>
      </c>
      <c r="E333" s="9" t="n">
        <f aca="false">'Indicator Master'!Q332</f>
        <v>7</v>
      </c>
      <c r="F333" s="36" t="s">
        <v>9124</v>
      </c>
      <c r="G333" s="9" t="n">
        <f aca="false">IF(UPPER(F333)="Y",E333,0)</f>
        <v>0</v>
      </c>
    </row>
    <row r="334" customFormat="false" ht="25.5" hidden="false" customHeight="true" outlineLevel="0" collapsed="false">
      <c r="A334" s="9" t="str">
        <f aca="false">'Indicator Master'!A333</f>
        <v>DIG-007</v>
      </c>
      <c r="B334" s="9" t="str">
        <f aca="false">'Indicator Master'!B333</f>
        <v>Document &amp; Digital Forensics</v>
      </c>
      <c r="C334" s="10" t="str">
        <f aca="false">'Indicator Master'!D333</f>
        <v>Pixel-identical scanned signature image appears on documents of different parties</v>
      </c>
      <c r="D334" s="9" t="str">
        <f aca="false">'Indicator Master'!P333</f>
        <v>Critical</v>
      </c>
      <c r="E334" s="9" t="n">
        <f aca="false">'Indicator Master'!Q333</f>
        <v>10</v>
      </c>
      <c r="F334" s="36" t="s">
        <v>9124</v>
      </c>
      <c r="G334" s="9" t="n">
        <f aca="false">IF(UPPER(F334)="Y",E334,0)</f>
        <v>0</v>
      </c>
    </row>
    <row r="335" customFormat="false" ht="25.5" hidden="false" customHeight="true" outlineLevel="0" collapsed="false">
      <c r="A335" s="9" t="str">
        <f aca="false">'Indicator Master'!A334</f>
        <v>DIG-008</v>
      </c>
      <c r="B335" s="9" t="str">
        <f aca="false">'Indicator Master'!B334</f>
        <v>Document &amp; Digital Forensics</v>
      </c>
      <c r="C335" s="10" t="str">
        <f aca="false">'Indicator Master'!D334</f>
        <v>Identical rubber-stamp or seal image reused across nominally unrelated entities</v>
      </c>
      <c r="D335" s="9" t="str">
        <f aca="false">'Indicator Master'!P334</f>
        <v>High</v>
      </c>
      <c r="E335" s="9" t="n">
        <f aca="false">'Indicator Master'!Q334</f>
        <v>7</v>
      </c>
      <c r="F335" s="36" t="s">
        <v>9124</v>
      </c>
      <c r="G335" s="9" t="n">
        <f aca="false">IF(UPPER(F335)="Y",E335,0)</f>
        <v>0</v>
      </c>
    </row>
    <row r="336" customFormat="false" ht="25.5" hidden="false" customHeight="true" outlineLevel="0" collapsed="false">
      <c r="A336" s="9" t="str">
        <f aca="false">'Indicator Master'!A335</f>
        <v>DIG-009</v>
      </c>
      <c r="B336" s="9" t="str">
        <f aca="false">'Indicator Master'!B335</f>
        <v>Document &amp; Digital Forensics</v>
      </c>
      <c r="C336" s="10" t="str">
        <f aca="false">'Indicator Master'!D335</f>
        <v>Hidden text layer contradicts the visible page content, indicating an edited scan</v>
      </c>
      <c r="D336" s="9" t="str">
        <f aca="false">'Indicator Master'!P335</f>
        <v>High</v>
      </c>
      <c r="E336" s="9" t="n">
        <f aca="false">'Indicator Master'!Q335</f>
        <v>8</v>
      </c>
      <c r="F336" s="36" t="s">
        <v>9124</v>
      </c>
      <c r="G336" s="9" t="n">
        <f aca="false">IF(UPPER(F336)="Y",E336,0)</f>
        <v>0</v>
      </c>
    </row>
    <row r="337" customFormat="false" ht="25.5" hidden="false" customHeight="true" outlineLevel="0" collapsed="false">
      <c r="A337" s="9" t="str">
        <f aca="false">'Indicator Master'!A336</f>
        <v>DIG-010</v>
      </c>
      <c r="B337" s="9" t="str">
        <f aca="false">'Indicator Master'!B336</f>
        <v>Document &amp; Digital Forensics</v>
      </c>
      <c r="C337" s="10" t="str">
        <f aca="false">'Indicator Master'!D336</f>
        <v>Document presented as a scan shows no scanner noise, skew or paper texture</v>
      </c>
      <c r="D337" s="9" t="str">
        <f aca="false">'Indicator Master'!P336</f>
        <v>Low</v>
      </c>
      <c r="E337" s="9" t="n">
        <f aca="false">'Indicator Master'!Q336</f>
        <v>2</v>
      </c>
      <c r="F337" s="36" t="s">
        <v>9124</v>
      </c>
      <c r="G337" s="9" t="n">
        <f aca="false">IF(UPPER(F337)="Y",E337,0)</f>
        <v>0</v>
      </c>
    </row>
    <row r="338" customFormat="false" ht="25.5" hidden="false" customHeight="true" outlineLevel="0" collapsed="false">
      <c r="A338" s="9" t="str">
        <f aca="false">'Indicator Master'!A337</f>
        <v>DIG-011</v>
      </c>
      <c r="B338" s="9" t="str">
        <f aca="false">'Indicator Master'!B337</f>
        <v>Document &amp; Digital Forensics</v>
      </c>
      <c r="C338" s="10" t="str">
        <f aca="false">'Indicator Master'!D337</f>
        <v>Font substitution or kerning anomaly confined to an amount, date or account-number field</v>
      </c>
      <c r="D338" s="9" t="str">
        <f aca="false">'Indicator Master'!P337</f>
        <v>High</v>
      </c>
      <c r="E338" s="9" t="n">
        <f aca="false">'Indicator Master'!Q337</f>
        <v>8</v>
      </c>
      <c r="F338" s="36" t="s">
        <v>9124</v>
      </c>
      <c r="G338" s="9" t="n">
        <f aca="false">IF(UPPER(F338)="Y",E338,0)</f>
        <v>0</v>
      </c>
    </row>
    <row r="339" customFormat="false" ht="25.5" hidden="false" customHeight="true" outlineLevel="0" collapsed="false">
      <c r="A339" s="9" t="str">
        <f aca="false">'Indicator Master'!A338</f>
        <v>DIG-012</v>
      </c>
      <c r="B339" s="9" t="str">
        <f aca="false">'Indicator Master'!B338</f>
        <v>Document &amp; Digital Forensics</v>
      </c>
      <c r="C339" s="10" t="str">
        <f aca="false">'Indicator Master'!D338</f>
        <v>PDF object structure shows incremental updates rewriting the original content</v>
      </c>
      <c r="D339" s="9" t="str">
        <f aca="false">'Indicator Master'!P338</f>
        <v>Low</v>
      </c>
      <c r="E339" s="9" t="n">
        <f aca="false">'Indicator Master'!Q338</f>
        <v>2</v>
      </c>
      <c r="F339" s="36" t="s">
        <v>9124</v>
      </c>
      <c r="G339" s="9" t="n">
        <f aca="false">IF(UPPER(F339)="Y",E339,0)</f>
        <v>0</v>
      </c>
    </row>
    <row r="340" customFormat="false" ht="25.5" hidden="false" customHeight="true" outlineLevel="0" collapsed="false">
      <c r="A340" s="9" t="str">
        <f aca="false">'Indicator Master'!A339</f>
        <v>DIG-013</v>
      </c>
      <c r="B340" s="9" t="str">
        <f aca="false">'Indicator Master'!B339</f>
        <v>Document &amp; Digital Forensics</v>
      </c>
      <c r="C340" s="10" t="str">
        <f aca="false">'Indicator Master'!D339</f>
        <v>Digital signature invalid, expired at signing, or issued to an unrelated person</v>
      </c>
      <c r="D340" s="9" t="str">
        <f aca="false">'Indicator Master'!P339</f>
        <v>Medium</v>
      </c>
      <c r="E340" s="9" t="n">
        <f aca="false">'Indicator Master'!Q339</f>
        <v>5</v>
      </c>
      <c r="F340" s="36" t="s">
        <v>9124</v>
      </c>
      <c r="G340" s="9" t="n">
        <f aca="false">IF(UPPER(F340)="Y",E340,0)</f>
        <v>0</v>
      </c>
    </row>
    <row r="341" customFormat="false" ht="25.5" hidden="false" customHeight="true" outlineLevel="0" collapsed="false">
      <c r="A341" s="9" t="str">
        <f aca="false">'Indicator Master'!A340</f>
        <v>DIG-014</v>
      </c>
      <c r="B341" s="9" t="str">
        <f aca="false">'Indicator Master'!B340</f>
        <v>Document &amp; Digital Forensics</v>
      </c>
      <c r="C341" s="10" t="str">
        <f aca="false">'Indicator Master'!D340</f>
        <v>One DSC signs filings for an implausible number of unrelated entities</v>
      </c>
      <c r="D341" s="9" t="str">
        <f aca="false">'Indicator Master'!P340</f>
        <v>High</v>
      </c>
      <c r="E341" s="9" t="n">
        <f aca="false">'Indicator Master'!Q340</f>
        <v>6</v>
      </c>
      <c r="F341" s="36" t="s">
        <v>9124</v>
      </c>
      <c r="G341" s="9" t="n">
        <f aca="false">IF(UPPER(F341)="Y",E341,0)</f>
        <v>0</v>
      </c>
    </row>
    <row r="342" customFormat="false" ht="25.5" hidden="false" customHeight="true" outlineLevel="0" collapsed="false">
      <c r="A342" s="9" t="str">
        <f aca="false">'Indicator Master'!A341</f>
        <v>DIG-015</v>
      </c>
      <c r="B342" s="9" t="str">
        <f aca="false">'Indicator Master'!B341</f>
        <v>Document &amp; Digital Forensics</v>
      </c>
      <c r="C342" s="10" t="str">
        <f aca="false">'Indicator Master'!D341</f>
        <v>Supporting documents dated months apart were all produced or uploaded within minutes</v>
      </c>
      <c r="D342" s="9" t="str">
        <f aca="false">'Indicator Master'!P341</f>
        <v>Medium</v>
      </c>
      <c r="E342" s="9" t="n">
        <f aca="false">'Indicator Master'!Q341</f>
        <v>4</v>
      </c>
      <c r="F342" s="36" t="s">
        <v>9124</v>
      </c>
      <c r="G342" s="9" t="n">
        <f aca="false">IF(UPPER(F342)="Y",E342,0)</f>
        <v>0</v>
      </c>
    </row>
    <row r="343" customFormat="false" ht="25.5" hidden="false" customHeight="true" outlineLevel="0" collapsed="false">
      <c r="A343" s="9" t="str">
        <f aca="false">'Indicator Master'!A342</f>
        <v>DIG-016</v>
      </c>
      <c r="B343" s="9" t="str">
        <f aca="false">'Indicator Master'!B342</f>
        <v>Document &amp; Digital Forensics</v>
      </c>
      <c r="C343" s="10" t="str">
        <f aca="false">'Indicator Master'!D342</f>
        <v>One IP address or subnet files returns for many unrelated entities</v>
      </c>
      <c r="D343" s="9" t="str">
        <f aca="false">'Indicator Master'!P342</f>
        <v>High</v>
      </c>
      <c r="E343" s="9" t="n">
        <f aca="false">'Indicator Master'!Q342</f>
        <v>7</v>
      </c>
      <c r="F343" s="36" t="s">
        <v>9124</v>
      </c>
      <c r="G343" s="9" t="n">
        <f aca="false">IF(UPPER(F343)="Y",E343,0)</f>
        <v>0</v>
      </c>
    </row>
    <row r="344" customFormat="false" ht="25.5" hidden="false" customHeight="true" outlineLevel="0" collapsed="false">
      <c r="A344" s="9" t="str">
        <f aca="false">'Indicator Master'!A343</f>
        <v>DIG-017</v>
      </c>
      <c r="B344" s="9" t="str">
        <f aca="false">'Indicator Master'!B343</f>
        <v>Document &amp; Digital Forensics</v>
      </c>
      <c r="C344" s="10" t="str">
        <f aca="false">'Indicator Master'!D343</f>
        <v>Same device fingerprint operates accounts or portals for unrelated entities</v>
      </c>
      <c r="D344" s="9" t="str">
        <f aca="false">'Indicator Master'!P343</f>
        <v>High</v>
      </c>
      <c r="E344" s="9" t="n">
        <f aca="false">'Indicator Master'!Q343</f>
        <v>7</v>
      </c>
      <c r="F344" s="36" t="s">
        <v>9124</v>
      </c>
      <c r="G344" s="9" t="n">
        <f aca="false">IF(UPPER(F344)="Y",E344,0)</f>
        <v>0</v>
      </c>
    </row>
    <row r="345" customFormat="false" ht="25.5" hidden="false" customHeight="true" outlineLevel="0" collapsed="false">
      <c r="A345" s="9" t="str">
        <f aca="false">'Indicator Master'!A344</f>
        <v>DIG-018</v>
      </c>
      <c r="B345" s="9" t="str">
        <f aca="false">'Indicator Master'!B344</f>
        <v>Document &amp; Digital Forensics</v>
      </c>
      <c r="C345" s="10" t="str">
        <f aca="false">'Indicator Master'!D344</f>
        <v>Filing or login geolocation persistently inconsistent with the declared place of business</v>
      </c>
      <c r="D345" s="9" t="str">
        <f aca="false">'Indicator Master'!P344</f>
        <v>Medium</v>
      </c>
      <c r="E345" s="9" t="n">
        <f aca="false">'Indicator Master'!Q344</f>
        <v>4</v>
      </c>
      <c r="F345" s="36" t="s">
        <v>9124</v>
      </c>
      <c r="G345" s="9" t="n">
        <f aca="false">IF(UPPER(F345)="Y",E345,0)</f>
        <v>0</v>
      </c>
    </row>
    <row r="346" customFormat="false" ht="25.5" hidden="false" customHeight="true" outlineLevel="0" collapsed="false">
      <c r="A346" s="9" t="str">
        <f aca="false">'Indicator Master'!A345</f>
        <v>DIG-019</v>
      </c>
      <c r="B346" s="9" t="str">
        <f aca="false">'Indicator Master'!B345</f>
        <v>Document &amp; Digital Forensics</v>
      </c>
      <c r="C346" s="10" t="str">
        <f aca="false">'Indicator Master'!D345</f>
        <v>Email or website domain registered far later than the claimed trading history</v>
      </c>
      <c r="D346" s="9" t="str">
        <f aca="false">'Indicator Master'!P345</f>
        <v>Medium</v>
      </c>
      <c r="E346" s="9" t="n">
        <f aca="false">'Indicator Master'!Q345</f>
        <v>5</v>
      </c>
      <c r="F346" s="36" t="s">
        <v>9124</v>
      </c>
      <c r="G346" s="9" t="n">
        <f aca="false">IF(UPPER(F346)="Y",E346,0)</f>
        <v>0</v>
      </c>
    </row>
    <row r="347" customFormat="false" ht="25.5" hidden="false" customHeight="true" outlineLevel="0" collapsed="false">
      <c r="A347" s="9" t="str">
        <f aca="false">'Indicator Master'!A346</f>
        <v>DIG-020</v>
      </c>
      <c r="B347" s="9" t="str">
        <f aca="false">'Indicator Master'!B346</f>
        <v>Document &amp; Digital Forensics</v>
      </c>
      <c r="C347" s="10" t="str">
        <f aca="false">'Indicator Master'!D346</f>
        <v>Domain registration hidden behind privacy shield with no verifiable registrant</v>
      </c>
      <c r="D347" s="9" t="str">
        <f aca="false">'Indicator Master'!P346</f>
        <v>Low</v>
      </c>
      <c r="E347" s="9" t="n">
        <f aca="false">'Indicator Master'!Q346</f>
        <v>2</v>
      </c>
      <c r="F347" s="36" t="s">
        <v>9124</v>
      </c>
      <c r="G347" s="9" t="n">
        <f aca="false">IF(UPPER(F347)="Y",E347,0)</f>
        <v>0</v>
      </c>
    </row>
    <row r="348" customFormat="false" ht="25.5" hidden="false" customHeight="true" outlineLevel="0" collapsed="false">
      <c r="A348" s="9" t="str">
        <f aca="false">'Indicator Master'!A347</f>
        <v>DIG-021</v>
      </c>
      <c r="B348" s="9" t="str">
        <f aca="false">'Indicator Master'!B347</f>
        <v>Document &amp; Digital Forensics</v>
      </c>
      <c r="C348" s="10" t="str">
        <f aca="false">'Indicator Master'!D347</f>
        <v>Domain printed on invoices has no MX record and cannot receive mail</v>
      </c>
      <c r="D348" s="9" t="str">
        <f aca="false">'Indicator Master'!P347</f>
        <v>Medium</v>
      </c>
      <c r="E348" s="9" t="n">
        <f aca="false">'Indicator Master'!Q347</f>
        <v>4</v>
      </c>
      <c r="F348" s="36" t="s">
        <v>9124</v>
      </c>
      <c r="G348" s="9" t="n">
        <f aca="false">IF(UPPER(F348)="Y",E348,0)</f>
        <v>0</v>
      </c>
    </row>
    <row r="349" customFormat="false" ht="25.5" hidden="false" customHeight="true" outlineLevel="0" collapsed="false">
      <c r="A349" s="9" t="str">
        <f aca="false">'Indicator Master'!A348</f>
        <v>DIG-022</v>
      </c>
      <c r="B349" s="9" t="str">
        <f aca="false">'Indicator Master'!B348</f>
        <v>Document &amp; Digital Forensics</v>
      </c>
      <c r="C349" s="10" t="str">
        <f aca="false">'Indicator Master'!D348</f>
        <v>Free webmail is the official contact for a high-turnover entity across all filings</v>
      </c>
      <c r="D349" s="9" t="str">
        <f aca="false">'Indicator Master'!P348</f>
        <v>Medium</v>
      </c>
      <c r="E349" s="9" t="n">
        <f aca="false">'Indicator Master'!Q348</f>
        <v>4</v>
      </c>
      <c r="F349" s="36" t="s">
        <v>9124</v>
      </c>
      <c r="G349" s="9" t="n">
        <f aca="false">IF(UPPER(F349)="Y",E349,0)</f>
        <v>0</v>
      </c>
    </row>
    <row r="350" customFormat="false" ht="25.5" hidden="false" customHeight="true" outlineLevel="0" collapsed="false">
      <c r="A350" s="9" t="str">
        <f aca="false">'Indicator Master'!A349</f>
        <v>DIG-023</v>
      </c>
      <c r="B350" s="9" t="str">
        <f aca="false">'Indicator Master'!B349</f>
        <v>Document &amp; Digital Forensics</v>
      </c>
      <c r="C350" s="10" t="str">
        <f aca="false">'Indicator Master'!D349</f>
        <v>One phone number or email address appears across many unrelated registrations</v>
      </c>
      <c r="D350" s="9" t="str">
        <f aca="false">'Indicator Master'!P349</f>
        <v>High</v>
      </c>
      <c r="E350" s="9" t="n">
        <f aca="false">'Indicator Master'!Q349</f>
        <v>7</v>
      </c>
      <c r="F350" s="36" t="s">
        <v>9124</v>
      </c>
      <c r="G350" s="9" t="n">
        <f aca="false">IF(UPPER(F350)="Y",E350,0)</f>
        <v>0</v>
      </c>
    </row>
    <row r="351" customFormat="false" ht="25.5" hidden="false" customHeight="true" outlineLevel="0" collapsed="false">
      <c r="A351" s="9" t="str">
        <f aca="false">'Indicator Master'!A350</f>
        <v>DIG-024</v>
      </c>
      <c r="B351" s="9" t="str">
        <f aca="false">'Indicator Master'!B350</f>
        <v>Document &amp; Digital Forensics</v>
      </c>
      <c r="C351" s="10" t="str">
        <f aca="false">'Indicator Master'!D350</f>
        <v>Official phone number is VoIP, unallocated or ported immediately before registration</v>
      </c>
      <c r="D351" s="9" t="str">
        <f aca="false">'Indicator Master'!P350</f>
        <v>Medium</v>
      </c>
      <c r="E351" s="9" t="n">
        <f aca="false">'Indicator Master'!Q350</f>
        <v>3</v>
      </c>
      <c r="F351" s="36" t="s">
        <v>9124</v>
      </c>
      <c r="G351" s="9" t="n">
        <f aca="false">IF(UPPER(F351)="Y",E351,0)</f>
        <v>0</v>
      </c>
    </row>
    <row r="352" customFormat="false" ht="25.5" hidden="false" customHeight="true" outlineLevel="0" collapsed="false">
      <c r="A352" s="9" t="str">
        <f aca="false">'Indicator Master'!A351</f>
        <v>DIG-025</v>
      </c>
      <c r="B352" s="9" t="str">
        <f aca="false">'Indicator Master'!B351</f>
        <v>Document &amp; Digital Forensics</v>
      </c>
      <c r="C352" s="10" t="str">
        <f aca="false">'Indicator Master'!D351</f>
        <v>Website text and imagery duplicated from another company's site</v>
      </c>
      <c r="D352" s="9" t="str">
        <f aca="false">'Indicator Master'!P351</f>
        <v>Medium</v>
      </c>
      <c r="E352" s="9" t="n">
        <f aca="false">'Indicator Master'!Q351</f>
        <v>5</v>
      </c>
      <c r="F352" s="36" t="s">
        <v>9124</v>
      </c>
      <c r="G352" s="9" t="n">
        <f aca="false">IF(UPPER(F352)="Y",E352,0)</f>
        <v>0</v>
      </c>
    </row>
    <row r="353" customFormat="false" ht="25.5" hidden="false" customHeight="true" outlineLevel="0" collapsed="false">
      <c r="A353" s="9" t="str">
        <f aca="false">'Indicator Master'!A352</f>
        <v>DIG-026</v>
      </c>
      <c r="B353" s="9" t="str">
        <f aca="false">'Indicator Master'!B352</f>
        <v>Document &amp; Digital Forensics</v>
      </c>
      <c r="C353" s="10" t="str">
        <f aca="false">'Indicator Master'!D352</f>
        <v>Website copyright year or last content update is years stale against active trading</v>
      </c>
      <c r="D353" s="9" t="str">
        <f aca="false">'Indicator Master'!P352</f>
        <v>Low</v>
      </c>
      <c r="E353" s="9" t="n">
        <f aca="false">'Indicator Master'!Q352</f>
        <v>1</v>
      </c>
      <c r="F353" s="36" t="s">
        <v>9124</v>
      </c>
      <c r="G353" s="9" t="n">
        <f aca="false">IF(UPPER(F353)="Y",E353,0)</f>
        <v>0</v>
      </c>
    </row>
    <row r="354" customFormat="false" ht="25.5" hidden="false" customHeight="true" outlineLevel="0" collapsed="false">
      <c r="A354" s="9" t="str">
        <f aca="false">'Indicator Master'!A353</f>
        <v>DIG-027</v>
      </c>
      <c r="B354" s="9" t="str">
        <f aca="false">'Indicator Master'!B353</f>
        <v>Document &amp; Digital Forensics</v>
      </c>
      <c r="C354" s="10" t="str">
        <f aca="false">'Indicator Master'!D353</f>
        <v>SSL certificate absent or first issued long after the claimed operating period began</v>
      </c>
      <c r="D354" s="9" t="str">
        <f aca="false">'Indicator Master'!P353</f>
        <v>Low</v>
      </c>
      <c r="E354" s="9" t="n">
        <f aca="false">'Indicator Master'!Q353</f>
        <v>2</v>
      </c>
      <c r="F354" s="36" t="s">
        <v>9124</v>
      </c>
      <c r="G354" s="9" t="n">
        <f aca="false">IF(UPPER(F354)="Y",E354,0)</f>
        <v>0</v>
      </c>
    </row>
    <row r="355" customFormat="false" ht="25.5" hidden="false" customHeight="true" outlineLevel="0" collapsed="false">
      <c r="A355" s="9" t="str">
        <f aca="false">'Indicator Master'!A354</f>
        <v>DIG-028</v>
      </c>
      <c r="B355" s="9" t="str">
        <f aca="false">'Indicator Master'!B354</f>
        <v>Document &amp; Digital Forensics</v>
      </c>
      <c r="C355" s="10" t="str">
        <f aca="false">'Indicator Master'!D354</f>
        <v>Same identity or address-proof image reused across different applicants or entities</v>
      </c>
      <c r="D355" s="9" t="str">
        <f aca="false">'Indicator Master'!P354</f>
        <v>Critical</v>
      </c>
      <c r="E355" s="9" t="n">
        <f aca="false">'Indicator Master'!Q354</f>
        <v>9</v>
      </c>
      <c r="F355" s="36" t="s">
        <v>9124</v>
      </c>
      <c r="G355" s="9" t="n">
        <f aca="false">IF(UPPER(F355)="Y",E355,0)</f>
        <v>0</v>
      </c>
    </row>
    <row r="356" customFormat="false" ht="25.5" hidden="false" customHeight="true" outlineLevel="0" collapsed="false">
      <c r="A356" s="9" t="str">
        <f aca="false">'Indicator Master'!A355</f>
        <v>DIG-029</v>
      </c>
      <c r="B356" s="9" t="str">
        <f aca="false">'Indicator Master'!B355</f>
        <v>Document &amp; Digital Forensics</v>
      </c>
      <c r="C356" s="10" t="str">
        <f aca="false">'Indicator Master'!D355</f>
        <v>KYC photograph is a stock image or matches a different applicant's face</v>
      </c>
      <c r="D356" s="9" t="str">
        <f aca="false">'Indicator Master'!P355</f>
        <v>Critical</v>
      </c>
      <c r="E356" s="9" t="n">
        <f aca="false">'Indicator Master'!Q355</f>
        <v>9</v>
      </c>
      <c r="F356" s="36" t="s">
        <v>9124</v>
      </c>
      <c r="G356" s="9" t="n">
        <f aca="false">IF(UPPER(F356)="Y",E356,0)</f>
        <v>0</v>
      </c>
    </row>
    <row r="357" customFormat="false" ht="25.5" hidden="false" customHeight="true" outlineLevel="0" collapsed="false">
      <c r="A357" s="9" t="str">
        <f aca="false">'Indicator Master'!A356</f>
        <v>DIG-030</v>
      </c>
      <c r="B357" s="9" t="str">
        <f aca="false">'Indicator Master'!B356</f>
        <v>Document &amp; Digital Forensics</v>
      </c>
      <c r="C357" s="10" t="str">
        <f aca="false">'Indicator Master'!D356</f>
        <v>OCR-extracted identity fields disagree across documents for the same person</v>
      </c>
      <c r="D357" s="9" t="str">
        <f aca="false">'Indicator Master'!P356</f>
        <v>High</v>
      </c>
      <c r="E357" s="9" t="n">
        <f aca="false">'Indicator Master'!Q356</f>
        <v>6</v>
      </c>
      <c r="F357" s="36" t="s">
        <v>9124</v>
      </c>
      <c r="G357" s="9" t="n">
        <f aca="false">IF(UPPER(F357)="Y",E357,0)</f>
        <v>0</v>
      </c>
    </row>
    <row r="358" customFormat="false" ht="25.5" hidden="false" customHeight="true" outlineLevel="0" collapsed="false">
      <c r="A358" s="9" t="str">
        <f aca="false">'Indicator Master'!A357</f>
        <v>NET-001</v>
      </c>
      <c r="B358" s="9" t="str">
        <f aca="false">'Indicator Master'!B357</f>
        <v>Network &amp; Cross-Entity Linkage</v>
      </c>
      <c r="C358" s="10" t="str">
        <f aca="false">'Indicator Master'!D357</f>
        <v>Address node carries an improbable count of active entities with internal cross-links</v>
      </c>
      <c r="D358" s="9" t="str">
        <f aca="false">'Indicator Master'!P357</f>
        <v>High</v>
      </c>
      <c r="E358" s="9" t="n">
        <f aca="false">'Indicator Master'!Q357</f>
        <v>7</v>
      </c>
      <c r="F358" s="36" t="s">
        <v>9124</v>
      </c>
      <c r="G358" s="9" t="n">
        <f aca="false">IF(UPPER(F358)="Y",E358,0)</f>
        <v>0</v>
      </c>
    </row>
    <row r="359" customFormat="false" ht="25.5" hidden="false" customHeight="true" outlineLevel="0" collapsed="false">
      <c r="A359" s="9" t="str">
        <f aca="false">'Indicator Master'!A358</f>
        <v>NET-002</v>
      </c>
      <c r="B359" s="9" t="str">
        <f aca="false">'Indicator Master'!B358</f>
        <v>Network &amp; Cross-Entity Linkage</v>
      </c>
      <c r="C359" s="10" t="str">
        <f aca="false">'Indicator Master'!D358</f>
        <v>One telephone number serves several unrelated entities across different addresses</v>
      </c>
      <c r="D359" s="9" t="str">
        <f aca="false">'Indicator Master'!P358</f>
        <v>Medium</v>
      </c>
      <c r="E359" s="9" t="n">
        <f aca="false">'Indicator Master'!Q358</f>
        <v>5</v>
      </c>
      <c r="F359" s="36" t="s">
        <v>9124</v>
      </c>
      <c r="G359" s="9" t="n">
        <f aca="false">IF(UPPER(F359)="Y",E359,0)</f>
        <v>0</v>
      </c>
    </row>
    <row r="360" customFormat="false" ht="25.5" hidden="false" customHeight="true" outlineLevel="0" collapsed="false">
      <c r="A360" s="9" t="str">
        <f aca="false">'Indicator Master'!A359</f>
        <v>NET-003</v>
      </c>
      <c r="B360" s="9" t="str">
        <f aca="false">'Indicator Master'!B359</f>
        <v>Network &amp; Cross-Entity Linkage</v>
      </c>
      <c r="C360" s="10" t="str">
        <f aca="false">'Indicator Master'!D359</f>
        <v>Several unrelated entities file under one email address or one free-mail mailbox family</v>
      </c>
      <c r="D360" s="9" t="str">
        <f aca="false">'Indicator Master'!P359</f>
        <v>Medium</v>
      </c>
      <c r="E360" s="9" t="n">
        <f aca="false">'Indicator Master'!Q359</f>
        <v>4</v>
      </c>
      <c r="F360" s="36" t="s">
        <v>9124</v>
      </c>
      <c r="G360" s="9" t="n">
        <f aca="false">IF(UPPER(F360)="Y",E360,0)</f>
        <v>0</v>
      </c>
    </row>
    <row r="361" customFormat="false" ht="25.5" hidden="false" customHeight="true" outlineLevel="0" collapsed="false">
      <c r="A361" s="9" t="str">
        <f aca="false">'Indicator Master'!A360</f>
        <v>NET-004</v>
      </c>
      <c r="B361" s="9" t="str">
        <f aca="false">'Indicator Master'!B360</f>
        <v>Network &amp; Cross-Entity Linkage</v>
      </c>
      <c r="C361" s="10" t="str">
        <f aca="false">'Indicator Master'!D360</f>
        <v>Entities share a bank account, or one branch officer onboarded the whole cluster</v>
      </c>
      <c r="D361" s="9" t="str">
        <f aca="false">'Indicator Master'!P360</f>
        <v>High</v>
      </c>
      <c r="E361" s="9" t="n">
        <f aca="false">'Indicator Master'!Q360</f>
        <v>8</v>
      </c>
      <c r="F361" s="36" t="s">
        <v>9124</v>
      </c>
      <c r="G361" s="9" t="n">
        <f aca="false">IF(UPPER(F361)="Y",E361,0)</f>
        <v>0</v>
      </c>
    </row>
    <row r="362" customFormat="false" ht="25.5" hidden="false" customHeight="true" outlineLevel="0" collapsed="false">
      <c r="A362" s="9" t="str">
        <f aca="false">'Indicator Master'!A361</f>
        <v>NET-005</v>
      </c>
      <c r="B362" s="9" t="str">
        <f aca="false">'Indicator Master'!B361</f>
        <v>Network &amp; Cross-Entity Linkage</v>
      </c>
      <c r="C362" s="10" t="str">
        <f aca="false">'Indicator Master'!D361</f>
        <v>One Digital Signature Certificate or filing IP signs returns for many unrelated entities</v>
      </c>
      <c r="D362" s="9" t="str">
        <f aca="false">'Indicator Master'!P361</f>
        <v>Critical</v>
      </c>
      <c r="E362" s="9" t="n">
        <f aca="false">'Indicator Master'!Q361</f>
        <v>9</v>
      </c>
      <c r="F362" s="36" t="s">
        <v>9124</v>
      </c>
      <c r="G362" s="9" t="n">
        <f aca="false">IF(UPPER(F362)="Y",E362,0)</f>
        <v>0</v>
      </c>
    </row>
    <row r="363" customFormat="false" ht="25.5" hidden="false" customHeight="true" outlineLevel="0" collapsed="false">
      <c r="A363" s="9" t="str">
        <f aca="false">'Indicator Master'!A362</f>
        <v>NET-006</v>
      </c>
      <c r="B363" s="9" t="str">
        <f aca="false">'Indicator Master'!B362</f>
        <v>Network &amp; Cross-Entity Linkage</v>
      </c>
      <c r="C363" s="10" t="str">
        <f aca="false">'Indicator Master'!D362</f>
        <v>One authorised signatory operates bank or GST mandates for several unrelated entities</v>
      </c>
      <c r="D363" s="9" t="str">
        <f aca="false">'Indicator Master'!P362</f>
        <v>Medium</v>
      </c>
      <c r="E363" s="9" t="n">
        <f aca="false">'Indicator Master'!Q362</f>
        <v>5</v>
      </c>
      <c r="F363" s="36" t="s">
        <v>9124</v>
      </c>
      <c r="G363" s="9" t="n">
        <f aca="false">IF(UPPER(F363)="Y",E363,0)</f>
        <v>0</v>
      </c>
    </row>
    <row r="364" customFormat="false" ht="25.5" hidden="false" customHeight="true" outlineLevel="0" collapsed="false">
      <c r="A364" s="9" t="str">
        <f aca="false">'Indicator Master'!A363</f>
        <v>NET-007</v>
      </c>
      <c r="B364" s="9" t="str">
        <f aca="false">'Indicator Master'!B363</f>
        <v>Network &amp; Cross-Entity Linkage</v>
      </c>
      <c r="C364" s="10" t="str">
        <f aca="false">'Indicator Master'!D363</f>
        <v>One audit firm signs for an improbable share of already-flagged entities</v>
      </c>
      <c r="D364" s="9" t="str">
        <f aca="false">'Indicator Master'!P363</f>
        <v>Medium</v>
      </c>
      <c r="E364" s="9" t="n">
        <f aca="false">'Indicator Master'!Q363</f>
        <v>5</v>
      </c>
      <c r="F364" s="36" t="s">
        <v>9124</v>
      </c>
      <c r="G364" s="9" t="n">
        <f aca="false">IF(UPPER(F364)="Y",E364,0)</f>
        <v>0</v>
      </c>
    </row>
    <row r="365" customFormat="false" ht="25.5" hidden="false" customHeight="true" outlineLevel="0" collapsed="false">
      <c r="A365" s="9" t="str">
        <f aca="false">'Indicator Master'!A364</f>
        <v>NET-008</v>
      </c>
      <c r="B365" s="9" t="str">
        <f aca="false">'Indicator Master'!B364</f>
        <v>Network &amp; Cross-Entity Linkage</v>
      </c>
      <c r="C365" s="10" t="str">
        <f aca="false">'Indicator Master'!D364</f>
        <v>Same company-formation or filing agent behind a large block of entities</v>
      </c>
      <c r="D365" s="9" t="str">
        <f aca="false">'Indicator Master'!P364</f>
        <v>Low</v>
      </c>
      <c r="E365" s="9" t="n">
        <f aca="false">'Indicator Master'!Q364</f>
        <v>2</v>
      </c>
      <c r="F365" s="36" t="s">
        <v>9124</v>
      </c>
      <c r="G365" s="9" t="n">
        <f aca="false">IF(UPPER(F365)="Y",E365,0)</f>
        <v>0</v>
      </c>
    </row>
    <row r="366" customFormat="false" ht="25.5" hidden="false" customHeight="true" outlineLevel="0" collapsed="false">
      <c r="A366" s="9" t="str">
        <f aca="false">'Indicator Master'!A365</f>
        <v>NET-009</v>
      </c>
      <c r="B366" s="9" t="str">
        <f aca="false">'Indicator Master'!B365</f>
        <v>Network &amp; Cross-Entity Linkage</v>
      </c>
      <c r="C366" s="10" t="str">
        <f aca="false">'Indicator Master'!D365</f>
        <v>Block of entities incorporated by one agent inside a narrow window with shared attributes</v>
      </c>
      <c r="D366" s="9" t="str">
        <f aca="false">'Indicator Master'!P365</f>
        <v>High</v>
      </c>
      <c r="E366" s="9" t="n">
        <f aca="false">'Indicator Master'!Q365</f>
        <v>7</v>
      </c>
      <c r="F366" s="36" t="s">
        <v>9124</v>
      </c>
      <c r="G366" s="9" t="n">
        <f aca="false">IF(UPPER(F366)="Y",E366,0)</f>
        <v>0</v>
      </c>
    </row>
    <row r="367" customFormat="false" ht="25.5" hidden="false" customHeight="true" outlineLevel="0" collapsed="false">
      <c r="A367" s="9" t="str">
        <f aca="false">'Indicator Master'!A366</f>
        <v>NET-010</v>
      </c>
      <c r="B367" s="9" t="str">
        <f aca="false">'Indicator Master'!B366</f>
        <v>Network &amp; Cross-Entity Linkage</v>
      </c>
      <c r="C367" s="10" t="str">
        <f aca="false">'Indicator Master'!D366</f>
        <v>Near-sequential CINs or GSTINs concentrated inside one suspect cluster</v>
      </c>
      <c r="D367" s="9" t="str">
        <f aca="false">'Indicator Master'!P366</f>
        <v>Low</v>
      </c>
      <c r="E367" s="9" t="n">
        <f aca="false">'Indicator Master'!Q366</f>
        <v>2</v>
      </c>
      <c r="F367" s="36" t="s">
        <v>9124</v>
      </c>
      <c r="G367" s="9" t="n">
        <f aca="false">IF(UPPER(F367)="Y",E367,0)</f>
        <v>0</v>
      </c>
    </row>
    <row r="368" customFormat="false" ht="25.5" hidden="false" customHeight="true" outlineLevel="0" collapsed="false">
      <c r="A368" s="9" t="str">
        <f aca="false">'Indicator Master'!A367</f>
        <v>NET-011</v>
      </c>
      <c r="B368" s="9" t="str">
        <f aca="false">'Indicator Master'!B367</f>
        <v>Network &amp; Cross-Entity Linkage</v>
      </c>
      <c r="C368" s="10" t="str">
        <f aca="false">'Indicator Master'!D367</f>
        <v>Same director pair or trio recurs on several boards with no disclosed group link</v>
      </c>
      <c r="D368" s="9" t="str">
        <f aca="false">'Indicator Master'!P367</f>
        <v>Medium</v>
      </c>
      <c r="E368" s="9" t="n">
        <f aca="false">'Indicator Master'!Q367</f>
        <v>4</v>
      </c>
      <c r="F368" s="36" t="s">
        <v>9124</v>
      </c>
      <c r="G368" s="9" t="n">
        <f aca="false">IF(UPPER(F368)="Y",E368,0)</f>
        <v>0</v>
      </c>
    </row>
    <row r="369" customFormat="false" ht="25.5" hidden="false" customHeight="true" outlineLevel="0" collapsed="false">
      <c r="A369" s="9" t="str">
        <f aca="false">'Indicator Master'!A368</f>
        <v>NET-012</v>
      </c>
      <c r="B369" s="9" t="str">
        <f aca="false">'Indicator Master'!B368</f>
        <v>Network &amp; Cross-Entity Linkage</v>
      </c>
      <c r="C369" s="10" t="str">
        <f aca="false">'Indicator Master'!D368</f>
        <v>Individual holds abnormally many directorships across unrelated sectors and states</v>
      </c>
      <c r="D369" s="9" t="str">
        <f aca="false">'Indicator Master'!P368</f>
        <v>Low</v>
      </c>
      <c r="E369" s="9" t="n">
        <f aca="false">'Indicator Master'!Q368</f>
        <v>2</v>
      </c>
      <c r="F369" s="36" t="s">
        <v>9124</v>
      </c>
      <c r="G369" s="9" t="n">
        <f aca="false">IF(UPPER(F369)="Y",E369,0)</f>
        <v>0</v>
      </c>
    </row>
    <row r="370" customFormat="false" ht="25.5" hidden="false" customHeight="true" outlineLevel="0" collapsed="false">
      <c r="A370" s="9" t="str">
        <f aca="false">'Indicator Master'!A369</f>
        <v>NET-013</v>
      </c>
      <c r="B370" s="9" t="str">
        <f aca="false">'Indicator Master'!B369</f>
        <v>Network &amp; Cross-Entity Linkage</v>
      </c>
      <c r="C370" s="10" t="str">
        <f aca="false">'Indicator Master'!D369</f>
        <v>Identical or near-identical shareholder list across nominally unrelated companies</v>
      </c>
      <c r="D370" s="9" t="str">
        <f aca="false">'Indicator Master'!P369</f>
        <v>High</v>
      </c>
      <c r="E370" s="9" t="n">
        <f aca="false">'Indicator Master'!Q369</f>
        <v>7</v>
      </c>
      <c r="F370" s="36" t="s">
        <v>9124</v>
      </c>
      <c r="G370" s="9" t="n">
        <f aca="false">IF(UPPER(F370)="Y",E370,0)</f>
        <v>0</v>
      </c>
    </row>
    <row r="371" customFormat="false" ht="25.5" hidden="false" customHeight="true" outlineLevel="0" collapsed="false">
      <c r="A371" s="9" t="str">
        <f aca="false">'Indicator Master'!A370</f>
        <v>NET-014</v>
      </c>
      <c r="B371" s="9" t="str">
        <f aca="false">'Indicator Master'!B370</f>
        <v>Network &amp; Cross-Entity Linkage</v>
      </c>
      <c r="C371" s="10" t="str">
        <f aca="false">'Indicator Master'!D370</f>
        <v>Cluster's aggregate paid-up capital is negligible against its aggregate turnover</v>
      </c>
      <c r="D371" s="9" t="str">
        <f aca="false">'Indicator Master'!P370</f>
        <v>Medium</v>
      </c>
      <c r="E371" s="9" t="n">
        <f aca="false">'Indicator Master'!Q370</f>
        <v>5</v>
      </c>
      <c r="F371" s="36" t="s">
        <v>9124</v>
      </c>
      <c r="G371" s="9" t="n">
        <f aca="false">IF(UPPER(F371)="Y",E371,0)</f>
        <v>0</v>
      </c>
    </row>
    <row r="372" customFormat="false" ht="25.5" hidden="false" customHeight="true" outlineLevel="0" collapsed="false">
      <c r="A372" s="9" t="str">
        <f aca="false">'Indicator Master'!A371</f>
        <v>NET-015</v>
      </c>
      <c r="B372" s="9" t="str">
        <f aca="false">'Indicator Master'!B371</f>
        <v>Network &amp; Cross-Entity Linkage</v>
      </c>
      <c r="C372" s="10" t="str">
        <f aca="false">'Indicator Master'!D371</f>
        <v>Entities share one customer and supplier set and have no other market presence</v>
      </c>
      <c r="D372" s="9" t="str">
        <f aca="false">'Indicator Master'!P371</f>
        <v>Critical</v>
      </c>
      <c r="E372" s="9" t="n">
        <f aca="false">'Indicator Master'!Q371</f>
        <v>9</v>
      </c>
      <c r="F372" s="36" t="s">
        <v>9124</v>
      </c>
      <c r="G372" s="9" t="n">
        <f aca="false">IF(UPPER(F372)="Y",E372,0)</f>
        <v>0</v>
      </c>
    </row>
    <row r="373" customFormat="false" ht="25.5" hidden="false" customHeight="true" outlineLevel="0" collapsed="false">
      <c r="A373" s="9" t="str">
        <f aca="false">'Indicator Master'!A372</f>
        <v>NET-016</v>
      </c>
      <c r="B373" s="9" t="str">
        <f aca="false">'Indicator Master'!B372</f>
        <v>Network &amp; Cross-Entity Linkage</v>
      </c>
      <c r="C373" s="10" t="str">
        <f aca="false">'Indicator Master'!D372</f>
        <v>High betweenness centrality on an entity with a thin operating profile</v>
      </c>
      <c r="D373" s="9" t="str">
        <f aca="false">'Indicator Master'!P372</f>
        <v>High</v>
      </c>
      <c r="E373" s="9" t="n">
        <f aca="false">'Indicator Master'!Q372</f>
        <v>7</v>
      </c>
      <c r="F373" s="36" t="s">
        <v>9124</v>
      </c>
      <c r="G373" s="9" t="n">
        <f aca="false">IF(UPPER(F373)="Y",E373,0)</f>
        <v>0</v>
      </c>
    </row>
    <row r="374" customFormat="false" ht="25.5" hidden="false" customHeight="true" outlineLevel="0" collapsed="false">
      <c r="A374" s="9" t="str">
        <f aca="false">'Indicator Master'!A373</f>
        <v>NET-017</v>
      </c>
      <c r="B374" s="9" t="str">
        <f aca="false">'Indicator Master'!B373</f>
        <v>Network &amp; Cross-Entity Linkage</v>
      </c>
      <c r="C374" s="10" t="str">
        <f aca="false">'Indicator Master'!D373</f>
        <v>Entity is the only bridge joining two otherwise disconnected trade clusters</v>
      </c>
      <c r="D374" s="9" t="str">
        <f aca="false">'Indicator Master'!P373</f>
        <v>High</v>
      </c>
      <c r="E374" s="9" t="n">
        <f aca="false">'Indicator Master'!Q373</f>
        <v>8</v>
      </c>
      <c r="F374" s="36" t="s">
        <v>9124</v>
      </c>
      <c r="G374" s="9" t="n">
        <f aca="false">IF(UPPER(F374)="Y",E374,0)</f>
        <v>0</v>
      </c>
    </row>
    <row r="375" customFormat="false" ht="25.5" hidden="false" customHeight="true" outlineLevel="0" collapsed="false">
      <c r="A375" s="9" t="str">
        <f aca="false">'Indicator Master'!A374</f>
        <v>NET-018</v>
      </c>
      <c r="B375" s="9" t="str">
        <f aca="false">'Indicator Master'!B374</f>
        <v>Network &amp; Cross-Entity Linkage</v>
      </c>
      <c r="C375" s="10" t="str">
        <f aca="false">'Indicator Master'!D374</f>
        <v>Counterparty degree far above the peer distribution for size and sector</v>
      </c>
      <c r="D375" s="9" t="str">
        <f aca="false">'Indicator Master'!P374</f>
        <v>Medium</v>
      </c>
      <c r="E375" s="9" t="n">
        <f aca="false">'Indicator Master'!Q374</f>
        <v>5</v>
      </c>
      <c r="F375" s="36" t="s">
        <v>9124</v>
      </c>
      <c r="G375" s="9" t="n">
        <f aca="false">IF(UPPER(F375)="Y",E375,0)</f>
        <v>0</v>
      </c>
    </row>
    <row r="376" customFormat="false" ht="25.5" hidden="false" customHeight="true" outlineLevel="0" collapsed="false">
      <c r="A376" s="9" t="str">
        <f aca="false">'Indicator Master'!A375</f>
        <v>NET-019</v>
      </c>
      <c r="B376" s="9" t="str">
        <f aca="false">'Indicator Master'!B375</f>
        <v>Network &amp; Cross-Entity Linkage</v>
      </c>
      <c r="C376" s="10" t="str">
        <f aca="false">'Indicator Master'!D375</f>
        <v>Star topology where a node collects from many counterparties and pays out to one</v>
      </c>
      <c r="D376" s="9" t="str">
        <f aca="false">'Indicator Master'!P375</f>
        <v>High</v>
      </c>
      <c r="E376" s="9" t="n">
        <f aca="false">'Indicator Master'!Q375</f>
        <v>8</v>
      </c>
      <c r="F376" s="36" t="s">
        <v>9124</v>
      </c>
      <c r="G376" s="9" t="n">
        <f aca="false">IF(UPPER(F376)="Y",E376,0)</f>
        <v>0</v>
      </c>
    </row>
    <row r="377" customFormat="false" ht="25.5" hidden="false" customHeight="true" outlineLevel="0" collapsed="false">
      <c r="A377" s="9" t="str">
        <f aca="false">'Indicator Master'!A376</f>
        <v>NET-020</v>
      </c>
      <c r="B377" s="9" t="str">
        <f aca="false">'Indicator Master'!B376</f>
        <v>Network &amp; Cross-Entity Linkage</v>
      </c>
      <c r="C377" s="10" t="str">
        <f aca="false">'Indicator Master'!D376</f>
        <v>Three-hop-plus chain where every intermediary keeps only a token margin</v>
      </c>
      <c r="D377" s="9" t="str">
        <f aca="false">'Indicator Master'!P376</f>
        <v>High</v>
      </c>
      <c r="E377" s="9" t="n">
        <f aca="false">'Indicator Master'!Q376</f>
        <v>8</v>
      </c>
      <c r="F377" s="36" t="s">
        <v>9124</v>
      </c>
      <c r="G377" s="9" t="n">
        <f aca="false">IF(UPPER(F377)="Y",E377,0)</f>
        <v>0</v>
      </c>
    </row>
    <row r="378" customFormat="false" ht="25.5" hidden="false" customHeight="true" outlineLevel="0" collapsed="false">
      <c r="A378" s="9" t="str">
        <f aca="false">'Indicator Master'!A377</f>
        <v>NET-021</v>
      </c>
      <c r="B378" s="9" t="str">
        <f aca="false">'Indicator Master'!B377</f>
        <v>Network &amp; Cross-Entity Linkage</v>
      </c>
      <c r="C378" s="10" t="str">
        <f aca="false">'Indicator Master'!D377</f>
        <v>Directed cycle returns funds or invoices to the originator within a short path</v>
      </c>
      <c r="D378" s="9" t="str">
        <f aca="false">'Indicator Master'!P377</f>
        <v>Critical</v>
      </c>
      <c r="E378" s="9" t="n">
        <f aca="false">'Indicator Master'!Q377</f>
        <v>10</v>
      </c>
      <c r="F378" s="36" t="s">
        <v>9124</v>
      </c>
      <c r="G378" s="9" t="n">
        <f aca="false">IF(UPPER(F378)="Y",E378,0)</f>
        <v>0</v>
      </c>
    </row>
    <row r="379" customFormat="false" ht="25.5" hidden="false" customHeight="true" outlineLevel="0" collapsed="false">
      <c r="A379" s="9" t="str">
        <f aca="false">'Indicator Master'!A378</f>
        <v>NET-022</v>
      </c>
      <c r="B379" s="9" t="str">
        <f aca="false">'Indicator Master'!B378</f>
        <v>Network &amp; Cross-Entity Linkage</v>
      </c>
      <c r="C379" s="10" t="str">
        <f aca="false">'Indicator Master'!D378</f>
        <v>Community detection isolates a dense subgraph with almost no trade outside it</v>
      </c>
      <c r="D379" s="9" t="str">
        <f aca="false">'Indicator Master'!P378</f>
        <v>Medium</v>
      </c>
      <c r="E379" s="9" t="n">
        <f aca="false">'Indicator Master'!Q378</f>
        <v>5</v>
      </c>
      <c r="F379" s="36" t="s">
        <v>9124</v>
      </c>
      <c r="G379" s="9" t="n">
        <f aca="false">IF(UPPER(F379)="Y",E379,0)</f>
        <v>0</v>
      </c>
    </row>
    <row r="380" customFormat="false" ht="25.5" hidden="false" customHeight="true" outlineLevel="0" collapsed="false">
      <c r="A380" s="9" t="str">
        <f aca="false">'Indicator Master'!A379</f>
        <v>NET-023</v>
      </c>
      <c r="B380" s="9" t="str">
        <f aca="false">'Indicator Master'!B379</f>
        <v>Network &amp; Cross-Entity Linkage</v>
      </c>
      <c r="C380" s="10" t="str">
        <f aca="false">'Indicator Master'!D379</f>
        <v>Short degrees of separation from a struck-off, blacklisted or enforcement-hit entity</v>
      </c>
      <c r="D380" s="9" t="str">
        <f aca="false">'Indicator Master'!P379</f>
        <v>Medium</v>
      </c>
      <c r="E380" s="9" t="n">
        <f aca="false">'Indicator Master'!Q379</f>
        <v>5</v>
      </c>
      <c r="F380" s="36" t="s">
        <v>9124</v>
      </c>
      <c r="G380" s="9" t="n">
        <f aca="false">IF(UPPER(F380)="Y",E380,0)</f>
        <v>0</v>
      </c>
    </row>
    <row r="381" customFormat="false" ht="25.5" hidden="false" customHeight="true" outlineLevel="0" collapsed="false">
      <c r="A381" s="9" t="str">
        <f aca="false">'Indicator Master'!A380</f>
        <v>NET-024</v>
      </c>
      <c r="B381" s="9" t="str">
        <f aca="false">'Indicator Master'!B380</f>
        <v>Network &amp; Cross-Entity Linkage</v>
      </c>
      <c r="C381" s="10" t="str">
        <f aca="false">'Indicator Master'!D380</f>
        <v>New node inherits the whole counterparty set of a recently struck-off entity</v>
      </c>
      <c r="D381" s="9" t="str">
        <f aca="false">'Indicator Master'!P380</f>
        <v>Critical</v>
      </c>
      <c r="E381" s="9" t="n">
        <f aca="false">'Indicator Master'!Q380</f>
        <v>9</v>
      </c>
      <c r="F381" s="36" t="s">
        <v>9124</v>
      </c>
      <c r="G381" s="9" t="n">
        <f aca="false">IF(UPPER(F381)="Y",E381,0)</f>
        <v>0</v>
      </c>
    </row>
    <row r="382" customFormat="false" ht="25.5" hidden="false" customHeight="true" outlineLevel="0" collapsed="false">
      <c r="A382" s="9" t="str">
        <f aca="false">'Indicator Master'!A381</f>
        <v>NET-025</v>
      </c>
      <c r="B382" s="9" t="str">
        <f aca="false">'Indicator Master'!B381</f>
        <v>Network &amp; Cross-Entity Linkage</v>
      </c>
      <c r="C382" s="10" t="str">
        <f aca="false">'Indicator Master'!D381</f>
        <v>Common ultimate beneficial owner behind entities that trade with each other</v>
      </c>
      <c r="D382" s="9" t="str">
        <f aca="false">'Indicator Master'!P381</f>
        <v>High</v>
      </c>
      <c r="E382" s="9" t="n">
        <f aca="false">'Indicator Master'!Q381</f>
        <v>8</v>
      </c>
      <c r="F382" s="36" t="s">
        <v>9124</v>
      </c>
      <c r="G382" s="9" t="n">
        <f aca="false">IF(UPPER(F382)="Y",E382,0)</f>
        <v>0</v>
      </c>
    </row>
    <row r="383" customFormat="false" ht="25.5" hidden="false" customHeight="true" outlineLevel="0" collapsed="false">
      <c r="A383" s="9" t="str">
        <f aca="false">'Indicator Master'!A382</f>
        <v>NET-026</v>
      </c>
      <c r="B383" s="9" t="str">
        <f aca="false">'Indicator Master'!B382</f>
        <v>Network &amp; Cross-Entity Linkage</v>
      </c>
      <c r="C383" s="10" t="str">
        <f aca="false">'Indicator Master'!D382</f>
        <v>Neighbourhood risk propagation — counterparties are overwhelmingly high-risk themselves</v>
      </c>
      <c r="D383" s="9" t="str">
        <f aca="false">'Indicator Master'!P382</f>
        <v>Low</v>
      </c>
      <c r="E383" s="9" t="n">
        <f aca="false">'Indicator Master'!Q382</f>
        <v>2</v>
      </c>
      <c r="F383" s="36" t="s">
        <v>9124</v>
      </c>
      <c r="G383" s="9" t="n">
        <f aca="false">IF(UPPER(F383)="Y",E383,0)</f>
        <v>0</v>
      </c>
    </row>
    <row r="384" customFormat="false" ht="25.5" hidden="false" customHeight="true" outlineLevel="0" collapsed="false">
      <c r="A384" s="9" t="str">
        <f aca="false">'Indicator Master'!A383</f>
        <v>NET-027</v>
      </c>
      <c r="B384" s="9" t="str">
        <f aca="false">'Indicator Master'!B383</f>
        <v>Network &amp; Cross-Entity Linkage</v>
      </c>
      <c r="C384" s="10" t="str">
        <f aca="false">'Indicator Master'!D383</f>
        <v>Temporal graph churn — the counterparty set is replaced wholesale every year</v>
      </c>
      <c r="D384" s="9" t="str">
        <f aca="false">'Indicator Master'!P383</f>
        <v>Medium</v>
      </c>
      <c r="E384" s="9" t="n">
        <f aca="false">'Indicator Master'!Q383</f>
        <v>5</v>
      </c>
      <c r="F384" s="36" t="s">
        <v>9124</v>
      </c>
      <c r="G384" s="9" t="n">
        <f aca="false">IF(UPPER(F384)="Y",E384,0)</f>
        <v>0</v>
      </c>
    </row>
    <row r="385" customFormat="false" ht="25.5" hidden="false" customHeight="true" outlineLevel="0" collapsed="false">
      <c r="A385" s="9" t="str">
        <f aca="false">'Indicator Master'!A384</f>
        <v>NET-028</v>
      </c>
      <c r="B385" s="9" t="str">
        <f aca="false">'Indicator Master'!B384</f>
        <v>Network &amp; Cross-Entity Linkage</v>
      </c>
      <c r="C385" s="10" t="str">
        <f aca="false">'Indicator Master'!D384</f>
        <v>One small set of bank accounts settles obligations for nominally separate entities</v>
      </c>
      <c r="D385" s="9" t="str">
        <f aca="false">'Indicator Master'!P384</f>
        <v>High</v>
      </c>
      <c r="E385" s="9" t="n">
        <f aca="false">'Indicator Master'!Q384</f>
        <v>8</v>
      </c>
      <c r="F385" s="36" t="s">
        <v>9124</v>
      </c>
      <c r="G385" s="9" t="n">
        <f aca="false">IF(UPPER(F385)="Y",E385,0)</f>
        <v>0</v>
      </c>
    </row>
    <row r="386" customFormat="false" ht="25.5" hidden="false" customHeight="true" outlineLevel="0" collapsed="false">
      <c r="A386" s="9" t="str">
        <f aca="false">'Indicator Master'!A385</f>
        <v>EXT-001</v>
      </c>
      <c r="B386" s="9" t="str">
        <f aca="false">'Indicator Master'!B385</f>
        <v>External, Legal &amp; Behavioural</v>
      </c>
      <c r="C386" s="10" t="str">
        <f aca="false">'Indicator Master'!D385</f>
        <v>Entity, director or beneficial owner matches a UNSC, MHA UAPA or OFAC designation</v>
      </c>
      <c r="D386" s="9" t="str">
        <f aca="false">'Indicator Master'!P385</f>
        <v>Critical</v>
      </c>
      <c r="E386" s="9" t="n">
        <f aca="false">'Indicator Master'!Q385</f>
        <v>10</v>
      </c>
      <c r="F386" s="36" t="s">
        <v>9124</v>
      </c>
      <c r="G386" s="9" t="n">
        <f aca="false">IF(UPPER(F386)="Y",E386,0)</f>
        <v>0</v>
      </c>
    </row>
    <row r="387" customFormat="false" ht="25.5" hidden="false" customHeight="true" outlineLevel="0" collapsed="false">
      <c r="A387" s="9" t="str">
        <f aca="false">'Indicator Master'!A386</f>
        <v>EXT-002</v>
      </c>
      <c r="B387" s="9" t="str">
        <f aca="false">'Indicator Master'!B386</f>
        <v>External, Legal &amp; Behavioural</v>
      </c>
      <c r="C387" s="10" t="str">
        <f aca="false">'Indicator Master'!D386</f>
        <v>Politically exposed person or close relative sits in the ownership or control chain</v>
      </c>
      <c r="D387" s="9" t="str">
        <f aca="false">'Indicator Master'!P386</f>
        <v>High</v>
      </c>
      <c r="E387" s="9" t="n">
        <f aca="false">'Indicator Master'!Q386</f>
        <v>7</v>
      </c>
      <c r="F387" s="36" t="s">
        <v>9124</v>
      </c>
      <c r="G387" s="9" t="n">
        <f aca="false">IF(UPPER(F387)="Y",E387,0)</f>
        <v>0</v>
      </c>
    </row>
    <row r="388" customFormat="false" ht="25.5" hidden="false" customHeight="true" outlineLevel="0" collapsed="false">
      <c r="A388" s="9" t="str">
        <f aca="false">'Indicator Master'!A387</f>
        <v>EXT-003</v>
      </c>
      <c r="B388" s="9" t="str">
        <f aca="false">'Indicator Master'!B387</f>
        <v>External, Legal &amp; Behavioural</v>
      </c>
      <c r="C388" s="10" t="str">
        <f aca="false">'Indicator Master'!D387</f>
        <v>Open ED, SFIO, DRI, CBI or DGGI proceeding names the entity or its key managers</v>
      </c>
      <c r="D388" s="9" t="str">
        <f aca="false">'Indicator Master'!P387</f>
        <v>Critical</v>
      </c>
      <c r="E388" s="9" t="n">
        <f aca="false">'Indicator Master'!Q387</f>
        <v>9</v>
      </c>
      <c r="F388" s="36" t="s">
        <v>9124</v>
      </c>
      <c r="G388" s="9" t="n">
        <f aca="false">IF(UPPER(F388)="Y",E388,0)</f>
        <v>0</v>
      </c>
    </row>
    <row r="389" customFormat="false" ht="25.5" hidden="false" customHeight="true" outlineLevel="0" collapsed="false">
      <c r="A389" s="9" t="str">
        <f aca="false">'Indicator Master'!A388</f>
        <v>EXT-004</v>
      </c>
      <c r="B389" s="9" t="str">
        <f aca="false">'Indicator Master'!B388</f>
        <v>External, Legal &amp; Behavioural</v>
      </c>
      <c r="C389" s="10" t="str">
        <f aca="false">'Indicator Master'!D388</f>
        <v>Income tax search, GST search or customs seizure action recorded against the entity</v>
      </c>
      <c r="D389" s="9" t="str">
        <f aca="false">'Indicator Master'!P388</f>
        <v>High</v>
      </c>
      <c r="E389" s="9" t="n">
        <f aca="false">'Indicator Master'!Q388</f>
        <v>8</v>
      </c>
      <c r="F389" s="36" t="s">
        <v>9124</v>
      </c>
      <c r="G389" s="9" t="n">
        <f aca="false">IF(UPPER(F389)="Y",E389,0)</f>
        <v>0</v>
      </c>
    </row>
    <row r="390" customFormat="false" ht="25.5" hidden="false" customHeight="true" outlineLevel="0" collapsed="false">
      <c r="A390" s="9" t="str">
        <f aca="false">'Indicator Master'!A389</f>
        <v>EXT-005</v>
      </c>
      <c r="B390" s="9" t="str">
        <f aca="false">'Indicator Master'!B389</f>
        <v>External, Legal &amp; Behavioural</v>
      </c>
      <c r="C390" s="10" t="str">
        <f aca="false">'Indicator Master'!D389</f>
        <v>Account tagged wilful defaulter, fraud or red-flagged by one or more lenders</v>
      </c>
      <c r="D390" s="9" t="str">
        <f aca="false">'Indicator Master'!P389</f>
        <v>Critical</v>
      </c>
      <c r="E390" s="9" t="n">
        <f aca="false">'Indicator Master'!Q389</f>
        <v>9</v>
      </c>
      <c r="F390" s="36" t="s">
        <v>9124</v>
      </c>
      <c r="G390" s="9" t="n">
        <f aca="false">IF(UPPER(F390)="Y",E390,0)</f>
        <v>0</v>
      </c>
    </row>
    <row r="391" customFormat="false" ht="25.5" hidden="false" customHeight="true" outlineLevel="0" collapsed="false">
      <c r="A391" s="9" t="str">
        <f aca="false">'Indicator Master'!A390</f>
        <v>EXT-006</v>
      </c>
      <c r="B391" s="9" t="str">
        <f aca="false">'Indicator Master'!B390</f>
        <v>External, Legal &amp; Behavioural</v>
      </c>
      <c r="C391" s="10" t="str">
        <f aca="false">'Indicator Master'!D390</f>
        <v>Insolvency admitted or liquidation ordered, with avoidance applications filed</v>
      </c>
      <c r="D391" s="9" t="str">
        <f aca="false">'Indicator Master'!P390</f>
        <v>High</v>
      </c>
      <c r="E391" s="9" t="n">
        <f aca="false">'Indicator Master'!Q390</f>
        <v>7</v>
      </c>
      <c r="F391" s="36" t="s">
        <v>9124</v>
      </c>
      <c r="G391" s="9" t="n">
        <f aca="false">IF(UPPER(F391)="Y",E391,0)</f>
        <v>0</v>
      </c>
    </row>
    <row r="392" customFormat="false" ht="25.5" hidden="false" customHeight="true" outlineLevel="0" collapsed="false">
      <c r="A392" s="9" t="str">
        <f aca="false">'Indicator Master'!A391</f>
        <v>EXT-007</v>
      </c>
      <c r="B392" s="9" t="str">
        <f aca="false">'Indicator Master'!B391</f>
        <v>External, Legal &amp; Behavioural</v>
      </c>
      <c r="C392" s="10" t="str">
        <f aca="false">'Indicator Master'!D391</f>
        <v>Directors appear on the ROC disqualified director list or hold deactivated DINs</v>
      </c>
      <c r="D392" s="9" t="str">
        <f aca="false">'Indicator Master'!P391</f>
        <v>High</v>
      </c>
      <c r="E392" s="9" t="n">
        <f aca="false">'Indicator Master'!Q391</f>
        <v>7</v>
      </c>
      <c r="F392" s="36" t="s">
        <v>9124</v>
      </c>
      <c r="G392" s="9" t="n">
        <f aca="false">IF(UPPER(F392)="Y",E392,0)</f>
        <v>0</v>
      </c>
    </row>
    <row r="393" customFormat="false" ht="25.5" hidden="false" customHeight="true" outlineLevel="0" collapsed="false">
      <c r="A393" s="9" t="str">
        <f aca="false">'Indicator Master'!A392</f>
        <v>EXT-008</v>
      </c>
      <c r="B393" s="9" t="str">
        <f aca="false">'Indicator Master'!B392</f>
        <v>External, Legal &amp; Behavioural</v>
      </c>
      <c r="C393" s="10" t="str">
        <f aca="false">'Indicator Master'!D392</f>
        <v>Credible adverse media alleges fraud, diversion or a Ponzi scheme by entity or owners</v>
      </c>
      <c r="D393" s="9" t="str">
        <f aca="false">'Indicator Master'!P392</f>
        <v>High</v>
      </c>
      <c r="E393" s="9" t="n">
        <f aca="false">'Indicator Master'!Q392</f>
        <v>6</v>
      </c>
      <c r="F393" s="36" t="s">
        <v>9124</v>
      </c>
      <c r="G393" s="9" t="n">
        <f aca="false">IF(UPPER(F393)="Y",E393,0)</f>
        <v>0</v>
      </c>
    </row>
    <row r="394" customFormat="false" ht="25.5" hidden="false" customHeight="true" outlineLevel="0" collapsed="false">
      <c r="A394" s="9" t="str">
        <f aca="false">'Indicator Master'!A393</f>
        <v>EXT-009</v>
      </c>
      <c r="B394" s="9" t="str">
        <f aca="false">'Indicator Master'!B393</f>
        <v>External, Legal &amp; Behavioural</v>
      </c>
      <c r="C394" s="10" t="str">
        <f aca="false">'Indicator Master'!D393</f>
        <v>Section 138 cheque bounce prosecutions high vs turnover, from many complainants</v>
      </c>
      <c r="D394" s="9" t="str">
        <f aca="false">'Indicator Master'!P393</f>
        <v>Medium</v>
      </c>
      <c r="E394" s="9" t="n">
        <f aca="false">'Indicator Master'!Q393</f>
        <v>5</v>
      </c>
      <c r="F394" s="36" t="s">
        <v>9124</v>
      </c>
      <c r="G394" s="9" t="n">
        <f aca="false">IF(UPPER(F394)="Y",E394,0)</f>
        <v>0</v>
      </c>
    </row>
    <row r="395" customFormat="false" ht="25.5" hidden="false" customHeight="true" outlineLevel="0" collapsed="false">
      <c r="A395" s="9" t="str">
        <f aca="false">'Indicator Master'!A394</f>
        <v>EXT-010</v>
      </c>
      <c r="B395" s="9" t="str">
        <f aca="false">'Indicator Master'!B394</f>
        <v>External, Legal &amp; Behavioural</v>
      </c>
      <c r="C395" s="10" t="str">
        <f aca="false">'Indicator Master'!D394</f>
        <v>Cluster of unrelated supplier recovery suits or winding-up petitions in a short window</v>
      </c>
      <c r="D395" s="9" t="str">
        <f aca="false">'Indicator Master'!P394</f>
        <v>Medium</v>
      </c>
      <c r="E395" s="9" t="n">
        <f aca="false">'Indicator Master'!Q394</f>
        <v>4</v>
      </c>
      <c r="F395" s="36" t="s">
        <v>9124</v>
      </c>
      <c r="G395" s="9" t="n">
        <f aca="false">IF(UPPER(F395)="Y",E395,0)</f>
        <v>0</v>
      </c>
    </row>
    <row r="396" customFormat="false" ht="25.5" hidden="false" customHeight="true" outlineLevel="0" collapsed="false">
      <c r="A396" s="9" t="str">
        <f aca="false">'Indicator Master'!A395</f>
        <v>EXT-011</v>
      </c>
      <c r="B396" s="9" t="str">
        <f aca="false">'Indicator Master'!B395</f>
        <v>External, Legal &amp; Behavioural</v>
      </c>
      <c r="C396" s="10" t="str">
        <f aca="false">'Indicator Master'!D395</f>
        <v>Arbitration and contract disputes disproportionate to size, with linked counterparties</v>
      </c>
      <c r="D396" s="9" t="str">
        <f aca="false">'Indicator Master'!P395</f>
        <v>Medium</v>
      </c>
      <c r="E396" s="9" t="n">
        <f aca="false">'Indicator Master'!Q395</f>
        <v>3</v>
      </c>
      <c r="F396" s="36" t="s">
        <v>9124</v>
      </c>
      <c r="G396" s="9" t="n">
        <f aca="false">IF(UPPER(F396)="Y",E396,0)</f>
        <v>0</v>
      </c>
    </row>
    <row r="397" customFormat="false" ht="25.5" hidden="false" customHeight="true" outlineLevel="0" collapsed="false">
      <c r="A397" s="9" t="str">
        <f aca="false">'Indicator Master'!A396</f>
        <v>EXT-012</v>
      </c>
      <c r="B397" s="9" t="str">
        <f aca="false">'Indicator Master'!B396</f>
        <v>External, Legal &amp; Behavioural</v>
      </c>
      <c r="C397" s="10" t="str">
        <f aca="false">'Indicator Master'!D396</f>
        <v>Entity named on an authority-published fake-invoice or bogus-dealer list</v>
      </c>
      <c r="D397" s="9" t="str">
        <f aca="false">'Indicator Master'!P396</f>
        <v>Critical</v>
      </c>
      <c r="E397" s="9" t="n">
        <f aca="false">'Indicator Master'!Q396</f>
        <v>9</v>
      </c>
      <c r="F397" s="36" t="s">
        <v>9124</v>
      </c>
      <c r="G397" s="9" t="n">
        <f aca="false">IF(UPPER(F397)="Y",E397,0)</f>
        <v>0</v>
      </c>
    </row>
    <row r="398" customFormat="false" ht="25.5" hidden="false" customHeight="true" outlineLevel="0" collapsed="false">
      <c r="A398" s="9" t="str">
        <f aca="false">'Indicator Master'!A397</f>
        <v>EXT-013</v>
      </c>
      <c r="B398" s="9" t="str">
        <f aca="false">'Indicator Master'!B397</f>
        <v>External, Legal &amp; Behavioural</v>
      </c>
      <c r="C398" s="10" t="str">
        <f aca="false">'Indicator Master'!D397</f>
        <v>Sector regulator has debarred the entity or cancelled its licence on conduct grounds</v>
      </c>
      <c r="D398" s="9" t="str">
        <f aca="false">'Indicator Master'!P397</f>
        <v>High</v>
      </c>
      <c r="E398" s="9" t="n">
        <f aca="false">'Indicator Master'!Q397</f>
        <v>8</v>
      </c>
      <c r="F398" s="36" t="s">
        <v>9124</v>
      </c>
      <c r="G398" s="9" t="n">
        <f aca="false">IF(UPPER(F398)="Y",E398,0)</f>
        <v>0</v>
      </c>
    </row>
    <row r="399" customFormat="false" ht="25.5" hidden="false" customHeight="true" outlineLevel="0" collapsed="false">
      <c r="A399" s="9" t="str">
        <f aca="false">'Indicator Master'!A398</f>
        <v>EXT-014</v>
      </c>
      <c r="B399" s="9" t="str">
        <f aca="false">'Indicator Master'!B398</f>
        <v>External, Legal &amp; Behavioural</v>
      </c>
      <c r="C399" s="10" t="str">
        <f aca="false">'Indicator Master'!D398</f>
        <v>First-degree linked entity sharing directors, UBO or address is already under enforcement</v>
      </c>
      <c r="D399" s="9" t="str">
        <f aca="false">'Indicator Master'!P398</f>
        <v>High</v>
      </c>
      <c r="E399" s="9" t="n">
        <f aca="false">'Indicator Master'!Q398</f>
        <v>6</v>
      </c>
      <c r="F399" s="36" t="s">
        <v>9124</v>
      </c>
      <c r="G399" s="9" t="n">
        <f aca="false">IF(UPPER(F399)="Y",E399,0)</f>
        <v>0</v>
      </c>
    </row>
    <row r="400" customFormat="false" ht="25.5" hidden="false" customHeight="true" outlineLevel="0" collapsed="false">
      <c r="A400" s="9" t="str">
        <f aca="false">'Indicator Master'!A399</f>
        <v>EXT-015</v>
      </c>
      <c r="B400" s="9" t="str">
        <f aca="false">'Indicator Master'!B399</f>
        <v>External, Legal &amp; Behavioural</v>
      </c>
      <c r="C400" s="10" t="str">
        <f aca="false">'Indicator Master'!D399</f>
        <v>Onboarding questions probe reporting thresholds, CTR limits or monitoring scope</v>
      </c>
      <c r="D400" s="9" t="str">
        <f aca="false">'Indicator Master'!P399</f>
        <v>Medium</v>
      </c>
      <c r="E400" s="9" t="n">
        <f aca="false">'Indicator Master'!Q399</f>
        <v>5</v>
      </c>
      <c r="F400" s="36" t="s">
        <v>9124</v>
      </c>
      <c r="G400" s="9" t="n">
        <f aca="false">IF(UPPER(F400)="Y",E400,0)</f>
        <v>0</v>
      </c>
    </row>
    <row r="401" customFormat="false" ht="25.5" hidden="false" customHeight="true" outlineLevel="0" collapsed="false">
      <c r="A401" s="9" t="str">
        <f aca="false">'Indicator Master'!A400</f>
        <v>EXT-016</v>
      </c>
      <c r="B401" s="9" t="str">
        <f aca="false">'Indicator Master'!B400</f>
        <v>External, Legal &amp; Behavioural</v>
      </c>
      <c r="C401" s="10" t="str">
        <f aca="false">'Indicator Master'!D400</f>
        <v>Accepts clearly above-market fees or unfavourable terms without any negotiation</v>
      </c>
      <c r="D401" s="9" t="str">
        <f aca="false">'Indicator Master'!P400</f>
        <v>Low</v>
      </c>
      <c r="E401" s="9" t="n">
        <f aca="false">'Indicator Master'!Q400</f>
        <v>2</v>
      </c>
      <c r="F401" s="36" t="s">
        <v>9124</v>
      </c>
      <c r="G401" s="9" t="n">
        <f aca="false">IF(UPPER(F401)="Y",E401,0)</f>
        <v>0</v>
      </c>
    </row>
    <row r="402" customFormat="false" ht="25.5" hidden="false" customHeight="true" outlineLevel="0" collapsed="false">
      <c r="A402" s="9" t="str">
        <f aca="false">'Indicator Master'!A401</f>
        <v>EXT-017</v>
      </c>
      <c r="B402" s="9" t="str">
        <f aca="false">'Indicator Master'!B401</f>
        <v>External, Legal &amp; Behavioural</v>
      </c>
      <c r="C402" s="10" t="str">
        <f aca="false">'Indicator Master'!D401</f>
        <v>Unexplained urgency with pressure applied through a senior or influential contact</v>
      </c>
      <c r="D402" s="9" t="str">
        <f aca="false">'Indicator Master'!P401</f>
        <v>Medium</v>
      </c>
      <c r="E402" s="9" t="n">
        <f aca="false">'Indicator Master'!Q401</f>
        <v>4</v>
      </c>
      <c r="F402" s="36" t="s">
        <v>9124</v>
      </c>
      <c r="G402" s="9" t="n">
        <f aca="false">IF(UPPER(F402)="Y",E402,0)</f>
        <v>0</v>
      </c>
    </row>
    <row r="403" customFormat="false" ht="25.5" hidden="false" customHeight="true" outlineLevel="0" collapsed="false">
      <c r="A403" s="9" t="str">
        <f aca="false">'Indicator Master'!A402</f>
        <v>EXT-018</v>
      </c>
      <c r="B403" s="9" t="str">
        <f aca="false">'Indicator Master'!B402</f>
        <v>External, Legal &amp; Behavioural</v>
      </c>
      <c r="C403" s="10" t="str">
        <f aca="false">'Indicator Master'!D402</f>
        <v>Source of funds or wealth story changes materially after each rejection</v>
      </c>
      <c r="D403" s="9" t="str">
        <f aca="false">'Indicator Master'!P402</f>
        <v>High</v>
      </c>
      <c r="E403" s="9" t="n">
        <f aca="false">'Indicator Master'!Q402</f>
        <v>7</v>
      </c>
      <c r="F403" s="36" t="s">
        <v>9124</v>
      </c>
      <c r="G403" s="9" t="n">
        <f aca="false">IF(UPPER(F403)="Y",E403,0)</f>
        <v>0</v>
      </c>
    </row>
    <row r="404" customFormat="false" ht="25.5" hidden="false" customHeight="true" outlineLevel="0" collapsed="false">
      <c r="A404" s="9" t="str">
        <f aca="false">'Indicator Master'!A403</f>
        <v>EXT-019</v>
      </c>
      <c r="B404" s="9" t="str">
        <f aca="false">'Indicator Master'!B403</f>
        <v>External, Legal &amp; Behavioural</v>
      </c>
      <c r="C404" s="10" t="str">
        <f aca="false">'Indicator Master'!D403</f>
        <v>Refuses in-person contact or sends a different representative to every interaction</v>
      </c>
      <c r="D404" s="9" t="str">
        <f aca="false">'Indicator Master'!P403</f>
        <v>Low</v>
      </c>
      <c r="E404" s="9" t="n">
        <f aca="false">'Indicator Master'!Q403</f>
        <v>2</v>
      </c>
      <c r="F404" s="36" t="s">
        <v>9124</v>
      </c>
      <c r="G404" s="9" t="n">
        <f aca="false">IF(UPPER(F404)="Y",E404,0)</f>
        <v>0</v>
      </c>
    </row>
    <row r="405" customFormat="false" ht="25.5" hidden="false" customHeight="true" outlineLevel="0" collapsed="false">
      <c r="A405" s="9" t="str">
        <f aca="false">'Indicator Master'!A404</f>
        <v>EXT-020</v>
      </c>
      <c r="B405" s="9" t="str">
        <f aca="false">'Indicator Master'!B404</f>
        <v>External, Legal &amp; Behavioural</v>
      </c>
      <c r="C405" s="10" t="str">
        <f aca="false">'Indicator Master'!D404</f>
        <v>Application abandoned within days of enhanced due diligence being requested</v>
      </c>
      <c r="D405" s="9" t="str">
        <f aca="false">'Indicator Master'!P404</f>
        <v>Medium</v>
      </c>
      <c r="E405" s="9" t="n">
        <f aca="false">'Indicator Master'!Q404</f>
        <v>4</v>
      </c>
      <c r="F405" s="36" t="s">
        <v>9124</v>
      </c>
      <c r="G405" s="9" t="n">
        <f aca="false">IF(UPPER(F405)="Y",E405,0)</f>
        <v>0</v>
      </c>
    </row>
    <row r="406" customFormat="false" ht="25.5" hidden="false" customHeight="true" outlineLevel="0" collapsed="false">
      <c r="A406" s="9" t="str">
        <f aca="false">'Indicator Master'!A405</f>
        <v>EXT-021</v>
      </c>
      <c r="B406" s="9" t="str">
        <f aca="false">'Indicator Master'!B405</f>
        <v>External, Legal &amp; Behavioural</v>
      </c>
      <c r="C406" s="10" t="str">
        <f aca="false">'Indicator Master'!D405</f>
        <v>Documents produced only in fragments, each item supplied after a specific demand</v>
      </c>
      <c r="D406" s="9" t="str">
        <f aca="false">'Indicator Master'!P405</f>
        <v>Low</v>
      </c>
      <c r="E406" s="9" t="n">
        <f aca="false">'Indicator Master'!Q405</f>
        <v>1</v>
      </c>
      <c r="F406" s="36" t="s">
        <v>9124</v>
      </c>
      <c r="G406" s="9" t="n">
        <f aca="false">IF(UPPER(F406)="Y",E406,0)</f>
        <v>0</v>
      </c>
    </row>
    <row r="407" customFormat="false" ht="25.5" hidden="false" customHeight="true" outlineLevel="0" collapsed="false">
      <c r="A407" s="9" t="str">
        <f aca="false">'Indicator Master'!A406</f>
        <v>EXT-022</v>
      </c>
      <c r="B407" s="9" t="str">
        <f aca="false">'Indicator Master'!B406</f>
        <v>External, Legal &amp; Behavioural</v>
      </c>
      <c r="C407" s="10" t="str">
        <f aca="false">'Indicator Master'!D406</f>
        <v>Public tender win rate or winning margin improbably good for the entity's size</v>
      </c>
      <c r="D407" s="9" t="str">
        <f aca="false">'Indicator Master'!P406</f>
        <v>High</v>
      </c>
      <c r="E407" s="9" t="n">
        <f aca="false">'Indicator Master'!Q406</f>
        <v>6</v>
      </c>
      <c r="F407" s="36" t="s">
        <v>9124</v>
      </c>
      <c r="G407" s="9" t="n">
        <f aca="false">IF(UPPER(F407)="Y",E407,0)</f>
        <v>0</v>
      </c>
    </row>
    <row r="408" customFormat="false" ht="25.5" hidden="false" customHeight="true" outlineLevel="0" collapsed="false">
      <c r="A408" s="9" t="str">
        <f aca="false">'Indicator Master'!A407</f>
        <v>EXT-023</v>
      </c>
      <c r="B408" s="9" t="str">
        <f aca="false">'Indicator Master'!B407</f>
        <v>External, Legal &amp; Behavioural</v>
      </c>
      <c r="C408" s="10" t="str">
        <f aca="false">'Indicator Master'!D407</f>
        <v>Bids in the same tenders as entities sharing its directors, address or contact details</v>
      </c>
      <c r="D408" s="9" t="str">
        <f aca="false">'Indicator Master'!P407</f>
        <v>High</v>
      </c>
      <c r="E408" s="9" t="n">
        <f aca="false">'Indicator Master'!Q407</f>
        <v>7</v>
      </c>
      <c r="F408" s="36" t="s">
        <v>9124</v>
      </c>
      <c r="G408" s="9" t="n">
        <f aca="false">IF(UPPER(F408)="Y",E408,0)</f>
        <v>0</v>
      </c>
    </row>
    <row r="409" customFormat="false" ht="25.5" hidden="false" customHeight="true" outlineLevel="0" collapsed="false">
      <c r="A409" s="9" t="str">
        <f aca="false">'Indicator Master'!A408</f>
        <v>EXT-024</v>
      </c>
      <c r="B409" s="9" t="str">
        <f aca="false">'Indicator Master'!B408</f>
        <v>External, Legal &amp; Behavioural</v>
      </c>
      <c r="C409" s="10" t="str">
        <f aca="false">'Indicator Master'!D408</f>
        <v>Awarded a contract far beyond its demonstrable capacity or past performance</v>
      </c>
      <c r="D409" s="9" t="str">
        <f aca="false">'Indicator Master'!P408</f>
        <v>Medium</v>
      </c>
      <c r="E409" s="9" t="n">
        <f aca="false">'Indicator Master'!Q408</f>
        <v>5</v>
      </c>
      <c r="F409" s="36" t="s">
        <v>9124</v>
      </c>
      <c r="G409" s="9" t="n">
        <f aca="false">IF(UPPER(F409)="Y",E409,0)</f>
        <v>0</v>
      </c>
    </row>
    <row r="410" customFormat="false" ht="25.5" hidden="false" customHeight="true" outlineLevel="0" collapsed="false">
      <c r="A410" s="9" t="str">
        <f aca="false">'Indicator Master'!A409</f>
        <v>EXT-025</v>
      </c>
      <c r="B410" s="9" t="str">
        <f aca="false">'Indicator Master'!B409</f>
        <v>External, Legal &amp; Behavioural</v>
      </c>
      <c r="C410" s="10" t="str">
        <f aca="false">'Indicator Master'!D409</f>
        <v>Incorporated just before the cut-off that qualifies it for a subsidy or incentive</v>
      </c>
      <c r="D410" s="9" t="str">
        <f aca="false">'Indicator Master'!P409</f>
        <v>Low</v>
      </c>
      <c r="E410" s="9" t="n">
        <f aca="false">'Indicator Master'!Q409</f>
        <v>2</v>
      </c>
      <c r="F410" s="36" t="s">
        <v>9124</v>
      </c>
      <c r="G410" s="9" t="n">
        <f aca="false">IF(UPPER(F410)="Y",E410,0)</f>
        <v>0</v>
      </c>
    </row>
    <row r="411" customFormat="false" ht="25.5" hidden="false" customHeight="true" outlineLevel="0" collapsed="false">
      <c r="A411" s="9" t="str">
        <f aca="false">'Indicator Master'!A410</f>
        <v>EXT-026</v>
      </c>
      <c r="B411" s="9" t="str">
        <f aca="false">'Indicator Master'!B410</f>
        <v>External, Legal &amp; Behavioural</v>
      </c>
      <c r="C411" s="10" t="str">
        <f aca="false">'Indicator Master'!D410</f>
        <v>Sudden large supplier to a single public sector buyer with no prior track record</v>
      </c>
      <c r="D411" s="9" t="str">
        <f aca="false">'Indicator Master'!P410</f>
        <v>Medium</v>
      </c>
      <c r="E411" s="9" t="n">
        <f aca="false">'Indicator Master'!Q410</f>
        <v>5</v>
      </c>
      <c r="F411" s="36" t="s">
        <v>9124</v>
      </c>
      <c r="G411" s="9" t="n">
        <f aca="false">IF(UPPER(F411)="Y",E411,0)</f>
        <v>0</v>
      </c>
    </row>
  </sheetData>
  <autoFilter ref="A4:G411"/>
  <dataValidations count="1">
    <dataValidation allowBlank="true" errorStyle="stop" operator="between" showDropDown="false" showErrorMessage="false" showInputMessage="false" sqref="F5:F41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36"/>
    <col collapsed="false" customWidth="true" hidden="false" outlineLevel="0" max="2" min="2" style="1" width="9"/>
    <col collapsed="false" customWidth="true" hidden="false" outlineLevel="0" max="3" min="3" style="1" width="10"/>
    <col collapsed="false" customWidth="true" hidden="false" outlineLevel="0" max="4" min="4" style="1" width="9"/>
    <col collapsed="false" customWidth="true" hidden="false" outlineLevel="0" max="5" min="5" style="1" width="10"/>
    <col collapsed="false" customWidth="true" hidden="false" outlineLevel="0" max="6" min="6" style="1" width="8"/>
    <col collapsed="false" customWidth="true" hidden="false" outlineLevel="0" max="7" min="7" style="1" width="13"/>
    <col collapsed="false" customWidth="true" hidden="false" outlineLevel="0" max="8" min="8" style="1" width="15"/>
    <col collapsed="false" customWidth="true" hidden="false" outlineLevel="0" max="9" min="9" style="1" width="14"/>
    <col collapsed="false" customWidth="true" hidden="false" outlineLevel="0" max="10" min="10" style="1" width="12"/>
  </cols>
  <sheetData>
    <row r="1" customFormat="false" ht="18" hidden="false" customHeight="true" outlineLevel="0" collapsed="false">
      <c r="A1" s="7" t="s">
        <v>9140</v>
      </c>
    </row>
    <row r="2" customFormat="false" ht="15" hidden="false" customHeight="true" outlineLevel="0" collapsed="false">
      <c r="A2" s="3" t="s">
        <v>9141</v>
      </c>
    </row>
    <row r="3" customFormat="false" ht="25.5" hidden="false" customHeight="true" outlineLevel="0" collapsed="false">
      <c r="A3" s="8" t="s">
        <v>41</v>
      </c>
      <c r="B3" s="8" t="s">
        <v>9142</v>
      </c>
      <c r="C3" s="8" t="s">
        <v>73</v>
      </c>
      <c r="D3" s="8" t="s">
        <v>90</v>
      </c>
      <c r="E3" s="8" t="s">
        <v>74</v>
      </c>
      <c r="F3" s="8" t="s">
        <v>119</v>
      </c>
      <c r="G3" s="8" t="s">
        <v>9143</v>
      </c>
      <c r="H3" s="8" t="s">
        <v>9144</v>
      </c>
      <c r="I3" s="8" t="s">
        <v>9145</v>
      </c>
      <c r="J3" s="8" t="s">
        <v>9146</v>
      </c>
    </row>
    <row r="4" customFormat="false" ht="24" hidden="false" customHeight="true" outlineLevel="0" collapsed="false">
      <c r="A4" s="10" t="s">
        <v>59</v>
      </c>
      <c r="B4" s="9" t="n">
        <f aca="false">COUNTIF('Indicator Master'!$B$4:$B$410,$A4)</f>
        <v>60</v>
      </c>
      <c r="C4" s="9" t="n">
        <f aca="false">COUNTIFS('Indicator Master'!$B$4:$B$410,$A4,'Indicator Master'!$P$4:$P$410,"Critical")</f>
        <v>10</v>
      </c>
      <c r="D4" s="9" t="n">
        <f aca="false">COUNTIFS('Indicator Master'!$B$4:$B$410,$A4,'Indicator Master'!$P$4:$P$410,"High")</f>
        <v>23</v>
      </c>
      <c r="E4" s="9" t="n">
        <f aca="false">COUNTIFS('Indicator Master'!$B$4:$B$410,$A4,'Indicator Master'!$P$4:$P$410,"Medium")</f>
        <v>19</v>
      </c>
      <c r="F4" s="9" t="n">
        <f aca="false">COUNTIFS('Indicator Master'!$B$4:$B$410,$A4,'Indicator Master'!$P$4:$P$410,"Low")</f>
        <v>8</v>
      </c>
      <c r="G4" s="9" t="n">
        <f aca="false">SUMIF('Indicator Master'!$B$4:$B$410,$A4,'Indicator Master'!$Q$4:$Q$410)</f>
        <v>364</v>
      </c>
      <c r="H4" s="9" t="n">
        <f aca="false">COUNTIFS('Scoring Model'!$B$5:$B$411,$A4,'Scoring Model'!$F$5:$F$411,"Y")</f>
        <v>0</v>
      </c>
      <c r="I4" s="9" t="n">
        <f aca="false">SUMIF('Scoring Model'!$B$5:$B$411,$A4,'Scoring Model'!$G$5:$G$411)</f>
        <v>0</v>
      </c>
      <c r="J4" s="41" t="n">
        <f aca="false">IFERROR($I4/$G4,0)</f>
        <v>0</v>
      </c>
    </row>
    <row r="5" customFormat="false" ht="24" hidden="false" customHeight="true" outlineLevel="0" collapsed="false">
      <c r="A5" s="10" t="s">
        <v>837</v>
      </c>
      <c r="B5" s="9" t="n">
        <f aca="false">COUNTIF('Indicator Master'!$B$4:$B$410,$A5)</f>
        <v>50</v>
      </c>
      <c r="C5" s="9" t="n">
        <f aca="false">COUNTIFS('Indicator Master'!$B$4:$B$410,$A5,'Indicator Master'!$P$4:$P$410,"Critical")</f>
        <v>7</v>
      </c>
      <c r="D5" s="9" t="n">
        <f aca="false">COUNTIFS('Indicator Master'!$B$4:$B$410,$A5,'Indicator Master'!$P$4:$P$410,"High")</f>
        <v>19</v>
      </c>
      <c r="E5" s="9" t="n">
        <f aca="false">COUNTIFS('Indicator Master'!$B$4:$B$410,$A5,'Indicator Master'!$P$4:$P$410,"Medium")</f>
        <v>17</v>
      </c>
      <c r="F5" s="9" t="n">
        <f aca="false">COUNTIFS('Indicator Master'!$B$4:$B$410,$A5,'Indicator Master'!$P$4:$P$410,"Low")</f>
        <v>7</v>
      </c>
      <c r="G5" s="9" t="n">
        <f aca="false">SUMIF('Indicator Master'!$B$4:$B$410,$A5,'Indicator Master'!$Q$4:$Q$410)</f>
        <v>289</v>
      </c>
      <c r="H5" s="9" t="n">
        <f aca="false">COUNTIFS('Scoring Model'!$B$5:$B$411,$A5,'Scoring Model'!$F$5:$F$411,"Y")</f>
        <v>0</v>
      </c>
      <c r="I5" s="9" t="n">
        <f aca="false">SUMIF('Scoring Model'!$B$5:$B$411,$A5,'Scoring Model'!$G$5:$G$411)</f>
        <v>0</v>
      </c>
      <c r="J5" s="41" t="n">
        <f aca="false">IFERROR($I5/$G5,0)</f>
        <v>0</v>
      </c>
    </row>
    <row r="6" customFormat="false" ht="24" hidden="false" customHeight="true" outlineLevel="0" collapsed="false">
      <c r="A6" s="10" t="s">
        <v>1500</v>
      </c>
      <c r="B6" s="9" t="n">
        <f aca="false">COUNTIF('Indicator Master'!$B$4:$B$410,$A6)</f>
        <v>50</v>
      </c>
      <c r="C6" s="9" t="n">
        <f aca="false">COUNTIFS('Indicator Master'!$B$4:$B$410,$A6,'Indicator Master'!$P$4:$P$410,"Critical")</f>
        <v>8</v>
      </c>
      <c r="D6" s="9" t="n">
        <f aca="false">COUNTIFS('Indicator Master'!$B$4:$B$410,$A6,'Indicator Master'!$P$4:$P$410,"High")</f>
        <v>20</v>
      </c>
      <c r="E6" s="9" t="n">
        <f aca="false">COUNTIFS('Indicator Master'!$B$4:$B$410,$A6,'Indicator Master'!$P$4:$P$410,"Medium")</f>
        <v>16</v>
      </c>
      <c r="F6" s="9" t="n">
        <f aca="false">COUNTIFS('Indicator Master'!$B$4:$B$410,$A6,'Indicator Master'!$P$4:$P$410,"Low")</f>
        <v>6</v>
      </c>
      <c r="G6" s="9" t="n">
        <f aca="false">SUMIF('Indicator Master'!$B$4:$B$410,$A6,'Indicator Master'!$Q$4:$Q$410)</f>
        <v>306</v>
      </c>
      <c r="H6" s="9" t="n">
        <f aca="false">COUNTIFS('Scoring Model'!$B$5:$B$411,$A6,'Scoring Model'!$F$5:$F$411,"Y")</f>
        <v>0</v>
      </c>
      <c r="I6" s="9" t="n">
        <f aca="false">SUMIF('Scoring Model'!$B$5:$B$411,$A6,'Scoring Model'!$G$5:$G$411)</f>
        <v>0</v>
      </c>
      <c r="J6" s="41" t="n">
        <f aca="false">IFERROR($I6/$G6,0)</f>
        <v>0</v>
      </c>
    </row>
    <row r="7" customFormat="false" ht="24" hidden="false" customHeight="true" outlineLevel="0" collapsed="false">
      <c r="A7" s="10" t="s">
        <v>2140</v>
      </c>
      <c r="B7" s="9" t="n">
        <f aca="false">COUNTIF('Indicator Master'!$B$4:$B$410,$A7)</f>
        <v>45</v>
      </c>
      <c r="C7" s="9" t="n">
        <f aca="false">COUNTIFS('Indicator Master'!$B$4:$B$410,$A7,'Indicator Master'!$P$4:$P$410,"Critical")</f>
        <v>7</v>
      </c>
      <c r="D7" s="9" t="n">
        <f aca="false">COUNTIFS('Indicator Master'!$B$4:$B$410,$A7,'Indicator Master'!$P$4:$P$410,"High")</f>
        <v>16</v>
      </c>
      <c r="E7" s="9" t="n">
        <f aca="false">COUNTIFS('Indicator Master'!$B$4:$B$410,$A7,'Indicator Master'!$P$4:$P$410,"Medium")</f>
        <v>16</v>
      </c>
      <c r="F7" s="9" t="n">
        <f aca="false">COUNTIFS('Indicator Master'!$B$4:$B$410,$A7,'Indicator Master'!$P$4:$P$410,"Low")</f>
        <v>6</v>
      </c>
      <c r="G7" s="9" t="n">
        <f aca="false">SUMIF('Indicator Master'!$B$4:$B$410,$A7,'Indicator Master'!$Q$4:$Q$410)</f>
        <v>271</v>
      </c>
      <c r="H7" s="9" t="n">
        <f aca="false">COUNTIFS('Scoring Model'!$B$5:$B$411,$A7,'Scoring Model'!$F$5:$F$411,"Y")</f>
        <v>0</v>
      </c>
      <c r="I7" s="9" t="n">
        <f aca="false">SUMIF('Scoring Model'!$B$5:$B$411,$A7,'Scoring Model'!$G$5:$G$411)</f>
        <v>0</v>
      </c>
      <c r="J7" s="41" t="n">
        <f aca="false">IFERROR($I7/$G7,0)</f>
        <v>0</v>
      </c>
    </row>
    <row r="8" customFormat="false" ht="24" hidden="false" customHeight="true" outlineLevel="0" collapsed="false">
      <c r="A8" s="10" t="s">
        <v>2713</v>
      </c>
      <c r="B8" s="9" t="n">
        <f aca="false">COUNTIF('Indicator Master'!$B$4:$B$410,$A8)</f>
        <v>48</v>
      </c>
      <c r="C8" s="9" t="n">
        <f aca="false">COUNTIFS('Indicator Master'!$B$4:$B$410,$A8,'Indicator Master'!$P$4:$P$410,"Critical")</f>
        <v>7</v>
      </c>
      <c r="D8" s="9" t="n">
        <f aca="false">COUNTIFS('Indicator Master'!$B$4:$B$410,$A8,'Indicator Master'!$P$4:$P$410,"High")</f>
        <v>18</v>
      </c>
      <c r="E8" s="9" t="n">
        <f aca="false">COUNTIFS('Indicator Master'!$B$4:$B$410,$A8,'Indicator Master'!$P$4:$P$410,"Medium")</f>
        <v>15</v>
      </c>
      <c r="F8" s="9" t="n">
        <f aca="false">COUNTIFS('Indicator Master'!$B$4:$B$410,$A8,'Indicator Master'!$P$4:$P$410,"Low")</f>
        <v>8</v>
      </c>
      <c r="G8" s="9" t="n">
        <f aca="false">SUMIF('Indicator Master'!$B$4:$B$410,$A8,'Indicator Master'!$Q$4:$Q$410)</f>
        <v>272</v>
      </c>
      <c r="H8" s="9" t="n">
        <f aca="false">COUNTIFS('Scoring Model'!$B$5:$B$411,$A8,'Scoring Model'!$F$5:$F$411,"Y")</f>
        <v>0</v>
      </c>
      <c r="I8" s="9" t="n">
        <f aca="false">SUMIF('Scoring Model'!$B$5:$B$411,$A8,'Scoring Model'!$G$5:$G$411)</f>
        <v>0</v>
      </c>
      <c r="J8" s="41" t="n">
        <f aca="false">IFERROR($I8/$G8,0)</f>
        <v>0</v>
      </c>
    </row>
    <row r="9" customFormat="false" ht="24" hidden="false" customHeight="true" outlineLevel="0" collapsed="false">
      <c r="A9" s="10" t="s">
        <v>3291</v>
      </c>
      <c r="B9" s="9" t="n">
        <f aca="false">COUNTIF('Indicator Master'!$B$4:$B$410,$A9)</f>
        <v>42</v>
      </c>
      <c r="C9" s="9" t="n">
        <f aca="false">COUNTIFS('Indicator Master'!$B$4:$B$410,$A9,'Indicator Master'!$P$4:$P$410,"Critical")</f>
        <v>6</v>
      </c>
      <c r="D9" s="9" t="n">
        <f aca="false">COUNTIFS('Indicator Master'!$B$4:$B$410,$A9,'Indicator Master'!$P$4:$P$410,"High")</f>
        <v>15</v>
      </c>
      <c r="E9" s="9" t="n">
        <f aca="false">COUNTIFS('Indicator Master'!$B$4:$B$410,$A9,'Indicator Master'!$P$4:$P$410,"Medium")</f>
        <v>16</v>
      </c>
      <c r="F9" s="9" t="n">
        <f aca="false">COUNTIFS('Indicator Master'!$B$4:$B$410,$A9,'Indicator Master'!$P$4:$P$410,"Low")</f>
        <v>5</v>
      </c>
      <c r="G9" s="9" t="n">
        <f aca="false">SUMIF('Indicator Master'!$B$4:$B$410,$A9,'Indicator Master'!$Q$4:$Q$410)</f>
        <v>235</v>
      </c>
      <c r="H9" s="9" t="n">
        <f aca="false">COUNTIFS('Scoring Model'!$B$5:$B$411,$A9,'Scoring Model'!$F$5:$F$411,"Y")</f>
        <v>0</v>
      </c>
      <c r="I9" s="9" t="n">
        <f aca="false">SUMIF('Scoring Model'!$B$5:$B$411,$A9,'Scoring Model'!$G$5:$G$411)</f>
        <v>0</v>
      </c>
      <c r="J9" s="41" t="n">
        <f aca="false">IFERROR($I9/$G9,0)</f>
        <v>0</v>
      </c>
    </row>
    <row r="10" customFormat="false" ht="24" hidden="false" customHeight="true" outlineLevel="0" collapsed="false">
      <c r="A10" s="10" t="s">
        <v>3842</v>
      </c>
      <c r="B10" s="9" t="n">
        <f aca="false">COUNTIF('Indicator Master'!$B$4:$B$410,$A10)</f>
        <v>28</v>
      </c>
      <c r="C10" s="9" t="n">
        <f aca="false">COUNTIFS('Indicator Master'!$B$4:$B$410,$A10,'Indicator Master'!$P$4:$P$410,"Critical")</f>
        <v>4</v>
      </c>
      <c r="D10" s="9" t="n">
        <f aca="false">COUNTIFS('Indicator Master'!$B$4:$B$410,$A10,'Indicator Master'!$P$4:$P$410,"High")</f>
        <v>10</v>
      </c>
      <c r="E10" s="9" t="n">
        <f aca="false">COUNTIFS('Indicator Master'!$B$4:$B$410,$A10,'Indicator Master'!$P$4:$P$410,"Medium")</f>
        <v>10</v>
      </c>
      <c r="F10" s="9" t="n">
        <f aca="false">COUNTIFS('Indicator Master'!$B$4:$B$410,$A10,'Indicator Master'!$P$4:$P$410,"Low")</f>
        <v>4</v>
      </c>
      <c r="G10" s="9" t="n">
        <f aca="false">SUMIF('Indicator Master'!$B$4:$B$410,$A10,'Indicator Master'!$Q$4:$Q$410)</f>
        <v>163</v>
      </c>
      <c r="H10" s="9" t="n">
        <f aca="false">COUNTIFS('Scoring Model'!$B$5:$B$411,$A10,'Scoring Model'!$F$5:$F$411,"Y")</f>
        <v>0</v>
      </c>
      <c r="I10" s="9" t="n">
        <f aca="false">SUMIF('Scoring Model'!$B$5:$B$411,$A10,'Scoring Model'!$G$5:$G$411)</f>
        <v>0</v>
      </c>
      <c r="J10" s="41" t="n">
        <f aca="false">IFERROR($I10/$G10,0)</f>
        <v>0</v>
      </c>
    </row>
    <row r="11" customFormat="false" ht="24" hidden="false" customHeight="true" outlineLevel="0" collapsed="false">
      <c r="A11" s="10" t="s">
        <v>4203</v>
      </c>
      <c r="B11" s="9" t="n">
        <f aca="false">COUNTIF('Indicator Master'!$B$4:$B$410,$A11)</f>
        <v>30</v>
      </c>
      <c r="C11" s="9" t="n">
        <f aca="false">COUNTIFS('Indicator Master'!$B$4:$B$410,$A11,'Indicator Master'!$P$4:$P$410,"Critical")</f>
        <v>4</v>
      </c>
      <c r="D11" s="9" t="n">
        <f aca="false">COUNTIFS('Indicator Master'!$B$4:$B$410,$A11,'Indicator Master'!$P$4:$P$410,"High")</f>
        <v>11</v>
      </c>
      <c r="E11" s="9" t="n">
        <f aca="false">COUNTIFS('Indicator Master'!$B$4:$B$410,$A11,'Indicator Master'!$P$4:$P$410,"Medium")</f>
        <v>10</v>
      </c>
      <c r="F11" s="9" t="n">
        <f aca="false">COUNTIFS('Indicator Master'!$B$4:$B$410,$A11,'Indicator Master'!$P$4:$P$410,"Low")</f>
        <v>5</v>
      </c>
      <c r="G11" s="9" t="n">
        <f aca="false">SUMIF('Indicator Master'!$B$4:$B$410,$A11,'Indicator Master'!$Q$4:$Q$410)</f>
        <v>164</v>
      </c>
      <c r="H11" s="9" t="n">
        <f aca="false">COUNTIFS('Scoring Model'!$B$5:$B$411,$A11,'Scoring Model'!$F$5:$F$411,"Y")</f>
        <v>0</v>
      </c>
      <c r="I11" s="9" t="n">
        <f aca="false">SUMIF('Scoring Model'!$B$5:$B$411,$A11,'Scoring Model'!$G$5:$G$411)</f>
        <v>0</v>
      </c>
      <c r="J11" s="41" t="n">
        <f aca="false">IFERROR($I11/$G11,0)</f>
        <v>0</v>
      </c>
    </row>
    <row r="12" customFormat="false" ht="24" hidden="false" customHeight="true" outlineLevel="0" collapsed="false">
      <c r="A12" s="10" t="s">
        <v>4582</v>
      </c>
      <c r="B12" s="9" t="n">
        <f aca="false">COUNTIF('Indicator Master'!$B$4:$B$410,$A12)</f>
        <v>28</v>
      </c>
      <c r="C12" s="9" t="n">
        <f aca="false">COUNTIFS('Indicator Master'!$B$4:$B$410,$A12,'Indicator Master'!$P$4:$P$410,"Critical")</f>
        <v>4</v>
      </c>
      <c r="D12" s="9" t="n">
        <f aca="false">COUNTIFS('Indicator Master'!$B$4:$B$410,$A12,'Indicator Master'!$P$4:$P$410,"High")</f>
        <v>10</v>
      </c>
      <c r="E12" s="9" t="n">
        <f aca="false">COUNTIFS('Indicator Master'!$B$4:$B$410,$A12,'Indicator Master'!$P$4:$P$410,"Medium")</f>
        <v>10</v>
      </c>
      <c r="F12" s="9" t="n">
        <f aca="false">COUNTIFS('Indicator Master'!$B$4:$B$410,$A12,'Indicator Master'!$P$4:$P$410,"Low")</f>
        <v>4</v>
      </c>
      <c r="G12" s="9" t="n">
        <f aca="false">SUMIF('Indicator Master'!$B$4:$B$410,$A12,'Indicator Master'!$Q$4:$Q$410)</f>
        <v>169</v>
      </c>
      <c r="H12" s="9" t="n">
        <f aca="false">COUNTIFS('Scoring Model'!$B$5:$B$411,$A12,'Scoring Model'!$F$5:$F$411,"Y")</f>
        <v>0</v>
      </c>
      <c r="I12" s="9" t="n">
        <f aca="false">SUMIF('Scoring Model'!$B$5:$B$411,$A12,'Scoring Model'!$G$5:$G$411)</f>
        <v>0</v>
      </c>
      <c r="J12" s="41" t="n">
        <f aca="false">IFERROR($I12/$G12,0)</f>
        <v>0</v>
      </c>
    </row>
    <row r="13" customFormat="false" ht="24" hidden="false" customHeight="true" outlineLevel="0" collapsed="false">
      <c r="A13" s="10" t="s">
        <v>4949</v>
      </c>
      <c r="B13" s="9" t="n">
        <f aca="false">COUNTIF('Indicator Master'!$B$4:$B$410,$A13)</f>
        <v>26</v>
      </c>
      <c r="C13" s="9" t="n">
        <f aca="false">COUNTIFS('Indicator Master'!$B$4:$B$410,$A13,'Indicator Master'!$P$4:$P$410,"Critical")</f>
        <v>4</v>
      </c>
      <c r="D13" s="9" t="n">
        <f aca="false">COUNTIFS('Indicator Master'!$B$4:$B$410,$A13,'Indicator Master'!$P$4:$P$410,"High")</f>
        <v>10</v>
      </c>
      <c r="E13" s="9" t="n">
        <f aca="false">COUNTIFS('Indicator Master'!$B$4:$B$410,$A13,'Indicator Master'!$P$4:$P$410,"Medium")</f>
        <v>8</v>
      </c>
      <c r="F13" s="9" t="n">
        <f aca="false">COUNTIFS('Indicator Master'!$B$4:$B$410,$A13,'Indicator Master'!$P$4:$P$410,"Low")</f>
        <v>4</v>
      </c>
      <c r="G13" s="9" t="n">
        <f aca="false">SUMIF('Indicator Master'!$B$4:$B$410,$A13,'Indicator Master'!$Q$4:$Q$410)</f>
        <v>148</v>
      </c>
      <c r="H13" s="9" t="n">
        <f aca="false">COUNTIFS('Scoring Model'!$B$5:$B$411,$A13,'Scoring Model'!$F$5:$F$411,"Y")</f>
        <v>0</v>
      </c>
      <c r="I13" s="9" t="n">
        <f aca="false">SUMIF('Scoring Model'!$B$5:$B$411,$A13,'Scoring Model'!$G$5:$G$411)</f>
        <v>0</v>
      </c>
      <c r="J13" s="41" t="n">
        <f aca="false">IFERROR($I13/$G13,0)</f>
        <v>0</v>
      </c>
    </row>
    <row r="14" customFormat="false" ht="15" hidden="false" customHeight="true" outlineLevel="0" collapsed="false">
      <c r="A14" s="42" t="s">
        <v>9147</v>
      </c>
      <c r="B14" s="43" t="n">
        <f aca="false">SUM(B4:B13)</f>
        <v>407</v>
      </c>
      <c r="C14" s="43" t="n">
        <f aca="false">SUM(C4:C13)</f>
        <v>61</v>
      </c>
      <c r="D14" s="43" t="n">
        <f aca="false">SUM(D4:D13)</f>
        <v>152</v>
      </c>
      <c r="E14" s="43" t="n">
        <f aca="false">SUM(E4:E13)</f>
        <v>137</v>
      </c>
      <c r="F14" s="43" t="n">
        <f aca="false">SUM(F4:F13)</f>
        <v>57</v>
      </c>
      <c r="G14" s="43" t="n">
        <f aca="false">SUM(G4:G13)</f>
        <v>2381</v>
      </c>
      <c r="H14" s="43" t="n">
        <f aca="false">SUM(H4:H13)</f>
        <v>0</v>
      </c>
      <c r="I14" s="43" t="n">
        <f aca="false">SUM(I4:I13)</f>
        <v>0</v>
      </c>
      <c r="J14" s="44" t="n">
        <f aca="false">IFERROR($I14/$G14,0)</f>
        <v>0</v>
      </c>
    </row>
    <row r="17" customFormat="false" ht="15" hidden="false" customHeight="true" outlineLevel="0" collapsed="false">
      <c r="A17" s="31" t="s">
        <v>9148</v>
      </c>
    </row>
    <row r="18" customFormat="false" ht="15" hidden="false" customHeight="true" outlineLevel="0" collapsed="false">
      <c r="A18" s="8" t="s">
        <v>23</v>
      </c>
      <c r="B18" s="8" t="s">
        <v>9142</v>
      </c>
      <c r="C18" s="8" t="s">
        <v>9149</v>
      </c>
      <c r="D18" s="8" t="s">
        <v>9150</v>
      </c>
      <c r="E18" s="8"/>
      <c r="F18" s="8"/>
    </row>
    <row r="19" customFormat="false" ht="25.5" hidden="false" customHeight="true" outlineLevel="0" collapsed="false">
      <c r="A19" s="9" t="s">
        <v>71</v>
      </c>
      <c r="B19" s="9" t="n">
        <f aca="false">COUNTIF('Indicator Master'!$N$4:$N$410,$A19)</f>
        <v>214</v>
      </c>
      <c r="C19" s="41" t="n">
        <f aca="false">IFERROR($B19/407,0)</f>
        <v>0.525798525798526</v>
      </c>
      <c r="D19" s="10" t="s">
        <v>9151</v>
      </c>
      <c r="E19" s="10"/>
      <c r="F19" s="10"/>
    </row>
    <row r="20" customFormat="false" ht="25.5" hidden="false" customHeight="true" outlineLevel="0" collapsed="false">
      <c r="A20" s="9" t="s">
        <v>117</v>
      </c>
      <c r="B20" s="9" t="n">
        <f aca="false">COUNTIF('Indicator Master'!$N$4:$N$410,$A20)</f>
        <v>81</v>
      </c>
      <c r="C20" s="41" t="n">
        <f aca="false">IFERROR($B20/407,0)</f>
        <v>0.199017199017199</v>
      </c>
      <c r="D20" s="10" t="s">
        <v>9152</v>
      </c>
      <c r="E20" s="10"/>
      <c r="F20" s="10"/>
    </row>
    <row r="21" customFormat="false" ht="25.5" hidden="false" customHeight="true" outlineLevel="0" collapsed="false">
      <c r="A21" s="9" t="s">
        <v>662</v>
      </c>
      <c r="B21" s="9" t="n">
        <f aca="false">COUNTIF('Indicator Master'!$N$4:$N$410,$A21)</f>
        <v>78</v>
      </c>
      <c r="C21" s="41" t="n">
        <f aca="false">IFERROR($B21/407,0)</f>
        <v>0.191646191646192</v>
      </c>
      <c r="D21" s="10" t="s">
        <v>9153</v>
      </c>
      <c r="E21" s="10"/>
      <c r="F21" s="10"/>
    </row>
    <row r="22" customFormat="false" ht="25.5" hidden="false" customHeight="true" outlineLevel="0" collapsed="false">
      <c r="A22" s="9" t="s">
        <v>274</v>
      </c>
      <c r="B22" s="9" t="n">
        <f aca="false">COUNTIF('Indicator Master'!$N$4:$N$410,$A22)</f>
        <v>34</v>
      </c>
      <c r="C22" s="41" t="n">
        <f aca="false">IFERROR($B22/407,0)</f>
        <v>0.0835380835380835</v>
      </c>
      <c r="D22" s="10" t="s">
        <v>9154</v>
      </c>
      <c r="E22" s="10"/>
      <c r="F22" s="10"/>
    </row>
  </sheetData>
  <mergeCells count="5">
    <mergeCell ref="D18:F18"/>
    <mergeCell ref="D19:F19"/>
    <mergeCell ref="D20:F20"/>
    <mergeCell ref="D21:F21"/>
    <mergeCell ref="D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2026-08-15T12:02:49Z</dcterms:created>
  <dc:creator>openpyxl</dc:creator>
  <dc:description/>
  <dc:language>en-US</dc:language>
  <cp:lastModifiedBy>VELOX-AIML</cp:lastModifiedBy>
  <dcterms:modified xsi:type="dcterms:W3CDTF">2026-08-19T07:04:25Z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